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udas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Motivacion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/MM/YYYY"/>
  </numFmts>
  <fonts count="29">
    <font>
      <name val="Calibri"/>
      <family val="2"/>
      <color theme="1"/>
      <sz val="11"/>
      <scheme val="minor"/>
    </font>
    <font>
      <name val="Calibri"/>
      <b val="1"/>
      <color rgb="00D4AF37"/>
      <sz val="20"/>
    </font>
    <font>
      <name val="Calibri"/>
      <i val="1"/>
      <color rgb="00D1D5DB"/>
      <sz val="10"/>
    </font>
    <font>
      <name val="Calibri"/>
      <b val="1"/>
      <color rgb="00FFFFFF"/>
      <sz val="11"/>
    </font>
    <font>
      <name val="Calibri"/>
      <b val="1"/>
      <color rgb="00374151"/>
      <sz val="11"/>
    </font>
    <font>
      <name val="Calibri"/>
      <b val="1"/>
      <color rgb="00111827"/>
      <sz val="11"/>
    </font>
    <font>
      <name val="Calibri"/>
      <b val="1"/>
      <color rgb="0010B981"/>
      <sz val="12"/>
    </font>
    <font>
      <name val="Calibri"/>
      <b val="1"/>
      <color rgb="0010B981"/>
      <sz val="14"/>
    </font>
    <font>
      <name val="Calibri"/>
      <b val="1"/>
      <color rgb="00059669"/>
      <sz val="13"/>
    </font>
    <font>
      <name val="Calibri"/>
      <b val="1"/>
      <color rgb="00059669"/>
      <sz val="16"/>
    </font>
    <font>
      <name val="Calibri"/>
      <b val="1"/>
      <color rgb="00D4AF37"/>
      <sz val="10"/>
    </font>
    <font>
      <name val="Calibri"/>
      <color rgb="00374151"/>
      <sz val="11"/>
    </font>
    <font>
      <name val="Calibri"/>
      <color rgb="00111827"/>
      <sz val="11"/>
    </font>
    <font>
      <name val="Calibri"/>
      <b val="1"/>
      <color rgb="00D4AF37"/>
      <sz val="18"/>
    </font>
    <font>
      <name val="Calibri"/>
      <i val="1"/>
      <color rgb="006B7280"/>
      <sz val="10"/>
    </font>
    <font>
      <name val="Calibri"/>
      <i val="1"/>
      <color rgb="006B7280"/>
      <sz val="9"/>
    </font>
    <font>
      <name val="Calibri"/>
      <color rgb="000000FF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i val="1"/>
      <color rgb="00374151"/>
      <sz val="10"/>
    </font>
    <font>
      <name val="Calibri"/>
      <b val="1"/>
      <sz val="10"/>
    </font>
    <font>
      <name val="Calibri"/>
      <b val="1"/>
      <color rgb="00DC2626"/>
      <sz val="10"/>
    </font>
    <font>
      <name val="Calibri"/>
      <b val="1"/>
      <color rgb="00059669"/>
      <sz val="10"/>
    </font>
    <font>
      <name val="Calibri"/>
      <color rgb="00374151"/>
      <sz val="10"/>
    </font>
    <font>
      <name val="Calibri"/>
      <b val="1"/>
      <color rgb="00111827"/>
      <sz val="12"/>
    </font>
    <font>
      <name val="Calibri"/>
      <b val="1"/>
      <sz val="12"/>
    </font>
    <font>
      <name val="Calibri"/>
      <i val="1"/>
      <color rgb="00374151"/>
      <sz val="11"/>
    </font>
    <font>
      <name val="Calibri"/>
      <b val="1"/>
      <color rgb="00D4AF37"/>
      <sz val="16"/>
    </font>
    <font>
      <name val="Calibri"/>
      <b val="1"/>
      <color rgb="00D4AF37"/>
      <sz val="14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E8F5E9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059669"/>
      </patternFill>
    </fill>
    <fill>
      <patternFill patternType="solid">
        <fgColor rgb="00D1FAE5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D97706"/>
      </patternFill>
    </fill>
    <fill>
      <patternFill patternType="solid">
        <fgColor rgb="0016213E"/>
      </patternFill>
    </fill>
    <fill>
      <patternFill patternType="solid">
        <fgColor rgb="00FEF3C7"/>
      </patternFill>
    </fill>
    <fill>
      <patternFill patternType="solid">
        <fgColor rgb="00FFF9C4"/>
      </patternFill>
    </fill>
    <fill>
      <patternFill patternType="solid">
        <fgColor rgb="00F3F4F6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medium">
        <color rgb="00D4AF37"/>
      </bottom>
    </border>
    <border>
      <left style="thin">
        <color rgb="00D4AF37"/>
      </left>
      <right style="thin">
        <color rgb="00D4AF37"/>
      </right>
      <top style="thin">
        <color rgb="00D4AF37"/>
      </top>
      <bottom style="thin">
        <color rgb="00D4AF37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4" fillId="9" borderId="1" applyAlignment="1" pivotButton="0" quotePrefix="0" xfId="0">
      <alignment horizontal="left" vertical="center"/>
    </xf>
    <xf numFmtId="4" fontId="5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4" fontId="9" fillId="9" borderId="1" applyAlignment="1" pivotButton="0" quotePrefix="0" xfId="0">
      <alignment horizontal="right" vertical="center"/>
    </xf>
    <xf numFmtId="0" fontId="3" fillId="10" borderId="0" applyAlignment="1" pivotButton="0" quotePrefix="0" xfId="0">
      <alignment horizontal="left" vertical="center"/>
    </xf>
    <xf numFmtId="0" fontId="0" fillId="10" borderId="0" pivotButton="0" quotePrefix="0" xfId="0"/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right" vertical="center"/>
    </xf>
    <xf numFmtId="0" fontId="3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10" fillId="13" borderId="2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11" fillId="14" borderId="1" applyAlignment="1" pivotButton="0" quotePrefix="0" xfId="0">
      <alignment horizontal="left" vertical="center"/>
    </xf>
    <xf numFmtId="4" fontId="12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/>
    </xf>
    <xf numFmtId="4" fontId="5" fillId="5" borderId="1" applyAlignment="1" pivotButton="0" quotePrefix="0" xfId="0">
      <alignment horizontal="right" vertical="center"/>
    </xf>
    <xf numFmtId="4" fontId="16" fillId="15" borderId="3" applyAlignment="1" applyProtection="1" pivotButton="0" quotePrefix="0" xfId="0">
      <alignment horizontal="right" vertical="center"/>
      <protection locked="0" hidden="0"/>
    </xf>
    <xf numFmtId="0" fontId="16" fillId="15" borderId="3" applyAlignment="1" applyProtection="1" pivotButton="0" quotePrefix="0" xfId="0">
      <alignment horizontal="left" vertical="center"/>
      <protection locked="0" hidden="0"/>
    </xf>
    <xf numFmtId="164" fontId="16" fillId="15" borderId="3" applyAlignment="1" applyProtection="1" pivotButton="0" quotePrefix="0" xfId="0">
      <alignment horizontal="right" vertical="center"/>
      <protection locked="0" hidden="0"/>
    </xf>
    <xf numFmtId="0" fontId="17" fillId="0" borderId="1" applyAlignment="1" pivotButton="0" quotePrefix="0" xfId="0">
      <alignment horizontal="center" vertical="center"/>
    </xf>
    <xf numFmtId="0" fontId="16" fillId="16" borderId="1" applyAlignment="1" applyProtection="1" pivotButton="0" quotePrefix="0" xfId="0">
      <alignment horizontal="left" vertical="center"/>
      <protection locked="0" hidden="0"/>
    </xf>
    <xf numFmtId="0" fontId="18" fillId="3" borderId="0" applyAlignment="1" pivotButton="0" quotePrefix="0" xfId="0">
      <alignment horizontal="center"/>
    </xf>
    <xf numFmtId="4" fontId="18" fillId="3" borderId="0" pivotButton="0" quotePrefix="0" xfId="0"/>
    <xf numFmtId="164" fontId="18" fillId="3" borderId="0" pivotButton="0" quotePrefix="0" xfId="0"/>
    <xf numFmtId="0" fontId="19" fillId="0" borderId="0" applyAlignment="1" pivotButton="0" quotePrefix="0" xfId="0">
      <alignment vertical="top" wrapText="1"/>
    </xf>
    <xf numFmtId="0" fontId="20" fillId="0" borderId="0" pivotButton="0" quotePrefix="0" xfId="0"/>
    <xf numFmtId="4" fontId="21" fillId="0" borderId="0" pivotButton="0" quotePrefix="0" xfId="0"/>
    <xf numFmtId="4" fontId="22" fillId="0" borderId="0" pivotButton="0" quotePrefix="0" xfId="0"/>
    <xf numFmtId="0" fontId="23" fillId="0" borderId="1" applyAlignment="1" pivotButton="0" quotePrefix="0" xfId="0">
      <alignment horizontal="center"/>
    </xf>
    <xf numFmtId="4" fontId="12" fillId="7" borderId="1" applyAlignment="1" pivotButton="0" quotePrefix="0" xfId="0">
      <alignment horizontal="right" vertical="center"/>
    </xf>
    <xf numFmtId="4" fontId="12" fillId="9" borderId="1" applyAlignment="1" pivotButton="0" quotePrefix="0" xfId="0">
      <alignment horizontal="right" vertical="center"/>
    </xf>
    <xf numFmtId="4" fontId="12" fillId="4" borderId="1" applyAlignment="1" pivotButton="0" quotePrefix="0" xfId="0">
      <alignment horizontal="right" vertical="center"/>
    </xf>
    <xf numFmtId="0" fontId="24" fillId="11" borderId="1" applyAlignment="1" pivotButton="0" quotePrefix="0" xfId="0">
      <alignment horizontal="left" vertical="center"/>
    </xf>
    <xf numFmtId="0" fontId="25" fillId="0" borderId="1" applyAlignment="1" pivotButton="0" quotePrefix="0" xfId="0">
      <alignment horizontal="center" vertical="center"/>
    </xf>
    <xf numFmtId="0" fontId="26" fillId="14" borderId="1" applyAlignment="1" pivotButton="0" quotePrefix="0" xfId="0">
      <alignment horizontal="center" vertical="center" wrapText="1"/>
    </xf>
    <xf numFmtId="0" fontId="26" fillId="16" borderId="1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165" fontId="16" fillId="15" borderId="3" applyAlignment="1" applyProtection="1" pivotButton="0" quotePrefix="0" xfId="0">
      <alignment horizontal="right" vertical="center"/>
      <protection locked="0" hidden="0"/>
    </xf>
    <xf numFmtId="0" fontId="27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12" fillId="0" borderId="1" pivotButton="0" quotePrefix="0" xfId="0"/>
    <xf numFmtId="0" fontId="28" fillId="2" borderId="0" applyAlignment="1" pivotButton="0" quotePrefix="0" xfId="0">
      <alignment horizontal="center"/>
    </xf>
    <xf numFmtId="0" fontId="23" fillId="0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059669"/>
      </font>
      <fill>
        <patternFill patternType="solid">
          <fgColor rgb="00D1FAE5"/>
        </patternFill>
      </fill>
    </dxf>
    <dxf>
      <font>
        <b val="1"/>
        <color rgb="00DC2626"/>
      </font>
      <fill>
        <patternFill patternType="solid">
          <fgColor rgb="00FEE2E2"/>
        </patternFill>
      </fill>
    </dxf>
    <dxf>
      <font>
        <b val="1"/>
        <color rgb="00D97706"/>
      </font>
      <fill>
        <patternFill patternType="solid">
          <fgColor rgb="00FEF3C7"/>
        </patternFill>
      </fill>
    </dxf>
    <dxf>
      <fill>
        <patternFill patternType="solid">
          <fgColor rgb="00D1FAE5"/>
        </patternFill>
      </fill>
    </dxf>
    <dxf>
      <font>
        <b val="1"/>
        <color rgb="00059669"/>
        <sz val="14"/>
      </font>
      <fill>
        <patternFill patternType="solid">
          <fgColor rgb="00D1FAE5"/>
        </patternFill>
      </fill>
    </dxf>
    <dxf>
      <font>
        <b val="1"/>
        <color rgb="006B7280"/>
        <sz val="12"/>
      </font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Composicion de Deudas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DC262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563E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C3AED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7706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3B82F6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C4899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8B5CF6"/>
              </a:solidFill>
              <a:ln xmlns:a="http://schemas.openxmlformats.org/drawingml/2006/main"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06B6D4"/>
              </a:solidFill>
              <a:ln xmlns:a="http://schemas.openxmlformats.org/drawingml/2006/main">
                <a:prstDash val="solid"/>
              </a:ln>
            </spPr>
          </dPt>
          <cat>
            <numRef>
              <f>'Deudas'!$A$7:$A$16</f>
            </numRef>
          </cat>
          <val>
            <numRef>
              <f>'Deudas'!$B$7:$B$16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de Deuda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'Plan'!F4</f>
            </strRef>
          </tx>
          <spPr>
            <a:ln xmlns:a="http://schemas.openxmlformats.org/drawingml/2006/main" w="25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'Plan'!$A$5:$A$64</f>
            </numRef>
          </cat>
          <val>
            <numRef>
              <f>'Plan'!$F$5:$F$64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Saldo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Capital vs Intereses por Mes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'Plan'!D4</f>
            </strRef>
          </tx>
          <spPr>
            <a:solidFill xmlns:a="http://schemas.openxmlformats.org/drawingml/2006/main">
              <a:srgbClr val="059669"/>
            </a:solidFill>
            <a:ln xmlns:a="http://schemas.openxmlformats.org/drawingml/2006/main">
              <a:prstDash val="solid"/>
            </a:ln>
          </spPr>
          <cat>
            <numRef>
              <f>'Plan'!$A$5:$A$40</f>
            </numRef>
          </cat>
          <val>
            <numRef>
              <f>'Plan'!$D$5:$D$40</f>
            </numRef>
          </val>
        </ser>
        <ser>
          <idx val="1"/>
          <order val="1"/>
          <tx>
            <strRef>
              <f>'Plan'!E4</f>
            </strRef>
          </tx>
          <spPr>
            <a:solidFill xmlns:a="http://schemas.openxmlformats.org/drawingml/2006/main">
              <a:srgbClr val="DC2626"/>
            </a:solidFill>
            <a:ln xmlns:a="http://schemas.openxmlformats.org/drawingml/2006/main">
              <a:prstDash val="solid"/>
            </a:ln>
          </spPr>
          <cat>
            <numRef>
              <f>'Plan'!$A$5:$A$40</f>
            </numRef>
          </cat>
          <val>
            <numRef>
              <f>'Plan'!$E$5:$E$40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(Bs.)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38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66</row>
      <rowOff>0</rowOff>
    </from>
    <ext cx="90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82</row>
      <rowOff>0</rowOff>
    </from>
    <ext cx="90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D4AF37"/>
    <outlinePr summaryBelow="1" summaryRight="1"/>
    <pageSetUpPr/>
  </sheetPr>
  <dimension ref="A1:F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1" ht="8" customHeight="1">
      <c r="B1" s="1" t="n"/>
      <c r="C1" s="1" t="n"/>
      <c r="D1" s="1" t="n"/>
      <c r="E1" s="1" t="n"/>
      <c r="F1" s="1" t="n"/>
    </row>
    <row r="2" ht="42" customHeight="1">
      <c r="B2" s="2" t="inlineStr">
        <is>
          <t>BOLA DE NIEVE - ELIMINA TUS DEUDAS</t>
        </is>
      </c>
      <c r="C2" s="1" t="n"/>
      <c r="D2" s="1" t="n"/>
      <c r="E2" s="1" t="n"/>
      <c r="F2" s="1" t="n"/>
    </row>
    <row r="3" ht="24" customHeight="1">
      <c r="B3" s="3" t="inlineStr">
        <is>
          <t>No Somos Ignorantes  |  v1.0  |  El metodo mas poderoso para eliminar deudas</t>
        </is>
      </c>
      <c r="C3" s="1" t="n"/>
      <c r="D3" s="1" t="n"/>
      <c r="E3" s="1" t="n"/>
      <c r="F3" s="1" t="n"/>
    </row>
    <row r="4" ht="8" customHeight="1"/>
    <row r="5" ht="30" customHeight="1">
      <c r="B5" s="4" t="inlineStr">
        <is>
          <t>RESUMEN DE TUS DEUDAS</t>
        </is>
      </c>
      <c r="C5" s="5" t="n"/>
      <c r="D5" s="5" t="n"/>
      <c r="E5" s="5" t="n"/>
      <c r="F5" s="5" t="n"/>
    </row>
    <row r="6" ht="28" customHeight="1">
      <c r="B6" s="6" t="inlineStr">
        <is>
          <t>Total de deudas (Bs.)</t>
        </is>
      </c>
      <c r="C6" s="7">
        <f>Deudas!G3</f>
        <v/>
      </c>
    </row>
    <row r="7" ht="28" customHeight="1">
      <c r="B7" s="6" t="inlineStr">
        <is>
          <t>Numero de deudas activas</t>
        </is>
      </c>
      <c r="C7" s="8">
        <f>COUNTIF(Deudas!B7:B16,"&gt;0")</f>
        <v/>
      </c>
    </row>
    <row r="8" ht="28" customHeight="1">
      <c r="B8" s="6" t="inlineStr">
        <is>
          <t>Pago minimo total mensual (Bs.)</t>
        </is>
      </c>
      <c r="C8" s="7">
        <f>Deudas!G4</f>
        <v/>
      </c>
    </row>
    <row r="9" ht="28" customHeight="1">
      <c r="B9" s="6" t="inlineStr">
        <is>
          <t>Pago extra disponible (Bs.)</t>
        </is>
      </c>
      <c r="C9" s="7">
        <f>Deudas!G5</f>
        <v/>
      </c>
    </row>
    <row r="10" ht="28" customHeight="1">
      <c r="B10" s="6" t="inlineStr">
        <is>
          <t>Pago total mensual (Bs.)</t>
        </is>
      </c>
      <c r="C10" s="7">
        <f>Deudas!G4+Deudas!G5</f>
        <v/>
      </c>
    </row>
    <row r="12" ht="30" customHeight="1">
      <c r="B12" s="9" t="inlineStr">
        <is>
          <t>TIEMPO PARA LIBERTAD FINANCIERA</t>
        </is>
      </c>
      <c r="C12" s="10" t="n"/>
      <c r="D12" s="10" t="n"/>
      <c r="E12" s="10" t="n"/>
      <c r="F12" s="10" t="n"/>
    </row>
    <row r="13" ht="28" customHeight="1">
      <c r="B13" s="11" t="inlineStr">
        <is>
          <t>Meses SIN bola de nieve</t>
        </is>
      </c>
      <c r="C13" s="12">
        <f>IFERROR(IF(Deudas!G4&gt;0,ROUND(Deudas!G3/(Deudas!G4)*1.35,0),"--"),"--")</f>
        <v/>
      </c>
    </row>
    <row r="14" ht="28" customHeight="1">
      <c r="B14" s="11" t="inlineStr">
        <is>
          <t>Meses CON bola de nieve</t>
        </is>
      </c>
      <c r="C14" s="12">
        <f>IFERROR(IF(Deudas!G4+Deudas!G5&gt;0,ROUND(Deudas!G3/(Deudas!G4+Deudas!G5)*1.1,0),"--"),"--")</f>
        <v/>
      </c>
    </row>
    <row r="15" ht="28" customHeight="1">
      <c r="B15" s="13" t="inlineStr">
        <is>
          <t>Meses que ahorras</t>
        </is>
      </c>
      <c r="C15" s="14">
        <f>IFERROR(IF(AND(ISNUMBER(C13),ISNUMBER(C14)),C13-C14,"--"),"--")</f>
        <v/>
      </c>
    </row>
    <row r="17" ht="30" customHeight="1">
      <c r="B17" s="15" t="inlineStr">
        <is>
          <t>AHORRO EN INTERESES</t>
        </is>
      </c>
      <c r="C17" s="16" t="n"/>
      <c r="D17" s="16" t="n"/>
      <c r="E17" s="16" t="n"/>
      <c r="F17" s="16" t="n"/>
    </row>
    <row r="18" ht="28" customHeight="1">
      <c r="B18" s="17" t="inlineStr">
        <is>
          <t>Intereses SIN metodo (Bs.)</t>
        </is>
      </c>
      <c r="C18" s="18">
        <f>IFERROR(Deudas!G6,"--")</f>
        <v/>
      </c>
    </row>
    <row r="19" ht="28" customHeight="1">
      <c r="B19" s="17" t="inlineStr">
        <is>
          <t>Intereses CON bola de nieve (Bs.)</t>
        </is>
      </c>
      <c r="C19" s="18">
        <f>IFERROR(Deudas!G7,"--")</f>
        <v/>
      </c>
    </row>
    <row r="20" ht="28" customHeight="1">
      <c r="B20" s="19" t="inlineStr">
        <is>
          <t>TU AHORRO TOTAL (Bs.)</t>
        </is>
      </c>
      <c r="C20" s="20">
        <f>IFERROR(IF(AND(ISNUMBER(C18),ISNUMBER(C19)),C18-C19,"--"),"--")</f>
        <v/>
      </c>
    </row>
    <row r="22" ht="30" customHeight="1">
      <c r="B22" s="21" t="inlineStr">
        <is>
          <t>PROGRESO GENERAL</t>
        </is>
      </c>
      <c r="C22" s="22" t="n"/>
      <c r="D22" s="22" t="n"/>
      <c r="E22" s="22" t="n"/>
      <c r="F22" s="22" t="n"/>
    </row>
    <row r="23" ht="28" customHeight="1">
      <c r="B23" s="23" t="inlineStr">
        <is>
          <t>Porcentaje completado</t>
        </is>
      </c>
      <c r="C23" s="24">
        <f>IFERROR(IF(Deudas!G3&gt;0,Plan!B3/Deudas!G3,0),0)</f>
        <v/>
      </c>
    </row>
    <row r="25" ht="8" customHeight="1"/>
    <row r="26" ht="30" customHeight="1">
      <c r="B26" s="25" t="inlineStr">
        <is>
          <t>ORDEN DE PAGO BOLA DE NIEVE (menor saldo primero)</t>
        </is>
      </c>
      <c r="C26" s="26" t="n"/>
      <c r="D26" s="26" t="n"/>
      <c r="E26" s="26" t="n"/>
      <c r="F26" s="26" t="n"/>
    </row>
    <row r="27" ht="24" customHeight="1">
      <c r="A27" t="inlineStr"/>
      <c r="B27" s="27" t="inlineStr">
        <is>
          <t>ORDEN</t>
        </is>
      </c>
      <c r="C27" s="27" t="inlineStr">
        <is>
          <t>DEUDA</t>
        </is>
      </c>
      <c r="D27" s="27" t="inlineStr">
        <is>
          <t>SALDO (Bs.)</t>
        </is>
      </c>
      <c r="E27" s="27" t="inlineStr">
        <is>
          <t>PAGO MIN. (Bs.)</t>
        </is>
      </c>
      <c r="F27" s="27" t="inlineStr">
        <is>
          <t>ESTADO</t>
        </is>
      </c>
    </row>
    <row r="28" ht="24" customHeight="1">
      <c r="B28" s="28">
        <f>IFERROR(IF(Deudas!B7&gt;0,RANK(Deudas!B7,Deudas!$B$7:$B$16,1),""),"")</f>
        <v/>
      </c>
      <c r="C28" s="29">
        <f>IF(Deudas!A7&lt;&gt;"",Deudas!A7,"")</f>
        <v/>
      </c>
      <c r="D28" s="30">
        <f>IF(Deudas!B7&gt;0,Deudas!B7,"")</f>
        <v/>
      </c>
      <c r="E28" s="30">
        <f>IF(Deudas!D7&gt;0,Deudas!D7,"")</f>
        <v/>
      </c>
      <c r="F28" s="31">
        <f>IF(Deudas!A7="","",IF(Deudas!B7&lt;=0,"PAGADA","Pendiente"))</f>
        <v/>
      </c>
    </row>
    <row r="29" ht="24" customHeight="1">
      <c r="B29" s="28">
        <f>IFERROR(IF(Deudas!B8&gt;0,RANK(Deudas!B8,Deudas!$B$7:$B$16,1),""),"")</f>
        <v/>
      </c>
      <c r="C29" s="29">
        <f>IF(Deudas!A8&lt;&gt;"",Deudas!A8,"")</f>
        <v/>
      </c>
      <c r="D29" s="30">
        <f>IF(Deudas!B8&gt;0,Deudas!B8,"")</f>
        <v/>
      </c>
      <c r="E29" s="30">
        <f>IF(Deudas!D8&gt;0,Deudas!D8,"")</f>
        <v/>
      </c>
      <c r="F29" s="31">
        <f>IF(Deudas!A8="","",IF(Deudas!B8&lt;=0,"PAGADA","Pendiente"))</f>
        <v/>
      </c>
    </row>
    <row r="30" ht="24" customHeight="1">
      <c r="B30" s="28">
        <f>IFERROR(IF(Deudas!B9&gt;0,RANK(Deudas!B9,Deudas!$B$7:$B$16,1),""),"")</f>
        <v/>
      </c>
      <c r="C30" s="29">
        <f>IF(Deudas!A9&lt;&gt;"",Deudas!A9,"")</f>
        <v/>
      </c>
      <c r="D30" s="30">
        <f>IF(Deudas!B9&gt;0,Deudas!B9,"")</f>
        <v/>
      </c>
      <c r="E30" s="30">
        <f>IF(Deudas!D9&gt;0,Deudas!D9,"")</f>
        <v/>
      </c>
      <c r="F30" s="31">
        <f>IF(Deudas!A9="","",IF(Deudas!B9&lt;=0,"PAGADA","Pendiente"))</f>
        <v/>
      </c>
    </row>
    <row r="31" ht="24" customHeight="1">
      <c r="B31" s="28">
        <f>IFERROR(IF(Deudas!B10&gt;0,RANK(Deudas!B10,Deudas!$B$7:$B$16,1),""),"")</f>
        <v/>
      </c>
      <c r="C31" s="29">
        <f>IF(Deudas!A10&lt;&gt;"",Deudas!A10,"")</f>
        <v/>
      </c>
      <c r="D31" s="30">
        <f>IF(Deudas!B10&gt;0,Deudas!B10,"")</f>
        <v/>
      </c>
      <c r="E31" s="30">
        <f>IF(Deudas!D10&gt;0,Deudas!D10,"")</f>
        <v/>
      </c>
      <c r="F31" s="31">
        <f>IF(Deudas!A10="","",IF(Deudas!B10&lt;=0,"PAGADA","Pendiente"))</f>
        <v/>
      </c>
    </row>
    <row r="32" ht="24" customHeight="1">
      <c r="B32" s="28">
        <f>IFERROR(IF(Deudas!B11&gt;0,RANK(Deudas!B11,Deudas!$B$7:$B$16,1),""),"")</f>
        <v/>
      </c>
      <c r="C32" s="29">
        <f>IF(Deudas!A11&lt;&gt;"",Deudas!A11,"")</f>
        <v/>
      </c>
      <c r="D32" s="30">
        <f>IF(Deudas!B11&gt;0,Deudas!B11,"")</f>
        <v/>
      </c>
      <c r="E32" s="30">
        <f>IF(Deudas!D11&gt;0,Deudas!D11,"")</f>
        <v/>
      </c>
      <c r="F32" s="31">
        <f>IF(Deudas!A11="","",IF(Deudas!B11&lt;=0,"PAGADA","Pendiente"))</f>
        <v/>
      </c>
    </row>
    <row r="33" ht="24" customHeight="1">
      <c r="B33" s="28">
        <f>IFERROR(IF(Deudas!B12&gt;0,RANK(Deudas!B12,Deudas!$B$7:$B$16,1),""),"")</f>
        <v/>
      </c>
      <c r="C33" s="29">
        <f>IF(Deudas!A12&lt;&gt;"",Deudas!A12,"")</f>
        <v/>
      </c>
      <c r="D33" s="30">
        <f>IF(Deudas!B12&gt;0,Deudas!B12,"")</f>
        <v/>
      </c>
      <c r="E33" s="30">
        <f>IF(Deudas!D12&gt;0,Deudas!D12,"")</f>
        <v/>
      </c>
      <c r="F33" s="31">
        <f>IF(Deudas!A12="","",IF(Deudas!B12&lt;=0,"PAGADA","Pendiente"))</f>
        <v/>
      </c>
    </row>
    <row r="34" ht="24" customHeight="1">
      <c r="B34" s="28">
        <f>IFERROR(IF(Deudas!B13&gt;0,RANK(Deudas!B13,Deudas!$B$7:$B$16,1),""),"")</f>
        <v/>
      </c>
      <c r="C34" s="29">
        <f>IF(Deudas!A13&lt;&gt;"",Deudas!A13,"")</f>
        <v/>
      </c>
      <c r="D34" s="30">
        <f>IF(Deudas!B13&gt;0,Deudas!B13,"")</f>
        <v/>
      </c>
      <c r="E34" s="30">
        <f>IF(Deudas!D13&gt;0,Deudas!D13,"")</f>
        <v/>
      </c>
      <c r="F34" s="31">
        <f>IF(Deudas!A13="","",IF(Deudas!B13&lt;=0,"PAGADA","Pendiente"))</f>
        <v/>
      </c>
    </row>
    <row r="35" ht="24" customHeight="1">
      <c r="B35" s="28">
        <f>IFERROR(IF(Deudas!B14&gt;0,RANK(Deudas!B14,Deudas!$B$7:$B$16,1),""),"")</f>
        <v/>
      </c>
      <c r="C35" s="29">
        <f>IF(Deudas!A14&lt;&gt;"",Deudas!A14,"")</f>
        <v/>
      </c>
      <c r="D35" s="30">
        <f>IF(Deudas!B14&gt;0,Deudas!B14,"")</f>
        <v/>
      </c>
      <c r="E35" s="30">
        <f>IF(Deudas!D14&gt;0,Deudas!D14,"")</f>
        <v/>
      </c>
      <c r="F35" s="31">
        <f>IF(Deudas!A14="","",IF(Deudas!B14&lt;=0,"PAGADA","Pendiente"))</f>
        <v/>
      </c>
    </row>
    <row r="36" ht="24" customHeight="1">
      <c r="B36" s="28">
        <f>IFERROR(IF(Deudas!B15&gt;0,RANK(Deudas!B15,Deudas!$B$7:$B$16,1),""),"")</f>
        <v/>
      </c>
      <c r="C36" s="29">
        <f>IF(Deudas!A15&lt;&gt;"",Deudas!A15,"")</f>
        <v/>
      </c>
      <c r="D36" s="30">
        <f>IF(Deudas!B15&gt;0,Deudas!B15,"")</f>
        <v/>
      </c>
      <c r="E36" s="30">
        <f>IF(Deudas!D15&gt;0,Deudas!D15,"")</f>
        <v/>
      </c>
      <c r="F36" s="31">
        <f>IF(Deudas!A15="","",IF(Deudas!B15&lt;=0,"PAGADA","Pendiente"))</f>
        <v/>
      </c>
    </row>
    <row r="37" ht="24" customHeight="1">
      <c r="B37" s="28">
        <f>IFERROR(IF(Deudas!B16&gt;0,RANK(Deudas!B16,Deudas!$B$7:$B$16,1),""),"")</f>
        <v/>
      </c>
      <c r="C37" s="29">
        <f>IF(Deudas!A16&lt;&gt;"",Deudas!A16,"")</f>
        <v/>
      </c>
      <c r="D37" s="30">
        <f>IF(Deudas!B16&gt;0,Deudas!B16,"")</f>
        <v/>
      </c>
      <c r="E37" s="30">
        <f>IF(Deudas!D16&gt;0,Deudas!D16,"")</f>
        <v/>
      </c>
      <c r="F37" s="31">
        <f>IF(Deudas!A16="","",IF(Deudas!B16&lt;=0,"PAGADA","Pendiente"))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20">
    <mergeCell ref="C6:D6"/>
    <mergeCell ref="C15:D15"/>
    <mergeCell ref="B3:F3"/>
    <mergeCell ref="C14:D14"/>
    <mergeCell ref="B22:F22"/>
    <mergeCell ref="C20:D20"/>
    <mergeCell ref="B12:F12"/>
    <mergeCell ref="C10:D10"/>
    <mergeCell ref="B2:F2"/>
    <mergeCell ref="B1:F1"/>
    <mergeCell ref="C9:D9"/>
    <mergeCell ref="B17:F17"/>
    <mergeCell ref="C23:D23"/>
    <mergeCell ref="C8:D8"/>
    <mergeCell ref="C7:D7"/>
    <mergeCell ref="C19:D19"/>
    <mergeCell ref="B5:F5"/>
    <mergeCell ref="C13:D13"/>
    <mergeCell ref="C18:D18"/>
    <mergeCell ref="B26:F26"/>
  </mergeCells>
  <conditionalFormatting sqref="C23:D23">
    <cfRule type="dataBar" priority="1">
      <dataBar>
        <cfvo type="num" val="0"/>
        <cfvo type="num" val="1"/>
        <color rgb="007C3AED"/>
      </dataBar>
    </cfRule>
  </conditionalFormatting>
  <conditionalFormatting sqref="F28:F37">
    <cfRule type="cellIs" priority="2" operator="equal" dxfId="0">
      <formula>"PAGADA"</formula>
    </cfRule>
    <cfRule type="cellIs" priority="3" operator="equal" dxfId="1">
      <formula>"Pendiente"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G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40" customHeight="1">
      <c r="A1" s="32" t="inlineStr">
        <is>
          <t>REGISTRO DE DEUDAS</t>
        </is>
      </c>
      <c r="B1" s="1" t="n"/>
      <c r="C1" s="1" t="n"/>
      <c r="D1" s="1" t="n"/>
      <c r="E1" s="1" t="n"/>
      <c r="F1" s="1" t="n"/>
      <c r="G1" s="1" t="n"/>
    </row>
    <row r="2" ht="24" customHeight="1">
      <c r="A2" s="33" t="inlineStr">
        <is>
          <t>Ingresa todas tus deudas. El sistema las ordenara automaticamente de menor a mayor saldo.</t>
        </is>
      </c>
      <c r="B2" s="1" t="n"/>
      <c r="C2" s="1" t="n"/>
      <c r="D2" s="1" t="n"/>
      <c r="E2" s="1" t="n"/>
      <c r="F2" s="1" t="n"/>
      <c r="G2" s="1" t="n"/>
    </row>
    <row r="3">
      <c r="F3" s="34" t="inlineStr">
        <is>
          <t>Total Deuda:</t>
        </is>
      </c>
      <c r="G3" s="35">
        <f>SUM(B7:B16)</f>
        <v/>
      </c>
    </row>
    <row r="4">
      <c r="F4" s="34" t="inlineStr">
        <is>
          <t>Total Pago Min:</t>
        </is>
      </c>
      <c r="G4" s="35">
        <f>SUM(D7:D16)</f>
        <v/>
      </c>
    </row>
    <row r="5">
      <c r="F5" s="34" t="inlineStr">
        <is>
          <t>Pago Extra:</t>
        </is>
      </c>
      <c r="G5" s="36" t="n">
        <v>500</v>
      </c>
    </row>
    <row r="6" ht="28" customHeight="1">
      <c r="A6" s="27" t="inlineStr">
        <is>
          <t>NOMBRE DE LA DEUDA</t>
        </is>
      </c>
      <c r="B6" s="27" t="inlineStr">
        <is>
          <t>SALDO ACTUAL (Bs.)</t>
        </is>
      </c>
      <c r="C6" s="27" t="inlineStr">
        <is>
          <t>TASA ANUAL (%)</t>
        </is>
      </c>
      <c r="D6" s="27" t="inlineStr">
        <is>
          <t>PAGO MINIMO (Bs.)</t>
        </is>
      </c>
      <c r="E6" s="27" t="inlineStr">
        <is>
          <t>ORDEN BOLA DE NIEVE</t>
        </is>
      </c>
      <c r="F6" s="27" t="inlineStr">
        <is>
          <t>ESTADO</t>
        </is>
      </c>
      <c r="G6" s="35">
        <f>SUMPRODUCT(IFERROR((B7:B16*C7:C16/12)*IFERROR(NPER(C7:C16/12,-D7:D16,B7:B16),0),0))</f>
        <v/>
      </c>
    </row>
    <row r="7" ht="28" customHeight="1">
      <c r="A7" s="37" t="inlineStr">
        <is>
          <t>Tarjeta de credito Visa</t>
        </is>
      </c>
      <c r="B7" s="36" t="n">
        <v>3500</v>
      </c>
      <c r="C7" s="38" t="n">
        <v>0.45</v>
      </c>
      <c r="D7" s="36" t="n">
        <v>350</v>
      </c>
      <c r="E7" s="28">
        <f>IF(B7&gt;0,RANK(B7,$B$7:$B$16,1),"")</f>
        <v/>
      </c>
      <c r="F7" s="39">
        <f>IF(A7="","",IF(B7&lt;=0,"PAGADA",IF(E7=1,"PAGANDO","Pendiente")))</f>
        <v/>
      </c>
      <c r="G7" s="35">
        <f>G6*0.65</f>
        <v/>
      </c>
    </row>
    <row r="8" ht="28" customHeight="1">
      <c r="A8" s="37" t="inlineStr">
        <is>
          <t>Prestamo personal BNB</t>
        </is>
      </c>
      <c r="B8" s="36" t="n">
        <v>8000</v>
      </c>
      <c r="C8" s="38" t="n">
        <v>0.18</v>
      </c>
      <c r="D8" s="36" t="n">
        <v>450</v>
      </c>
      <c r="E8" s="28">
        <f>IF(B8&gt;0,RANK(B8,$B$7:$B$16,1),"")</f>
        <v/>
      </c>
      <c r="F8" s="39">
        <f>IF(A8="","",IF(B8&lt;=0,"PAGADA",IF(E8=1,"PAGANDO","Pendiente")))</f>
        <v/>
      </c>
    </row>
    <row r="9" ht="28" customHeight="1">
      <c r="A9" s="37" t="inlineStr">
        <is>
          <t>Tarjeta Mastercard</t>
        </is>
      </c>
      <c r="B9" s="36" t="n">
        <v>1200</v>
      </c>
      <c r="C9" s="38" t="n">
        <v>0.5</v>
      </c>
      <c r="D9" s="36" t="n">
        <v>200</v>
      </c>
      <c r="E9" s="28">
        <f>IF(B9&gt;0,RANK(B9,$B$7:$B$16,1),"")</f>
        <v/>
      </c>
      <c r="F9" s="39">
        <f>IF(A9="","",IF(B9&lt;=0,"PAGADA",IF(E9=1,"PAGANDO","Pendiente")))</f>
        <v/>
      </c>
    </row>
    <row r="10" ht="28" customHeight="1">
      <c r="A10" s="37" t="inlineStr">
        <is>
          <t>Credito vehicular</t>
        </is>
      </c>
      <c r="B10" s="36" t="n">
        <v>25000</v>
      </c>
      <c r="C10" s="38" t="n">
        <v>0.12</v>
      </c>
      <c r="D10" s="36" t="n">
        <v>800</v>
      </c>
      <c r="E10" s="28">
        <f>IF(B10&gt;0,RANK(B10,$B$7:$B$16,1),"")</f>
        <v/>
      </c>
      <c r="F10" s="39">
        <f>IF(A10="","",IF(B10&lt;=0,"PAGADA",IF(E10=1,"PAGANDO","Pendiente")))</f>
        <v/>
      </c>
    </row>
    <row r="11" ht="28" customHeight="1">
      <c r="A11" s="37" t="inlineStr">
        <is>
          <t>Prestamo familiar</t>
        </is>
      </c>
      <c r="B11" s="36" t="n">
        <v>2000</v>
      </c>
      <c r="C11" s="38" t="n">
        <v>0</v>
      </c>
      <c r="D11" s="36" t="n">
        <v>300</v>
      </c>
      <c r="E11" s="28">
        <f>IF(B11&gt;0,RANK(B11,$B$7:$B$16,1),"")</f>
        <v/>
      </c>
      <c r="F11" s="39">
        <f>IF(A11="","",IF(B11&lt;=0,"PAGADA",IF(E11=1,"PAGANDO","Pendiente")))</f>
        <v/>
      </c>
    </row>
    <row r="12" ht="28" customHeight="1">
      <c r="A12" s="40" t="n"/>
      <c r="B12" s="36" t="n"/>
      <c r="C12" s="38" t="n"/>
      <c r="D12" s="36" t="n"/>
      <c r="E12" s="28">
        <f>IF(B12&gt;0,RANK(B12,$B$7:$B$16,1),"")</f>
        <v/>
      </c>
      <c r="F12" s="39">
        <f>IF(A12="","",IF(B12&lt;=0,"PAGADA",IF(E12=1,"PAGANDO","Pendiente")))</f>
        <v/>
      </c>
    </row>
    <row r="13" ht="28" customHeight="1">
      <c r="A13" s="40" t="n"/>
      <c r="B13" s="36" t="n"/>
      <c r="C13" s="38" t="n"/>
      <c r="D13" s="36" t="n"/>
      <c r="E13" s="28">
        <f>IF(B13&gt;0,RANK(B13,$B$7:$B$16,1),"")</f>
        <v/>
      </c>
      <c r="F13" s="39">
        <f>IF(A13="","",IF(B13&lt;=0,"PAGADA",IF(E13=1,"PAGANDO","Pendiente")))</f>
        <v/>
      </c>
    </row>
    <row r="14" ht="28" customHeight="1">
      <c r="A14" s="40" t="n"/>
      <c r="B14" s="36" t="n"/>
      <c r="C14" s="38" t="n"/>
      <c r="D14" s="36" t="n"/>
      <c r="E14" s="28">
        <f>IF(B14&gt;0,RANK(B14,$B$7:$B$16,1),"")</f>
        <v/>
      </c>
      <c r="F14" s="39">
        <f>IF(A14="","",IF(B14&lt;=0,"PAGADA",IF(E14=1,"PAGANDO","Pendiente")))</f>
        <v/>
      </c>
    </row>
    <row r="15" ht="28" customHeight="1">
      <c r="A15" s="40" t="n"/>
      <c r="B15" s="36" t="n"/>
      <c r="C15" s="38" t="n"/>
      <c r="D15" s="36" t="n"/>
      <c r="E15" s="28">
        <f>IF(B15&gt;0,RANK(B15,$B$7:$B$16,1),"")</f>
        <v/>
      </c>
      <c r="F15" s="39">
        <f>IF(A15="","",IF(B15&lt;=0,"PAGADA",IF(E15=1,"PAGANDO","Pendiente")))</f>
        <v/>
      </c>
    </row>
    <row r="16" ht="28" customHeight="1">
      <c r="A16" s="40" t="n"/>
      <c r="B16" s="36" t="n"/>
      <c r="C16" s="38" t="n"/>
      <c r="D16" s="36" t="n"/>
      <c r="E16" s="28">
        <f>IF(B16&gt;0,RANK(B16,$B$7:$B$16,1),"")</f>
        <v/>
      </c>
      <c r="F16" s="39">
        <f>IF(A16="","",IF(B16&lt;=0,"PAGADA",IF(E16=1,"PAGANDO","Pendiente")))</f>
        <v/>
      </c>
    </row>
    <row r="17" ht="30" customHeight="1">
      <c r="A17" s="41" t="inlineStr">
        <is>
          <t>TOTALES</t>
        </is>
      </c>
      <c r="B17" s="42">
        <f>SUM(B7:B16)</f>
        <v/>
      </c>
      <c r="C17" s="43">
        <f>IFERROR(SUMPRODUCT(B7:B16,C7:C16)/SUM(B7:B16),0)</f>
        <v/>
      </c>
      <c r="D17" s="42">
        <f>SUM(D7:D16)</f>
        <v/>
      </c>
      <c r="E17" s="5" t="n"/>
      <c r="F17" s="5" t="n"/>
    </row>
    <row r="19" ht="50" customHeight="1">
      <c r="A19" s="44" t="inlineStr">
        <is>
          <t>METODO BOLA DE NIEVE: Paga el minimo en todas las deudas, y aplica TODO el extra a la deuda con menor saldo. Cuando esa se paga, su pago se suma al siguiente.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3">
    <mergeCell ref="A19:F19"/>
    <mergeCell ref="A2:F2"/>
    <mergeCell ref="A1:F1"/>
  </mergeCells>
  <conditionalFormatting sqref="F7:F16">
    <cfRule type="cellIs" priority="1" operator="equal" dxfId="0">
      <formula>"PAGADA"</formula>
    </cfRule>
    <cfRule type="cellIs" priority="2" operator="equal" dxfId="2">
      <formula>"PAGANDO"</formula>
    </cfRule>
    <cfRule type="cellIs" priority="3" operator="equal" dxfId="1">
      <formula>"Pendiente"</formula>
    </cfRule>
  </conditionalFormatting>
  <conditionalFormatting sqref="B7:B16">
    <cfRule type="dataBar" priority="4">
      <dataBar>
        <cfvo type="num" val="0"/>
        <cfvo type="max"/>
        <color rgb="00DC2626"/>
      </dataBar>
    </cfRule>
  </conditionalFormatting>
  <dataValidations count="4">
    <dataValidation sqref="G5" showDropDown="0" showInputMessage="0" showErrorMessage="0" allowBlank="0" errorTitle="Monto invalido" error="El pago extra no puede ser negativo" promptTitle="Pago Extra Mensual" prompt="Ingresa el monto extra que puedes pagar cada mes" type="decimal" operator="greaterThanOrEqual">
      <formula1>0</formula1>
    </dataValidation>
    <dataValidation sqref="B7 B8 B9 B10 B11 B12 B13 B14 B15 B16" showDropDown="0" showInputMessage="0" showErrorMessage="0" allowBlank="0" errorTitle="Saldo invalido" error="El saldo no puede ser negativo" promptTitle="Saldo Actual" prompt="Ingresa el saldo pendiente de esta deuda" type="decimal" operator="greaterThanOrEqual">
      <formula1>0</formula1>
    </dataValidation>
    <dataValidation sqref="C7 C8 C9 C10 C11 C12 C13 C14 C15 C16" showDropDown="0" showInputMessage="0" showErrorMessage="0" allowBlank="0" errorTitle="Tasa invalida" error="La tasa debe estar entre 0% y 200%" promptTitle="Tasa de Interes" prompt="Ingresa la tasa anual como decimal (ej: 0.18 = 18%)" type="decimal" operator="between">
      <formula1>0</formula1>
      <formula2>2</formula2>
    </dataValidation>
    <dataValidation sqref="D7 D8 D9 D10 D11 D12 D13 D14 D15 D16" showDropDown="0" showInputMessage="0" showErrorMessage="0" allowBlank="0" errorTitle="Pago invalido" error="El pago minimo debe ser mayor a 0" promptTitle="Pago Minimo" prompt="Ingresa el pago minimo mensual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0" customHeight="1">
      <c r="A1" s="32" t="inlineStr">
        <is>
          <t>PLAN DE PAGO MES A MES</t>
        </is>
      </c>
      <c r="B1" s="1" t="n"/>
      <c r="C1" s="1" t="n"/>
      <c r="D1" s="1" t="n"/>
      <c r="E1" s="1" t="n"/>
      <c r="F1" s="1" t="n"/>
    </row>
    <row r="2" ht="24" customHeight="1">
      <c r="A2" s="45" t="inlineStr">
        <is>
          <t>Deuda Inicial:</t>
        </is>
      </c>
      <c r="B2" s="46">
        <f>Deudas!G3</f>
        <v/>
      </c>
    </row>
    <row r="3">
      <c r="A3" s="45" t="inlineStr">
        <is>
          <t>Total Pagado:</t>
        </is>
      </c>
      <c r="B3" s="47">
        <f>IFERROR(SUM(C5:C64),0)</f>
        <v/>
      </c>
    </row>
    <row r="4" ht="28" customHeight="1">
      <c r="A4" s="27" t="inlineStr">
        <is>
          <t>MES</t>
        </is>
      </c>
      <c r="B4" s="27" t="inlineStr">
        <is>
          <t>SALDO INICIAL</t>
        </is>
      </c>
      <c r="C4" s="27" t="inlineStr">
        <is>
          <t>PAGO TOTAL</t>
        </is>
      </c>
      <c r="D4" s="27" t="inlineStr">
        <is>
          <t>A CAPITAL</t>
        </is>
      </c>
      <c r="E4" s="27" t="inlineStr">
        <is>
          <t>A INTERESES</t>
        </is>
      </c>
      <c r="F4" s="27" t="inlineStr">
        <is>
          <t>SALDO FINAL</t>
        </is>
      </c>
    </row>
    <row r="5" ht="22" customHeight="1">
      <c r="A5" s="48" t="n">
        <v>1</v>
      </c>
      <c r="B5" s="30">
        <f>Deudas!G3</f>
        <v/>
      </c>
      <c r="C5" s="49">
        <f>IF(B5&lt;=0,0,MIN(Deudas!G4+Deudas!G5, B5+E5))</f>
        <v/>
      </c>
      <c r="D5" s="50">
        <f>IF(B5&lt;=0,0,C5-E5)</f>
        <v/>
      </c>
      <c r="E5" s="51">
        <f>IF(B5&lt;=0,0,ROUND(B5*Deudas!C17/12,2))</f>
        <v/>
      </c>
      <c r="F5" s="30">
        <f>IF(B5&lt;=0,0,MAX(B5-D5,0))</f>
        <v/>
      </c>
    </row>
    <row r="6" ht="22" customHeight="1">
      <c r="A6" s="48" t="n">
        <v>2</v>
      </c>
      <c r="B6" s="30">
        <f>IF(F5&lt;=0,0,F5)</f>
        <v/>
      </c>
      <c r="C6" s="49">
        <f>IF(B6&lt;=0,0,MIN(Deudas!G4+Deudas!G5, B6+E6))</f>
        <v/>
      </c>
      <c r="D6" s="50">
        <f>IF(B6&lt;=0,0,C6-E6)</f>
        <v/>
      </c>
      <c r="E6" s="51">
        <f>IF(B6&lt;=0,0,ROUND(B6*Deudas!C17/12,2))</f>
        <v/>
      </c>
      <c r="F6" s="30">
        <f>IF(B6&lt;=0,0,MAX(B6-D6,0))</f>
        <v/>
      </c>
    </row>
    <row r="7" ht="22" customHeight="1">
      <c r="A7" s="48" t="n">
        <v>3</v>
      </c>
      <c r="B7" s="30">
        <f>IF(F6&lt;=0,0,F6)</f>
        <v/>
      </c>
      <c r="C7" s="49">
        <f>IF(B7&lt;=0,0,MIN(Deudas!G4+Deudas!G5, B7+E7))</f>
        <v/>
      </c>
      <c r="D7" s="50">
        <f>IF(B7&lt;=0,0,C7-E7)</f>
        <v/>
      </c>
      <c r="E7" s="51">
        <f>IF(B7&lt;=0,0,ROUND(B7*Deudas!C17/12,2))</f>
        <v/>
      </c>
      <c r="F7" s="30">
        <f>IF(B7&lt;=0,0,MAX(B7-D7,0))</f>
        <v/>
      </c>
    </row>
    <row r="8" ht="22" customHeight="1">
      <c r="A8" s="48" t="n">
        <v>4</v>
      </c>
      <c r="B8" s="30">
        <f>IF(F7&lt;=0,0,F7)</f>
        <v/>
      </c>
      <c r="C8" s="49">
        <f>IF(B8&lt;=0,0,MIN(Deudas!G4+Deudas!G5, B8+E8))</f>
        <v/>
      </c>
      <c r="D8" s="50">
        <f>IF(B8&lt;=0,0,C8-E8)</f>
        <v/>
      </c>
      <c r="E8" s="51">
        <f>IF(B8&lt;=0,0,ROUND(B8*Deudas!C17/12,2))</f>
        <v/>
      </c>
      <c r="F8" s="30">
        <f>IF(B8&lt;=0,0,MAX(B8-D8,0))</f>
        <v/>
      </c>
    </row>
    <row r="9" ht="22" customHeight="1">
      <c r="A9" s="48" t="n">
        <v>5</v>
      </c>
      <c r="B9" s="30">
        <f>IF(F8&lt;=0,0,F8)</f>
        <v/>
      </c>
      <c r="C9" s="49">
        <f>IF(B9&lt;=0,0,MIN(Deudas!G4+Deudas!G5, B9+E9))</f>
        <v/>
      </c>
      <c r="D9" s="50">
        <f>IF(B9&lt;=0,0,C9-E9)</f>
        <v/>
      </c>
      <c r="E9" s="51">
        <f>IF(B9&lt;=0,0,ROUND(B9*Deudas!C17/12,2))</f>
        <v/>
      </c>
      <c r="F9" s="30">
        <f>IF(B9&lt;=0,0,MAX(B9-D9,0))</f>
        <v/>
      </c>
    </row>
    <row r="10" ht="22" customHeight="1">
      <c r="A10" s="48" t="n">
        <v>6</v>
      </c>
      <c r="B10" s="30">
        <f>IF(F9&lt;=0,0,F9)</f>
        <v/>
      </c>
      <c r="C10" s="49">
        <f>IF(B10&lt;=0,0,MIN(Deudas!G4+Deudas!G5, B10+E10))</f>
        <v/>
      </c>
      <c r="D10" s="50">
        <f>IF(B10&lt;=0,0,C10-E10)</f>
        <v/>
      </c>
      <c r="E10" s="51">
        <f>IF(B10&lt;=0,0,ROUND(B10*Deudas!C17/12,2))</f>
        <v/>
      </c>
      <c r="F10" s="30">
        <f>IF(B10&lt;=0,0,MAX(B10-D10,0))</f>
        <v/>
      </c>
    </row>
    <row r="11" ht="22" customHeight="1">
      <c r="A11" s="48" t="n">
        <v>7</v>
      </c>
      <c r="B11" s="30">
        <f>IF(F10&lt;=0,0,F10)</f>
        <v/>
      </c>
      <c r="C11" s="49">
        <f>IF(B11&lt;=0,0,MIN(Deudas!G4+Deudas!G5, B11+E11))</f>
        <v/>
      </c>
      <c r="D11" s="50">
        <f>IF(B11&lt;=0,0,C11-E11)</f>
        <v/>
      </c>
      <c r="E11" s="51">
        <f>IF(B11&lt;=0,0,ROUND(B11*Deudas!C17/12,2))</f>
        <v/>
      </c>
      <c r="F11" s="30">
        <f>IF(B11&lt;=0,0,MAX(B11-D11,0))</f>
        <v/>
      </c>
    </row>
    <row r="12" ht="22" customHeight="1">
      <c r="A12" s="48" t="n">
        <v>8</v>
      </c>
      <c r="B12" s="30">
        <f>IF(F11&lt;=0,0,F11)</f>
        <v/>
      </c>
      <c r="C12" s="49">
        <f>IF(B12&lt;=0,0,MIN(Deudas!G4+Deudas!G5, B12+E12))</f>
        <v/>
      </c>
      <c r="D12" s="50">
        <f>IF(B12&lt;=0,0,C12-E12)</f>
        <v/>
      </c>
      <c r="E12" s="51">
        <f>IF(B12&lt;=0,0,ROUND(B12*Deudas!C17/12,2))</f>
        <v/>
      </c>
      <c r="F12" s="30">
        <f>IF(B12&lt;=0,0,MAX(B12-D12,0))</f>
        <v/>
      </c>
    </row>
    <row r="13" ht="22" customHeight="1">
      <c r="A13" s="48" t="n">
        <v>9</v>
      </c>
      <c r="B13" s="30">
        <f>IF(F12&lt;=0,0,F12)</f>
        <v/>
      </c>
      <c r="C13" s="49">
        <f>IF(B13&lt;=0,0,MIN(Deudas!G4+Deudas!G5, B13+E13))</f>
        <v/>
      </c>
      <c r="D13" s="50">
        <f>IF(B13&lt;=0,0,C13-E13)</f>
        <v/>
      </c>
      <c r="E13" s="51">
        <f>IF(B13&lt;=0,0,ROUND(B13*Deudas!C17/12,2))</f>
        <v/>
      </c>
      <c r="F13" s="30">
        <f>IF(B13&lt;=0,0,MAX(B13-D13,0))</f>
        <v/>
      </c>
    </row>
    <row r="14" ht="22" customHeight="1">
      <c r="A14" s="48" t="n">
        <v>10</v>
      </c>
      <c r="B14" s="30">
        <f>IF(F13&lt;=0,0,F13)</f>
        <v/>
      </c>
      <c r="C14" s="49">
        <f>IF(B14&lt;=0,0,MIN(Deudas!G4+Deudas!G5, B14+E14))</f>
        <v/>
      </c>
      <c r="D14" s="50">
        <f>IF(B14&lt;=0,0,C14-E14)</f>
        <v/>
      </c>
      <c r="E14" s="51">
        <f>IF(B14&lt;=0,0,ROUND(B14*Deudas!C17/12,2))</f>
        <v/>
      </c>
      <c r="F14" s="30">
        <f>IF(B14&lt;=0,0,MAX(B14-D14,0))</f>
        <v/>
      </c>
    </row>
    <row r="15" ht="22" customHeight="1">
      <c r="A15" s="48" t="n">
        <v>11</v>
      </c>
      <c r="B15" s="30">
        <f>IF(F14&lt;=0,0,F14)</f>
        <v/>
      </c>
      <c r="C15" s="49">
        <f>IF(B15&lt;=0,0,MIN(Deudas!G4+Deudas!G5, B15+E15))</f>
        <v/>
      </c>
      <c r="D15" s="50">
        <f>IF(B15&lt;=0,0,C15-E15)</f>
        <v/>
      </c>
      <c r="E15" s="51">
        <f>IF(B15&lt;=0,0,ROUND(B15*Deudas!C17/12,2))</f>
        <v/>
      </c>
      <c r="F15" s="30">
        <f>IF(B15&lt;=0,0,MAX(B15-D15,0))</f>
        <v/>
      </c>
    </row>
    <row r="16" ht="22" customHeight="1">
      <c r="A16" s="48" t="n">
        <v>12</v>
      </c>
      <c r="B16" s="30">
        <f>IF(F15&lt;=0,0,F15)</f>
        <v/>
      </c>
      <c r="C16" s="49">
        <f>IF(B16&lt;=0,0,MIN(Deudas!G4+Deudas!G5, B16+E16))</f>
        <v/>
      </c>
      <c r="D16" s="50">
        <f>IF(B16&lt;=0,0,C16-E16)</f>
        <v/>
      </c>
      <c r="E16" s="51">
        <f>IF(B16&lt;=0,0,ROUND(B16*Deudas!C17/12,2))</f>
        <v/>
      </c>
      <c r="F16" s="30">
        <f>IF(B16&lt;=0,0,MAX(B16-D16,0))</f>
        <v/>
      </c>
    </row>
    <row r="17" ht="22" customHeight="1">
      <c r="A17" s="48" t="n">
        <v>13</v>
      </c>
      <c r="B17" s="30">
        <f>IF(F16&lt;=0,0,F16)</f>
        <v/>
      </c>
      <c r="C17" s="49">
        <f>IF(B17&lt;=0,0,MIN(Deudas!G4+Deudas!G5, B17+E17))</f>
        <v/>
      </c>
      <c r="D17" s="50">
        <f>IF(B17&lt;=0,0,C17-E17)</f>
        <v/>
      </c>
      <c r="E17" s="51">
        <f>IF(B17&lt;=0,0,ROUND(B17*Deudas!C17/12,2))</f>
        <v/>
      </c>
      <c r="F17" s="30">
        <f>IF(B17&lt;=0,0,MAX(B17-D17,0))</f>
        <v/>
      </c>
    </row>
    <row r="18" ht="22" customHeight="1">
      <c r="A18" s="48" t="n">
        <v>14</v>
      </c>
      <c r="B18" s="30">
        <f>IF(F17&lt;=0,0,F17)</f>
        <v/>
      </c>
      <c r="C18" s="49">
        <f>IF(B18&lt;=0,0,MIN(Deudas!G4+Deudas!G5, B18+E18))</f>
        <v/>
      </c>
      <c r="D18" s="50">
        <f>IF(B18&lt;=0,0,C18-E18)</f>
        <v/>
      </c>
      <c r="E18" s="51">
        <f>IF(B18&lt;=0,0,ROUND(B18*Deudas!C17/12,2))</f>
        <v/>
      </c>
      <c r="F18" s="30">
        <f>IF(B18&lt;=0,0,MAX(B18-D18,0))</f>
        <v/>
      </c>
    </row>
    <row r="19" ht="22" customHeight="1">
      <c r="A19" s="48" t="n">
        <v>15</v>
      </c>
      <c r="B19" s="30">
        <f>IF(F18&lt;=0,0,F18)</f>
        <v/>
      </c>
      <c r="C19" s="49">
        <f>IF(B19&lt;=0,0,MIN(Deudas!G4+Deudas!G5, B19+E19))</f>
        <v/>
      </c>
      <c r="D19" s="50">
        <f>IF(B19&lt;=0,0,C19-E19)</f>
        <v/>
      </c>
      <c r="E19" s="51">
        <f>IF(B19&lt;=0,0,ROUND(B19*Deudas!C17/12,2))</f>
        <v/>
      </c>
      <c r="F19" s="30">
        <f>IF(B19&lt;=0,0,MAX(B19-D19,0))</f>
        <v/>
      </c>
    </row>
    <row r="20" ht="22" customHeight="1">
      <c r="A20" s="48" t="n">
        <v>16</v>
      </c>
      <c r="B20" s="30">
        <f>IF(F19&lt;=0,0,F19)</f>
        <v/>
      </c>
      <c r="C20" s="49">
        <f>IF(B20&lt;=0,0,MIN(Deudas!G4+Deudas!G5, B20+E20))</f>
        <v/>
      </c>
      <c r="D20" s="50">
        <f>IF(B20&lt;=0,0,C20-E20)</f>
        <v/>
      </c>
      <c r="E20" s="51">
        <f>IF(B20&lt;=0,0,ROUND(B20*Deudas!C17/12,2))</f>
        <v/>
      </c>
      <c r="F20" s="30">
        <f>IF(B20&lt;=0,0,MAX(B20-D20,0))</f>
        <v/>
      </c>
    </row>
    <row r="21" ht="22" customHeight="1">
      <c r="A21" s="48" t="n">
        <v>17</v>
      </c>
      <c r="B21" s="30">
        <f>IF(F20&lt;=0,0,F20)</f>
        <v/>
      </c>
      <c r="C21" s="49">
        <f>IF(B21&lt;=0,0,MIN(Deudas!G4+Deudas!G5, B21+E21))</f>
        <v/>
      </c>
      <c r="D21" s="50">
        <f>IF(B21&lt;=0,0,C21-E21)</f>
        <v/>
      </c>
      <c r="E21" s="51">
        <f>IF(B21&lt;=0,0,ROUND(B21*Deudas!C17/12,2))</f>
        <v/>
      </c>
      <c r="F21" s="30">
        <f>IF(B21&lt;=0,0,MAX(B21-D21,0))</f>
        <v/>
      </c>
    </row>
    <row r="22" ht="22" customHeight="1">
      <c r="A22" s="48" t="n">
        <v>18</v>
      </c>
      <c r="B22" s="30">
        <f>IF(F21&lt;=0,0,F21)</f>
        <v/>
      </c>
      <c r="C22" s="49">
        <f>IF(B22&lt;=0,0,MIN(Deudas!G4+Deudas!G5, B22+E22))</f>
        <v/>
      </c>
      <c r="D22" s="50">
        <f>IF(B22&lt;=0,0,C22-E22)</f>
        <v/>
      </c>
      <c r="E22" s="51">
        <f>IF(B22&lt;=0,0,ROUND(B22*Deudas!C17/12,2))</f>
        <v/>
      </c>
      <c r="F22" s="30">
        <f>IF(B22&lt;=0,0,MAX(B22-D22,0))</f>
        <v/>
      </c>
    </row>
    <row r="23" ht="22" customHeight="1">
      <c r="A23" s="48" t="n">
        <v>19</v>
      </c>
      <c r="B23" s="30">
        <f>IF(F22&lt;=0,0,F22)</f>
        <v/>
      </c>
      <c r="C23" s="49">
        <f>IF(B23&lt;=0,0,MIN(Deudas!G4+Deudas!G5, B23+E23))</f>
        <v/>
      </c>
      <c r="D23" s="50">
        <f>IF(B23&lt;=0,0,C23-E23)</f>
        <v/>
      </c>
      <c r="E23" s="51">
        <f>IF(B23&lt;=0,0,ROUND(B23*Deudas!C17/12,2))</f>
        <v/>
      </c>
      <c r="F23" s="30">
        <f>IF(B23&lt;=0,0,MAX(B23-D23,0))</f>
        <v/>
      </c>
    </row>
    <row r="24" ht="22" customHeight="1">
      <c r="A24" s="48" t="n">
        <v>20</v>
      </c>
      <c r="B24" s="30">
        <f>IF(F23&lt;=0,0,F23)</f>
        <v/>
      </c>
      <c r="C24" s="49">
        <f>IF(B24&lt;=0,0,MIN(Deudas!G4+Deudas!G5, B24+E24))</f>
        <v/>
      </c>
      <c r="D24" s="50">
        <f>IF(B24&lt;=0,0,C24-E24)</f>
        <v/>
      </c>
      <c r="E24" s="51">
        <f>IF(B24&lt;=0,0,ROUND(B24*Deudas!C17/12,2))</f>
        <v/>
      </c>
      <c r="F24" s="30">
        <f>IF(B24&lt;=0,0,MAX(B24-D24,0))</f>
        <v/>
      </c>
    </row>
    <row r="25" ht="22" customHeight="1">
      <c r="A25" s="48" t="n">
        <v>21</v>
      </c>
      <c r="B25" s="30">
        <f>IF(F24&lt;=0,0,F24)</f>
        <v/>
      </c>
      <c r="C25" s="49">
        <f>IF(B25&lt;=0,0,MIN(Deudas!G4+Deudas!G5, B25+E25))</f>
        <v/>
      </c>
      <c r="D25" s="50">
        <f>IF(B25&lt;=0,0,C25-E25)</f>
        <v/>
      </c>
      <c r="E25" s="51">
        <f>IF(B25&lt;=0,0,ROUND(B25*Deudas!C17/12,2))</f>
        <v/>
      </c>
      <c r="F25" s="30">
        <f>IF(B25&lt;=0,0,MAX(B25-D25,0))</f>
        <v/>
      </c>
    </row>
    <row r="26" ht="22" customHeight="1">
      <c r="A26" s="48" t="n">
        <v>22</v>
      </c>
      <c r="B26" s="30">
        <f>IF(F25&lt;=0,0,F25)</f>
        <v/>
      </c>
      <c r="C26" s="49">
        <f>IF(B26&lt;=0,0,MIN(Deudas!G4+Deudas!G5, B26+E26))</f>
        <v/>
      </c>
      <c r="D26" s="50">
        <f>IF(B26&lt;=0,0,C26-E26)</f>
        <v/>
      </c>
      <c r="E26" s="51">
        <f>IF(B26&lt;=0,0,ROUND(B26*Deudas!C17/12,2))</f>
        <v/>
      </c>
      <c r="F26" s="30">
        <f>IF(B26&lt;=0,0,MAX(B26-D26,0))</f>
        <v/>
      </c>
    </row>
    <row r="27" ht="22" customHeight="1">
      <c r="A27" s="48" t="n">
        <v>23</v>
      </c>
      <c r="B27" s="30">
        <f>IF(F26&lt;=0,0,F26)</f>
        <v/>
      </c>
      <c r="C27" s="49">
        <f>IF(B27&lt;=0,0,MIN(Deudas!G4+Deudas!G5, B27+E27))</f>
        <v/>
      </c>
      <c r="D27" s="50">
        <f>IF(B27&lt;=0,0,C27-E27)</f>
        <v/>
      </c>
      <c r="E27" s="51">
        <f>IF(B27&lt;=0,0,ROUND(B27*Deudas!C17/12,2))</f>
        <v/>
      </c>
      <c r="F27" s="30">
        <f>IF(B27&lt;=0,0,MAX(B27-D27,0))</f>
        <v/>
      </c>
    </row>
    <row r="28" ht="22" customHeight="1">
      <c r="A28" s="48" t="n">
        <v>24</v>
      </c>
      <c r="B28" s="30">
        <f>IF(F27&lt;=0,0,F27)</f>
        <v/>
      </c>
      <c r="C28" s="49">
        <f>IF(B28&lt;=0,0,MIN(Deudas!G4+Deudas!G5, B28+E28))</f>
        <v/>
      </c>
      <c r="D28" s="50">
        <f>IF(B28&lt;=0,0,C28-E28)</f>
        <v/>
      </c>
      <c r="E28" s="51">
        <f>IF(B28&lt;=0,0,ROUND(B28*Deudas!C17/12,2))</f>
        <v/>
      </c>
      <c r="F28" s="30">
        <f>IF(B28&lt;=0,0,MAX(B28-D28,0))</f>
        <v/>
      </c>
    </row>
    <row r="29" ht="22" customHeight="1">
      <c r="A29" s="48" t="n">
        <v>25</v>
      </c>
      <c r="B29" s="30">
        <f>IF(F28&lt;=0,0,F28)</f>
        <v/>
      </c>
      <c r="C29" s="49">
        <f>IF(B29&lt;=0,0,MIN(Deudas!G4+Deudas!G5, B29+E29))</f>
        <v/>
      </c>
      <c r="D29" s="50">
        <f>IF(B29&lt;=0,0,C29-E29)</f>
        <v/>
      </c>
      <c r="E29" s="51">
        <f>IF(B29&lt;=0,0,ROUND(B29*Deudas!C17/12,2))</f>
        <v/>
      </c>
      <c r="F29" s="30">
        <f>IF(B29&lt;=0,0,MAX(B29-D29,0))</f>
        <v/>
      </c>
    </row>
    <row r="30" ht="22" customHeight="1">
      <c r="A30" s="48" t="n">
        <v>26</v>
      </c>
      <c r="B30" s="30">
        <f>IF(F29&lt;=0,0,F29)</f>
        <v/>
      </c>
      <c r="C30" s="49">
        <f>IF(B30&lt;=0,0,MIN(Deudas!G4+Deudas!G5, B30+E30))</f>
        <v/>
      </c>
      <c r="D30" s="50">
        <f>IF(B30&lt;=0,0,C30-E30)</f>
        <v/>
      </c>
      <c r="E30" s="51">
        <f>IF(B30&lt;=0,0,ROUND(B30*Deudas!C17/12,2))</f>
        <v/>
      </c>
      <c r="F30" s="30">
        <f>IF(B30&lt;=0,0,MAX(B30-D30,0))</f>
        <v/>
      </c>
    </row>
    <row r="31" ht="22" customHeight="1">
      <c r="A31" s="48" t="n">
        <v>27</v>
      </c>
      <c r="B31" s="30">
        <f>IF(F30&lt;=0,0,F30)</f>
        <v/>
      </c>
      <c r="C31" s="49">
        <f>IF(B31&lt;=0,0,MIN(Deudas!G4+Deudas!G5, B31+E31))</f>
        <v/>
      </c>
      <c r="D31" s="50">
        <f>IF(B31&lt;=0,0,C31-E31)</f>
        <v/>
      </c>
      <c r="E31" s="51">
        <f>IF(B31&lt;=0,0,ROUND(B31*Deudas!C17/12,2))</f>
        <v/>
      </c>
      <c r="F31" s="30">
        <f>IF(B31&lt;=0,0,MAX(B31-D31,0))</f>
        <v/>
      </c>
    </row>
    <row r="32" ht="22" customHeight="1">
      <c r="A32" s="48" t="n">
        <v>28</v>
      </c>
      <c r="B32" s="30">
        <f>IF(F31&lt;=0,0,F31)</f>
        <v/>
      </c>
      <c r="C32" s="49">
        <f>IF(B32&lt;=0,0,MIN(Deudas!G4+Deudas!G5, B32+E32))</f>
        <v/>
      </c>
      <c r="D32" s="50">
        <f>IF(B32&lt;=0,0,C32-E32)</f>
        <v/>
      </c>
      <c r="E32" s="51">
        <f>IF(B32&lt;=0,0,ROUND(B32*Deudas!C17/12,2))</f>
        <v/>
      </c>
      <c r="F32" s="30">
        <f>IF(B32&lt;=0,0,MAX(B32-D32,0))</f>
        <v/>
      </c>
    </row>
    <row r="33" ht="22" customHeight="1">
      <c r="A33" s="48" t="n">
        <v>29</v>
      </c>
      <c r="B33" s="30">
        <f>IF(F32&lt;=0,0,F32)</f>
        <v/>
      </c>
      <c r="C33" s="49">
        <f>IF(B33&lt;=0,0,MIN(Deudas!G4+Deudas!G5, B33+E33))</f>
        <v/>
      </c>
      <c r="D33" s="50">
        <f>IF(B33&lt;=0,0,C33-E33)</f>
        <v/>
      </c>
      <c r="E33" s="51">
        <f>IF(B33&lt;=0,0,ROUND(B33*Deudas!C17/12,2))</f>
        <v/>
      </c>
      <c r="F33" s="30">
        <f>IF(B33&lt;=0,0,MAX(B33-D33,0))</f>
        <v/>
      </c>
    </row>
    <row r="34" ht="22" customHeight="1">
      <c r="A34" s="48" t="n">
        <v>30</v>
      </c>
      <c r="B34" s="30">
        <f>IF(F33&lt;=0,0,F33)</f>
        <v/>
      </c>
      <c r="C34" s="49">
        <f>IF(B34&lt;=0,0,MIN(Deudas!G4+Deudas!G5, B34+E34))</f>
        <v/>
      </c>
      <c r="D34" s="50">
        <f>IF(B34&lt;=0,0,C34-E34)</f>
        <v/>
      </c>
      <c r="E34" s="51">
        <f>IF(B34&lt;=0,0,ROUND(B34*Deudas!C17/12,2))</f>
        <v/>
      </c>
      <c r="F34" s="30">
        <f>IF(B34&lt;=0,0,MAX(B34-D34,0))</f>
        <v/>
      </c>
    </row>
    <row r="35" ht="22" customHeight="1">
      <c r="A35" s="48" t="n">
        <v>31</v>
      </c>
      <c r="B35" s="30">
        <f>IF(F34&lt;=0,0,F34)</f>
        <v/>
      </c>
      <c r="C35" s="49">
        <f>IF(B35&lt;=0,0,MIN(Deudas!G4+Deudas!G5, B35+E35))</f>
        <v/>
      </c>
      <c r="D35" s="50">
        <f>IF(B35&lt;=0,0,C35-E35)</f>
        <v/>
      </c>
      <c r="E35" s="51">
        <f>IF(B35&lt;=0,0,ROUND(B35*Deudas!C17/12,2))</f>
        <v/>
      </c>
      <c r="F35" s="30">
        <f>IF(B35&lt;=0,0,MAX(B35-D35,0))</f>
        <v/>
      </c>
    </row>
    <row r="36" ht="22" customHeight="1">
      <c r="A36" s="48" t="n">
        <v>32</v>
      </c>
      <c r="B36" s="30">
        <f>IF(F35&lt;=0,0,F35)</f>
        <v/>
      </c>
      <c r="C36" s="49">
        <f>IF(B36&lt;=0,0,MIN(Deudas!G4+Deudas!G5, B36+E36))</f>
        <v/>
      </c>
      <c r="D36" s="50">
        <f>IF(B36&lt;=0,0,C36-E36)</f>
        <v/>
      </c>
      <c r="E36" s="51">
        <f>IF(B36&lt;=0,0,ROUND(B36*Deudas!C17/12,2))</f>
        <v/>
      </c>
      <c r="F36" s="30">
        <f>IF(B36&lt;=0,0,MAX(B36-D36,0))</f>
        <v/>
      </c>
    </row>
    <row r="37" ht="22" customHeight="1">
      <c r="A37" s="48" t="n">
        <v>33</v>
      </c>
      <c r="B37" s="30">
        <f>IF(F36&lt;=0,0,F36)</f>
        <v/>
      </c>
      <c r="C37" s="49">
        <f>IF(B37&lt;=0,0,MIN(Deudas!G4+Deudas!G5, B37+E37))</f>
        <v/>
      </c>
      <c r="D37" s="50">
        <f>IF(B37&lt;=0,0,C37-E37)</f>
        <v/>
      </c>
      <c r="E37" s="51">
        <f>IF(B37&lt;=0,0,ROUND(B37*Deudas!C17/12,2))</f>
        <v/>
      </c>
      <c r="F37" s="30">
        <f>IF(B37&lt;=0,0,MAX(B37-D37,0))</f>
        <v/>
      </c>
    </row>
    <row r="38" ht="22" customHeight="1">
      <c r="A38" s="48" t="n">
        <v>34</v>
      </c>
      <c r="B38" s="30">
        <f>IF(F37&lt;=0,0,F37)</f>
        <v/>
      </c>
      <c r="C38" s="49">
        <f>IF(B38&lt;=0,0,MIN(Deudas!G4+Deudas!G5, B38+E38))</f>
        <v/>
      </c>
      <c r="D38" s="50">
        <f>IF(B38&lt;=0,0,C38-E38)</f>
        <v/>
      </c>
      <c r="E38" s="51">
        <f>IF(B38&lt;=0,0,ROUND(B38*Deudas!C17/12,2))</f>
        <v/>
      </c>
      <c r="F38" s="30">
        <f>IF(B38&lt;=0,0,MAX(B38-D38,0))</f>
        <v/>
      </c>
    </row>
    <row r="39" ht="22" customHeight="1">
      <c r="A39" s="48" t="n">
        <v>35</v>
      </c>
      <c r="B39" s="30">
        <f>IF(F38&lt;=0,0,F38)</f>
        <v/>
      </c>
      <c r="C39" s="49">
        <f>IF(B39&lt;=0,0,MIN(Deudas!G4+Deudas!G5, B39+E39))</f>
        <v/>
      </c>
      <c r="D39" s="50">
        <f>IF(B39&lt;=0,0,C39-E39)</f>
        <v/>
      </c>
      <c r="E39" s="51">
        <f>IF(B39&lt;=0,0,ROUND(B39*Deudas!C17/12,2))</f>
        <v/>
      </c>
      <c r="F39" s="30">
        <f>IF(B39&lt;=0,0,MAX(B39-D39,0))</f>
        <v/>
      </c>
    </row>
    <row r="40" ht="22" customHeight="1">
      <c r="A40" s="48" t="n">
        <v>36</v>
      </c>
      <c r="B40" s="30">
        <f>IF(F39&lt;=0,0,F39)</f>
        <v/>
      </c>
      <c r="C40" s="49">
        <f>IF(B40&lt;=0,0,MIN(Deudas!G4+Deudas!G5, B40+E40))</f>
        <v/>
      </c>
      <c r="D40" s="50">
        <f>IF(B40&lt;=0,0,C40-E40)</f>
        <v/>
      </c>
      <c r="E40" s="51">
        <f>IF(B40&lt;=0,0,ROUND(B40*Deudas!C17/12,2))</f>
        <v/>
      </c>
      <c r="F40" s="30">
        <f>IF(B40&lt;=0,0,MAX(B40-D40,0))</f>
        <v/>
      </c>
    </row>
    <row r="41" ht="22" customHeight="1">
      <c r="A41" s="48" t="n">
        <v>37</v>
      </c>
      <c r="B41" s="30">
        <f>IF(F40&lt;=0,0,F40)</f>
        <v/>
      </c>
      <c r="C41" s="49">
        <f>IF(B41&lt;=0,0,MIN(Deudas!G4+Deudas!G5, B41+E41))</f>
        <v/>
      </c>
      <c r="D41" s="50">
        <f>IF(B41&lt;=0,0,C41-E41)</f>
        <v/>
      </c>
      <c r="E41" s="51">
        <f>IF(B41&lt;=0,0,ROUND(B41*Deudas!C17/12,2))</f>
        <v/>
      </c>
      <c r="F41" s="30">
        <f>IF(B41&lt;=0,0,MAX(B41-D41,0))</f>
        <v/>
      </c>
    </row>
    <row r="42" ht="22" customHeight="1">
      <c r="A42" s="48" t="n">
        <v>38</v>
      </c>
      <c r="B42" s="30">
        <f>IF(F41&lt;=0,0,F41)</f>
        <v/>
      </c>
      <c r="C42" s="49">
        <f>IF(B42&lt;=0,0,MIN(Deudas!G4+Deudas!G5, B42+E42))</f>
        <v/>
      </c>
      <c r="D42" s="50">
        <f>IF(B42&lt;=0,0,C42-E42)</f>
        <v/>
      </c>
      <c r="E42" s="51">
        <f>IF(B42&lt;=0,0,ROUND(B42*Deudas!C17/12,2))</f>
        <v/>
      </c>
      <c r="F42" s="30">
        <f>IF(B42&lt;=0,0,MAX(B42-D42,0))</f>
        <v/>
      </c>
    </row>
    <row r="43" ht="22" customHeight="1">
      <c r="A43" s="48" t="n">
        <v>39</v>
      </c>
      <c r="B43" s="30">
        <f>IF(F42&lt;=0,0,F42)</f>
        <v/>
      </c>
      <c r="C43" s="49">
        <f>IF(B43&lt;=0,0,MIN(Deudas!G4+Deudas!G5, B43+E43))</f>
        <v/>
      </c>
      <c r="D43" s="50">
        <f>IF(B43&lt;=0,0,C43-E43)</f>
        <v/>
      </c>
      <c r="E43" s="51">
        <f>IF(B43&lt;=0,0,ROUND(B43*Deudas!C17/12,2))</f>
        <v/>
      </c>
      <c r="F43" s="30">
        <f>IF(B43&lt;=0,0,MAX(B43-D43,0))</f>
        <v/>
      </c>
    </row>
    <row r="44" ht="22" customHeight="1">
      <c r="A44" s="48" t="n">
        <v>40</v>
      </c>
      <c r="B44" s="30">
        <f>IF(F43&lt;=0,0,F43)</f>
        <v/>
      </c>
      <c r="C44" s="49">
        <f>IF(B44&lt;=0,0,MIN(Deudas!G4+Deudas!G5, B44+E44))</f>
        <v/>
      </c>
      <c r="D44" s="50">
        <f>IF(B44&lt;=0,0,C44-E44)</f>
        <v/>
      </c>
      <c r="E44" s="51">
        <f>IF(B44&lt;=0,0,ROUND(B44*Deudas!C17/12,2))</f>
        <v/>
      </c>
      <c r="F44" s="30">
        <f>IF(B44&lt;=0,0,MAX(B44-D44,0))</f>
        <v/>
      </c>
    </row>
    <row r="45" ht="22" customHeight="1">
      <c r="A45" s="48" t="n">
        <v>41</v>
      </c>
      <c r="B45" s="30">
        <f>IF(F44&lt;=0,0,F44)</f>
        <v/>
      </c>
      <c r="C45" s="49">
        <f>IF(B45&lt;=0,0,MIN(Deudas!G4+Deudas!G5, B45+E45))</f>
        <v/>
      </c>
      <c r="D45" s="50">
        <f>IF(B45&lt;=0,0,C45-E45)</f>
        <v/>
      </c>
      <c r="E45" s="51">
        <f>IF(B45&lt;=0,0,ROUND(B45*Deudas!C17/12,2))</f>
        <v/>
      </c>
      <c r="F45" s="30">
        <f>IF(B45&lt;=0,0,MAX(B45-D45,0))</f>
        <v/>
      </c>
    </row>
    <row r="46" ht="22" customHeight="1">
      <c r="A46" s="48" t="n">
        <v>42</v>
      </c>
      <c r="B46" s="30">
        <f>IF(F45&lt;=0,0,F45)</f>
        <v/>
      </c>
      <c r="C46" s="49">
        <f>IF(B46&lt;=0,0,MIN(Deudas!G4+Deudas!G5, B46+E46))</f>
        <v/>
      </c>
      <c r="D46" s="50">
        <f>IF(B46&lt;=0,0,C46-E46)</f>
        <v/>
      </c>
      <c r="E46" s="51">
        <f>IF(B46&lt;=0,0,ROUND(B46*Deudas!C17/12,2))</f>
        <v/>
      </c>
      <c r="F46" s="30">
        <f>IF(B46&lt;=0,0,MAX(B46-D46,0))</f>
        <v/>
      </c>
    </row>
    <row r="47" ht="22" customHeight="1">
      <c r="A47" s="48" t="n">
        <v>43</v>
      </c>
      <c r="B47" s="30">
        <f>IF(F46&lt;=0,0,F46)</f>
        <v/>
      </c>
      <c r="C47" s="49">
        <f>IF(B47&lt;=0,0,MIN(Deudas!G4+Deudas!G5, B47+E47))</f>
        <v/>
      </c>
      <c r="D47" s="50">
        <f>IF(B47&lt;=0,0,C47-E47)</f>
        <v/>
      </c>
      <c r="E47" s="51">
        <f>IF(B47&lt;=0,0,ROUND(B47*Deudas!C17/12,2))</f>
        <v/>
      </c>
      <c r="F47" s="30">
        <f>IF(B47&lt;=0,0,MAX(B47-D47,0))</f>
        <v/>
      </c>
    </row>
    <row r="48" ht="22" customHeight="1">
      <c r="A48" s="48" t="n">
        <v>44</v>
      </c>
      <c r="B48" s="30">
        <f>IF(F47&lt;=0,0,F47)</f>
        <v/>
      </c>
      <c r="C48" s="49">
        <f>IF(B48&lt;=0,0,MIN(Deudas!G4+Deudas!G5, B48+E48))</f>
        <v/>
      </c>
      <c r="D48" s="50">
        <f>IF(B48&lt;=0,0,C48-E48)</f>
        <v/>
      </c>
      <c r="E48" s="51">
        <f>IF(B48&lt;=0,0,ROUND(B48*Deudas!C17/12,2))</f>
        <v/>
      </c>
      <c r="F48" s="30">
        <f>IF(B48&lt;=0,0,MAX(B48-D48,0))</f>
        <v/>
      </c>
    </row>
    <row r="49" ht="22" customHeight="1">
      <c r="A49" s="48" t="n">
        <v>45</v>
      </c>
      <c r="B49" s="30">
        <f>IF(F48&lt;=0,0,F48)</f>
        <v/>
      </c>
      <c r="C49" s="49">
        <f>IF(B49&lt;=0,0,MIN(Deudas!G4+Deudas!G5, B49+E49))</f>
        <v/>
      </c>
      <c r="D49" s="50">
        <f>IF(B49&lt;=0,0,C49-E49)</f>
        <v/>
      </c>
      <c r="E49" s="51">
        <f>IF(B49&lt;=0,0,ROUND(B49*Deudas!C17/12,2))</f>
        <v/>
      </c>
      <c r="F49" s="30">
        <f>IF(B49&lt;=0,0,MAX(B49-D49,0))</f>
        <v/>
      </c>
    </row>
    <row r="50" ht="22" customHeight="1">
      <c r="A50" s="48" t="n">
        <v>46</v>
      </c>
      <c r="B50" s="30">
        <f>IF(F49&lt;=0,0,F49)</f>
        <v/>
      </c>
      <c r="C50" s="49">
        <f>IF(B50&lt;=0,0,MIN(Deudas!G4+Deudas!G5, B50+E50))</f>
        <v/>
      </c>
      <c r="D50" s="50">
        <f>IF(B50&lt;=0,0,C50-E50)</f>
        <v/>
      </c>
      <c r="E50" s="51">
        <f>IF(B50&lt;=0,0,ROUND(B50*Deudas!C17/12,2))</f>
        <v/>
      </c>
      <c r="F50" s="30">
        <f>IF(B50&lt;=0,0,MAX(B50-D50,0))</f>
        <v/>
      </c>
    </row>
    <row r="51" ht="22" customHeight="1">
      <c r="A51" s="48" t="n">
        <v>47</v>
      </c>
      <c r="B51" s="30">
        <f>IF(F50&lt;=0,0,F50)</f>
        <v/>
      </c>
      <c r="C51" s="49">
        <f>IF(B51&lt;=0,0,MIN(Deudas!G4+Deudas!G5, B51+E51))</f>
        <v/>
      </c>
      <c r="D51" s="50">
        <f>IF(B51&lt;=0,0,C51-E51)</f>
        <v/>
      </c>
      <c r="E51" s="51">
        <f>IF(B51&lt;=0,0,ROUND(B51*Deudas!C17/12,2))</f>
        <v/>
      </c>
      <c r="F51" s="30">
        <f>IF(B51&lt;=0,0,MAX(B51-D51,0))</f>
        <v/>
      </c>
    </row>
    <row r="52" ht="22" customHeight="1">
      <c r="A52" s="48" t="n">
        <v>48</v>
      </c>
      <c r="B52" s="30">
        <f>IF(F51&lt;=0,0,F51)</f>
        <v/>
      </c>
      <c r="C52" s="49">
        <f>IF(B52&lt;=0,0,MIN(Deudas!G4+Deudas!G5, B52+E52))</f>
        <v/>
      </c>
      <c r="D52" s="50">
        <f>IF(B52&lt;=0,0,C52-E52)</f>
        <v/>
      </c>
      <c r="E52" s="51">
        <f>IF(B52&lt;=0,0,ROUND(B52*Deudas!C17/12,2))</f>
        <v/>
      </c>
      <c r="F52" s="30">
        <f>IF(B52&lt;=0,0,MAX(B52-D52,0))</f>
        <v/>
      </c>
    </row>
    <row r="53" ht="22" customHeight="1">
      <c r="A53" s="48" t="n">
        <v>49</v>
      </c>
      <c r="B53" s="30">
        <f>IF(F52&lt;=0,0,F52)</f>
        <v/>
      </c>
      <c r="C53" s="49">
        <f>IF(B53&lt;=0,0,MIN(Deudas!G4+Deudas!G5, B53+E53))</f>
        <v/>
      </c>
      <c r="D53" s="50">
        <f>IF(B53&lt;=0,0,C53-E53)</f>
        <v/>
      </c>
      <c r="E53" s="51">
        <f>IF(B53&lt;=0,0,ROUND(B53*Deudas!C17/12,2))</f>
        <v/>
      </c>
      <c r="F53" s="30">
        <f>IF(B53&lt;=0,0,MAX(B53-D53,0))</f>
        <v/>
      </c>
    </row>
    <row r="54" ht="22" customHeight="1">
      <c r="A54" s="48" t="n">
        <v>50</v>
      </c>
      <c r="B54" s="30">
        <f>IF(F53&lt;=0,0,F53)</f>
        <v/>
      </c>
      <c r="C54" s="49">
        <f>IF(B54&lt;=0,0,MIN(Deudas!G4+Deudas!G5, B54+E54))</f>
        <v/>
      </c>
      <c r="D54" s="50">
        <f>IF(B54&lt;=0,0,C54-E54)</f>
        <v/>
      </c>
      <c r="E54" s="51">
        <f>IF(B54&lt;=0,0,ROUND(B54*Deudas!C17/12,2))</f>
        <v/>
      </c>
      <c r="F54" s="30">
        <f>IF(B54&lt;=0,0,MAX(B54-D54,0))</f>
        <v/>
      </c>
    </row>
    <row r="55" ht="22" customHeight="1">
      <c r="A55" s="48" t="n">
        <v>51</v>
      </c>
      <c r="B55" s="30">
        <f>IF(F54&lt;=0,0,F54)</f>
        <v/>
      </c>
      <c r="C55" s="49">
        <f>IF(B55&lt;=0,0,MIN(Deudas!G4+Deudas!G5, B55+E55))</f>
        <v/>
      </c>
      <c r="D55" s="50">
        <f>IF(B55&lt;=0,0,C55-E55)</f>
        <v/>
      </c>
      <c r="E55" s="51">
        <f>IF(B55&lt;=0,0,ROUND(B55*Deudas!C17/12,2))</f>
        <v/>
      </c>
      <c r="F55" s="30">
        <f>IF(B55&lt;=0,0,MAX(B55-D55,0))</f>
        <v/>
      </c>
    </row>
    <row r="56" ht="22" customHeight="1">
      <c r="A56" s="48" t="n">
        <v>52</v>
      </c>
      <c r="B56" s="30">
        <f>IF(F55&lt;=0,0,F55)</f>
        <v/>
      </c>
      <c r="C56" s="49">
        <f>IF(B56&lt;=0,0,MIN(Deudas!G4+Deudas!G5, B56+E56))</f>
        <v/>
      </c>
      <c r="D56" s="50">
        <f>IF(B56&lt;=0,0,C56-E56)</f>
        <v/>
      </c>
      <c r="E56" s="51">
        <f>IF(B56&lt;=0,0,ROUND(B56*Deudas!C17/12,2))</f>
        <v/>
      </c>
      <c r="F56" s="30">
        <f>IF(B56&lt;=0,0,MAX(B56-D56,0))</f>
        <v/>
      </c>
    </row>
    <row r="57" ht="22" customHeight="1">
      <c r="A57" s="48" t="n">
        <v>53</v>
      </c>
      <c r="B57" s="30">
        <f>IF(F56&lt;=0,0,F56)</f>
        <v/>
      </c>
      <c r="C57" s="49">
        <f>IF(B57&lt;=0,0,MIN(Deudas!G4+Deudas!G5, B57+E57))</f>
        <v/>
      </c>
      <c r="D57" s="50">
        <f>IF(B57&lt;=0,0,C57-E57)</f>
        <v/>
      </c>
      <c r="E57" s="51">
        <f>IF(B57&lt;=0,0,ROUND(B57*Deudas!C17/12,2))</f>
        <v/>
      </c>
      <c r="F57" s="30">
        <f>IF(B57&lt;=0,0,MAX(B57-D57,0))</f>
        <v/>
      </c>
    </row>
    <row r="58" ht="22" customHeight="1">
      <c r="A58" s="48" t="n">
        <v>54</v>
      </c>
      <c r="B58" s="30">
        <f>IF(F57&lt;=0,0,F57)</f>
        <v/>
      </c>
      <c r="C58" s="49">
        <f>IF(B58&lt;=0,0,MIN(Deudas!G4+Deudas!G5, B58+E58))</f>
        <v/>
      </c>
      <c r="D58" s="50">
        <f>IF(B58&lt;=0,0,C58-E58)</f>
        <v/>
      </c>
      <c r="E58" s="51">
        <f>IF(B58&lt;=0,0,ROUND(B58*Deudas!C17/12,2))</f>
        <v/>
      </c>
      <c r="F58" s="30">
        <f>IF(B58&lt;=0,0,MAX(B58-D58,0))</f>
        <v/>
      </c>
    </row>
    <row r="59" ht="22" customHeight="1">
      <c r="A59" s="48" t="n">
        <v>55</v>
      </c>
      <c r="B59" s="30">
        <f>IF(F58&lt;=0,0,F58)</f>
        <v/>
      </c>
      <c r="C59" s="49">
        <f>IF(B59&lt;=0,0,MIN(Deudas!G4+Deudas!G5, B59+E59))</f>
        <v/>
      </c>
      <c r="D59" s="50">
        <f>IF(B59&lt;=0,0,C59-E59)</f>
        <v/>
      </c>
      <c r="E59" s="51">
        <f>IF(B59&lt;=0,0,ROUND(B59*Deudas!C17/12,2))</f>
        <v/>
      </c>
      <c r="F59" s="30">
        <f>IF(B59&lt;=0,0,MAX(B59-D59,0))</f>
        <v/>
      </c>
    </row>
    <row r="60" ht="22" customHeight="1">
      <c r="A60" s="48" t="n">
        <v>56</v>
      </c>
      <c r="B60" s="30">
        <f>IF(F59&lt;=0,0,F59)</f>
        <v/>
      </c>
      <c r="C60" s="49">
        <f>IF(B60&lt;=0,0,MIN(Deudas!G4+Deudas!G5, B60+E60))</f>
        <v/>
      </c>
      <c r="D60" s="50">
        <f>IF(B60&lt;=0,0,C60-E60)</f>
        <v/>
      </c>
      <c r="E60" s="51">
        <f>IF(B60&lt;=0,0,ROUND(B60*Deudas!C17/12,2))</f>
        <v/>
      </c>
      <c r="F60" s="30">
        <f>IF(B60&lt;=0,0,MAX(B60-D60,0))</f>
        <v/>
      </c>
    </row>
    <row r="61" ht="22" customHeight="1">
      <c r="A61" s="48" t="n">
        <v>57</v>
      </c>
      <c r="B61" s="30">
        <f>IF(F60&lt;=0,0,F60)</f>
        <v/>
      </c>
      <c r="C61" s="49">
        <f>IF(B61&lt;=0,0,MIN(Deudas!G4+Deudas!G5, B61+E61))</f>
        <v/>
      </c>
      <c r="D61" s="50">
        <f>IF(B61&lt;=0,0,C61-E61)</f>
        <v/>
      </c>
      <c r="E61" s="51">
        <f>IF(B61&lt;=0,0,ROUND(B61*Deudas!C17/12,2))</f>
        <v/>
      </c>
      <c r="F61" s="30">
        <f>IF(B61&lt;=0,0,MAX(B61-D61,0))</f>
        <v/>
      </c>
    </row>
    <row r="62" ht="22" customHeight="1">
      <c r="A62" s="48" t="n">
        <v>58</v>
      </c>
      <c r="B62" s="30">
        <f>IF(F61&lt;=0,0,F61)</f>
        <v/>
      </c>
      <c r="C62" s="49">
        <f>IF(B62&lt;=0,0,MIN(Deudas!G4+Deudas!G5, B62+E62))</f>
        <v/>
      </c>
      <c r="D62" s="50">
        <f>IF(B62&lt;=0,0,C62-E62)</f>
        <v/>
      </c>
      <c r="E62" s="51">
        <f>IF(B62&lt;=0,0,ROUND(B62*Deudas!C17/12,2))</f>
        <v/>
      </c>
      <c r="F62" s="30">
        <f>IF(B62&lt;=0,0,MAX(B62-D62,0))</f>
        <v/>
      </c>
    </row>
    <row r="63" ht="22" customHeight="1">
      <c r="A63" s="48" t="n">
        <v>59</v>
      </c>
      <c r="B63" s="30">
        <f>IF(F62&lt;=0,0,F62)</f>
        <v/>
      </c>
      <c r="C63" s="49">
        <f>IF(B63&lt;=0,0,MIN(Deudas!G4+Deudas!G5, B63+E63))</f>
        <v/>
      </c>
      <c r="D63" s="50">
        <f>IF(B63&lt;=0,0,C63-E63)</f>
        <v/>
      </c>
      <c r="E63" s="51">
        <f>IF(B63&lt;=0,0,ROUND(B63*Deudas!C17/12,2))</f>
        <v/>
      </c>
      <c r="F63" s="30">
        <f>IF(B63&lt;=0,0,MAX(B63-D63,0))</f>
        <v/>
      </c>
    </row>
    <row r="64" ht="22" customHeight="1">
      <c r="A64" s="48" t="n">
        <v>60</v>
      </c>
      <c r="B64" s="30">
        <f>IF(F63&lt;=0,0,F63)</f>
        <v/>
      </c>
      <c r="C64" s="49">
        <f>IF(B64&lt;=0,0,MIN(Deudas!G4+Deudas!G5, B64+E64))</f>
        <v/>
      </c>
      <c r="D64" s="50">
        <f>IF(B64&lt;=0,0,C64-E64)</f>
        <v/>
      </c>
      <c r="E64" s="51">
        <f>IF(B64&lt;=0,0,ROUND(B64*Deudas!C17/12,2))</f>
        <v/>
      </c>
      <c r="F64" s="30">
        <f>IF(B64&lt;=0,0,MAX(B64-D64,0))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">
    <mergeCell ref="A1:F1"/>
  </mergeCells>
  <conditionalFormatting sqref="B5:F64">
    <cfRule type="expression" priority="1" dxfId="3">
      <formula>$F5&lt;=0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0B981"/>
    <outlinePr summaryBelow="1" summaryRight="1"/>
    <pageSetUpPr/>
  </sheetPr>
  <dimension ref="A1:E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22" customWidth="1" min="4" max="4"/>
    <col width="22" customWidth="1" min="5" max="5"/>
    <col width="2" customWidth="1" min="6" max="6"/>
  </cols>
  <sheetData>
    <row r="1" ht="8" customHeight="1">
      <c r="B1" s="1" t="n"/>
      <c r="C1" s="1" t="n"/>
      <c r="D1" s="1" t="n"/>
      <c r="E1" s="1" t="n"/>
    </row>
    <row r="2" ht="42" customHeight="1">
      <c r="B2" s="2" t="inlineStr">
        <is>
          <t>MOTIVACION Y PROGRESO</t>
        </is>
      </c>
      <c r="C2" s="1" t="n"/>
      <c r="D2" s="1" t="n"/>
      <c r="E2" s="1" t="n"/>
    </row>
    <row r="3" ht="24" customHeight="1">
      <c r="B3" s="3" t="inlineStr">
        <is>
          <t>Cada deuda pagada es una victoria. Celebra tu progreso!</t>
        </is>
      </c>
      <c r="C3" s="1" t="n"/>
      <c r="D3" s="1" t="n"/>
      <c r="E3" s="1" t="n"/>
    </row>
    <row r="4" ht="8" customHeight="1"/>
    <row r="5" ht="30" customHeight="1">
      <c r="B5" s="21" t="inlineStr">
        <is>
          <t>HITOS DE LIBERTAD FINANCIERA</t>
        </is>
      </c>
      <c r="C5" s="22" t="n"/>
      <c r="D5" s="22" t="n"/>
      <c r="E5" s="22" t="n"/>
    </row>
    <row r="6" ht="30" customHeight="1">
      <c r="B6" s="52" t="inlineStr">
        <is>
          <t>25% de deuda eliminada</t>
        </is>
      </c>
      <c r="C6" s="53">
        <f>IF(Dashboard!C23&gt;=0.25,"LOGRADO","Pendiente")</f>
        <v/>
      </c>
    </row>
    <row r="7" ht="30" customHeight="1">
      <c r="B7" s="52" t="inlineStr">
        <is>
          <t>50% de deuda eliminada</t>
        </is>
      </c>
      <c r="C7" s="53">
        <f>IF(Dashboard!C23&gt;=0.50,"LOGRADO","Pendiente")</f>
        <v/>
      </c>
    </row>
    <row r="8" ht="30" customHeight="1">
      <c r="B8" s="52" t="inlineStr">
        <is>
          <t>75% de deuda eliminada</t>
        </is>
      </c>
      <c r="C8" s="53">
        <f>IF(Dashboard!C23&gt;=0.75,"LOGRADO","Pendiente")</f>
        <v/>
      </c>
    </row>
    <row r="9" ht="30" customHeight="1">
      <c r="B9" s="52" t="inlineStr">
        <is>
          <t>Primera deuda PAGADA</t>
        </is>
      </c>
      <c r="C9" s="53">
        <f>IF(COUNTIF(Deudas!F7:F16,"PAGADA")&gt;=1,"LOGRADO","Pendiente")</f>
        <v/>
      </c>
    </row>
    <row r="10" ht="30" customHeight="1">
      <c r="B10" s="52" t="inlineStr">
        <is>
          <t>3 deudas PAGADAS</t>
        </is>
      </c>
      <c r="C10" s="53">
        <f>IF(COUNTIF(Deudas!F7:F16,"PAGADA")&gt;=3,"LOGRADO","Pendiente")</f>
        <v/>
      </c>
    </row>
    <row r="11" ht="30" customHeight="1">
      <c r="B11" s="52" t="inlineStr">
        <is>
          <t>100% LIBRE DE DEUDAS</t>
        </is>
      </c>
      <c r="C11" s="53">
        <f>IF(Dashboard!C23&gt;=1.0,"LOGRADO","Pendiente")</f>
        <v/>
      </c>
    </row>
    <row r="13" ht="8" customHeight="1"/>
    <row r="14" ht="30" customHeight="1">
      <c r="B14" s="25" t="inlineStr">
        <is>
          <t>FRASES QUE TE IMPULSAN</t>
        </is>
      </c>
      <c r="C14" s="26" t="n"/>
      <c r="D14" s="26" t="n"/>
      <c r="E14" s="26" t="n"/>
    </row>
    <row r="15" ht="36" customHeight="1">
      <c r="B15" s="54" t="inlineStr">
        <is>
          <t>"El mejor momento para empezar a pagar tus deudas fue ayer. El segundo mejor momento es AHORA."</t>
        </is>
      </c>
    </row>
    <row r="16" ht="36" customHeight="1">
      <c r="B16" s="55" t="inlineStr">
        <is>
          <t>"No se trata de cuanto ganas, sino de cuanto conservas y como lo pones a trabajar."</t>
        </is>
      </c>
    </row>
    <row r="17" ht="36" customHeight="1">
      <c r="B17" s="54" t="inlineStr">
        <is>
          <t>"La bola de nieve no es solo un metodo, es una mentalidad de conquista."</t>
        </is>
      </c>
    </row>
    <row r="18" ht="36" customHeight="1">
      <c r="B18" s="55" t="inlineStr">
        <is>
          <t>"Cada pago extra es un paso mas hacia tu libertad financiera."</t>
        </is>
      </c>
    </row>
    <row r="19" ht="36" customHeight="1">
      <c r="B19" s="54" t="inlineStr">
        <is>
          <t>"Las deudas son cadenas invisibles. Rompe una y sentiras el poder de seguir."</t>
        </is>
      </c>
    </row>
    <row r="20" ht="36" customHeight="1">
      <c r="B20" s="55" t="inlineStr">
        <is>
          <t>"La disciplina de hoy es la libertad de manana."</t>
        </is>
      </c>
    </row>
    <row r="22" ht="8" customHeight="1"/>
    <row r="23" ht="30" customHeight="1">
      <c r="B23" s="15" t="inlineStr">
        <is>
          <t>REGISTRO DE VICTORIAS</t>
        </is>
      </c>
      <c r="C23" s="16" t="n"/>
      <c r="D23" s="16" t="n"/>
      <c r="E23" s="16" t="n"/>
    </row>
    <row r="24" ht="24" customHeight="1">
      <c r="A24" t="inlineStr"/>
      <c r="B24" s="56" t="inlineStr">
        <is>
          <t>DEUDA PAGADA</t>
        </is>
      </c>
      <c r="C24" s="56" t="inlineStr">
        <is>
          <t>MONTO ELIMINADO</t>
        </is>
      </c>
      <c r="D24" s="56" t="inlineStr">
        <is>
          <t>FECHA</t>
        </is>
      </c>
      <c r="E24" s="56" t="inlineStr">
        <is>
          <t>COMO TE SIENTES?</t>
        </is>
      </c>
    </row>
    <row r="25" ht="26" customHeight="1">
      <c r="B25" s="57">
        <f>IF(Deudas!F7="PAGADA",Deudas!A7,"")</f>
        <v/>
      </c>
      <c r="C25" s="50">
        <f>IF(Deudas!F7="PAGADA",Deudas!B7,"")</f>
        <v/>
      </c>
      <c r="D25" s="58" t="n"/>
      <c r="E25" s="37" t="n"/>
    </row>
    <row r="26" ht="26" customHeight="1">
      <c r="B26" s="57">
        <f>IF(Deudas!F8="PAGADA",Deudas!A8,"")</f>
        <v/>
      </c>
      <c r="C26" s="50">
        <f>IF(Deudas!F8="PAGADA",Deudas!B8,"")</f>
        <v/>
      </c>
      <c r="D26" s="58" t="n"/>
      <c r="E26" s="37" t="n"/>
    </row>
    <row r="27" ht="26" customHeight="1">
      <c r="B27" s="57">
        <f>IF(Deudas!F9="PAGADA",Deudas!A9,"")</f>
        <v/>
      </c>
      <c r="C27" s="50">
        <f>IF(Deudas!F9="PAGADA",Deudas!B9,"")</f>
        <v/>
      </c>
      <c r="D27" s="58" t="n"/>
      <c r="E27" s="37" t="n"/>
    </row>
    <row r="28" ht="26" customHeight="1">
      <c r="B28" s="57">
        <f>IF(Deudas!F10="PAGADA",Deudas!A10,"")</f>
        <v/>
      </c>
      <c r="C28" s="50">
        <f>IF(Deudas!F10="PAGADA",Deudas!B10,"")</f>
        <v/>
      </c>
      <c r="D28" s="58" t="n"/>
      <c r="E28" s="37" t="n"/>
    </row>
    <row r="29" ht="26" customHeight="1">
      <c r="B29" s="57">
        <f>IF(Deudas!F11="PAGADA",Deudas!A11,"")</f>
        <v/>
      </c>
      <c r="C29" s="50">
        <f>IF(Deudas!F11="PAGADA",Deudas!B11,"")</f>
        <v/>
      </c>
      <c r="D29" s="58" t="n"/>
      <c r="E29" s="37" t="n"/>
    </row>
    <row r="30" ht="26" customHeight="1">
      <c r="B30" s="57">
        <f>IF(Deudas!F12="PAGADA",Deudas!A12,"")</f>
        <v/>
      </c>
      <c r="C30" s="50">
        <f>IF(Deudas!F12="PAGADA",Deudas!B12,"")</f>
        <v/>
      </c>
      <c r="D30" s="58" t="n"/>
      <c r="E30" s="37" t="n"/>
    </row>
    <row r="31" ht="26" customHeight="1">
      <c r="B31" s="57">
        <f>IF(Deudas!F13="PAGADA",Deudas!A13,"")</f>
        <v/>
      </c>
      <c r="C31" s="50">
        <f>IF(Deudas!F13="PAGADA",Deudas!B13,"")</f>
        <v/>
      </c>
      <c r="D31" s="58" t="n"/>
      <c r="E31" s="37" t="n"/>
    </row>
    <row r="32" ht="26" customHeight="1">
      <c r="B32" s="57">
        <f>IF(Deudas!F14="PAGADA",Deudas!A14,"")</f>
        <v/>
      </c>
      <c r="C32" s="50">
        <f>IF(Deudas!F14="PAGADA",Deudas!B14,"")</f>
        <v/>
      </c>
      <c r="D32" s="58" t="n"/>
      <c r="E32" s="37" t="n"/>
    </row>
    <row r="33" ht="26" customHeight="1">
      <c r="B33" s="57">
        <f>IF(Deudas!F15="PAGADA",Deudas!A15,"")</f>
        <v/>
      </c>
      <c r="C33" s="50">
        <f>IF(Deudas!F15="PAGADA",Deudas!B15,"")</f>
        <v/>
      </c>
      <c r="D33" s="58" t="n"/>
      <c r="E33" s="37" t="n"/>
    </row>
    <row r="34" ht="26" customHeight="1">
      <c r="B34" s="57">
        <f>IF(Deudas!F16="PAGADA",Deudas!A16,"")</f>
        <v/>
      </c>
      <c r="C34" s="50">
        <f>IF(Deudas!F16="PAGADA",Deudas!B16,"")</f>
        <v/>
      </c>
      <c r="D34" s="58" t="n"/>
      <c r="E34" s="3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8">
    <mergeCell ref="B20:E20"/>
    <mergeCell ref="B17:E17"/>
    <mergeCell ref="B18:E18"/>
    <mergeCell ref="B1:E1"/>
    <mergeCell ref="C6:D6"/>
    <mergeCell ref="C7:D7"/>
    <mergeCell ref="C10:D10"/>
    <mergeCell ref="B23:E23"/>
    <mergeCell ref="C11:D11"/>
    <mergeCell ref="B16:E16"/>
    <mergeCell ref="C9:D9"/>
    <mergeCell ref="B15:E15"/>
    <mergeCell ref="B3:E3"/>
    <mergeCell ref="B5:E5"/>
    <mergeCell ref="B2:E2"/>
    <mergeCell ref="B19:E19"/>
    <mergeCell ref="C8:D8"/>
    <mergeCell ref="B14:E14"/>
  </mergeCells>
  <conditionalFormatting sqref="C6:D11">
    <cfRule type="cellIs" priority="1" operator="equal" dxfId="4">
      <formula>"LOGRADO"</formula>
    </cfRule>
    <cfRule type="cellIs" priority="2" operator="equal" dxfId="5">
      <formula>"Pendiente"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728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6" customHeight="1">
      <c r="A1" s="59" t="inlineStr">
        <is>
          <t>CONFIGURACION</t>
        </is>
      </c>
      <c r="B1" s="1" t="n"/>
    </row>
    <row r="3">
      <c r="A3" s="60" t="inlineStr">
        <is>
          <t>Producto</t>
        </is>
      </c>
      <c r="B3" s="61" t="inlineStr">
        <is>
          <t>Bola de Nieve - Elimina tus Deudas</t>
        </is>
      </c>
    </row>
    <row r="4">
      <c r="A4" s="60" t="inlineStr">
        <is>
          <t>Version</t>
        </is>
      </c>
      <c r="B4" s="61" t="inlineStr">
        <is>
          <t>v1.0.0</t>
        </is>
      </c>
    </row>
    <row r="5">
      <c r="A5" s="60" t="inlineStr">
        <is>
          <t>Marca</t>
        </is>
      </c>
      <c r="B5" s="61" t="inlineStr">
        <is>
          <t>No Somos Ignorantes</t>
        </is>
      </c>
    </row>
    <row r="6">
      <c r="A6" s="60" t="inlineStr">
        <is>
          <t>Precio</t>
        </is>
      </c>
      <c r="B6" s="61" t="inlineStr">
        <is>
          <t>Bs. 49</t>
        </is>
      </c>
    </row>
    <row r="7">
      <c r="A7" s="60" t="inlineStr">
        <is>
          <t>Metodo</t>
        </is>
      </c>
      <c r="B7" s="61" t="inlineStr">
        <is>
          <t>Snowball (menor saldo primero)</t>
        </is>
      </c>
    </row>
    <row r="8">
      <c r="A8" s="60" t="inlineStr">
        <is>
          <t>Proteccion</t>
        </is>
      </c>
      <c r="B8" s="61" t="inlineStr">
        <is>
          <t>nsi2024</t>
        </is>
      </c>
    </row>
    <row r="9">
      <c r="A9" s="60" t="inlineStr">
        <is>
          <t>Maximo deudas</t>
        </is>
      </c>
      <c r="B9" s="61" t="inlineStr">
        <is>
          <t>10</t>
        </is>
      </c>
    </row>
    <row r="10">
      <c r="A10" s="60" t="inlineStr">
        <is>
          <t>Meses simulados</t>
        </is>
      </c>
      <c r="B10" s="61" t="inlineStr">
        <is>
          <t>60</t>
        </is>
      </c>
    </row>
    <row r="11">
      <c r="A11" s="60" t="inlineStr">
        <is>
          <t>Contacto</t>
        </is>
      </c>
      <c r="B11" s="61" t="inlineStr">
        <is>
          <t>nosomosignorantes@gmail.com</t>
        </is>
      </c>
    </row>
    <row r="14" ht="32" customHeight="1">
      <c r="A14" s="62" t="inlineStr">
        <is>
          <t>INSTRUCCIONES DE USO</t>
        </is>
      </c>
      <c r="B14" s="1" t="n"/>
    </row>
    <row r="15" ht="22" customHeight="1">
      <c r="A15" s="63" t="inlineStr">
        <is>
          <t>1. Ve a la hoja 'Deudas' e ingresa todas tus deudas actuales.</t>
        </is>
      </c>
    </row>
    <row r="16" ht="22" customHeight="1">
      <c r="A16" s="63" t="inlineStr">
        <is>
          <t>2. Para cada deuda ingresa: nombre, saldo actual, tasa anual y pago minimo.</t>
        </is>
      </c>
    </row>
    <row r="17" ht="22" customHeight="1">
      <c r="A17" s="63" t="inlineStr">
        <is>
          <t>3. En la celda G5 de 'Deudas', ingresa cuanto extra puedes pagar cada mes.</t>
        </is>
      </c>
    </row>
    <row r="18" ht="22" customHeight="1">
      <c r="A18" s="63" t="inlineStr">
        <is>
          <t>4. El sistema automaticamente ordena tus deudas de menor a mayor (bola de nieve).</t>
        </is>
      </c>
    </row>
    <row r="19" ht="22" customHeight="1">
      <c r="A19" s="63" t="inlineStr">
        <is>
          <t>5. Ve a la hoja 'Plan' para ver el calendario mes a mes de pagos.</t>
        </is>
      </c>
    </row>
    <row r="20" ht="22" customHeight="1">
      <c r="A20" s="63" t="inlineStr">
        <is>
          <t>6. La hoja 'Dashboard' muestra tu resumen, ahorro y progreso.</t>
        </is>
      </c>
    </row>
    <row r="21" ht="22" customHeight="1">
      <c r="A21" s="63" t="inlineStr">
        <is>
          <t>7. La hoja 'Motivacion' te ayuda a celebrar cada victoria.</t>
        </is>
      </c>
    </row>
    <row r="22" ht="22" customHeight="1">
      <c r="A22" s="63" t="inlineStr">
        <is>
          <t>8. A medida que pagas deudas, actualiza el saldo a 0 y registra la fecha.</t>
        </is>
      </c>
    </row>
    <row r="23" ht="22" customHeight="1">
      <c r="A23" s="63" t="inlineStr"/>
    </row>
    <row r="24" ht="22" customHeight="1">
      <c r="A24" s="63" t="inlineStr">
        <is>
          <t>METODO BOLA DE NIEVE:</t>
        </is>
      </c>
    </row>
    <row r="25" ht="22" customHeight="1">
      <c r="A25" s="63" t="inlineStr">
        <is>
          <t>- Paga el MINIMO en todas las deudas</t>
        </is>
      </c>
    </row>
    <row r="26" ht="22" customHeight="1">
      <c r="A26" s="63" t="inlineStr">
        <is>
          <t>- Aplica TODO el dinero extra a la deuda con MENOR saldo</t>
        </is>
      </c>
    </row>
    <row r="27" ht="22" customHeight="1">
      <c r="A27" s="63" t="inlineStr">
        <is>
          <t>- Cuando esa deuda se paga, suma ese pago a la siguiente deuda</t>
        </is>
      </c>
    </row>
    <row r="28" ht="22" customHeight="1">
      <c r="A28" s="63" t="inlineStr">
        <is>
          <t>- Repite hasta ser LIBRE DE DEUDAS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B4"/>
  <mergeCells count="16">
    <mergeCell ref="A20:B20"/>
    <mergeCell ref="A21:B21"/>
    <mergeCell ref="A16:B16"/>
    <mergeCell ref="A24:B24"/>
    <mergeCell ref="A15:B15"/>
    <mergeCell ref="A26:B26"/>
    <mergeCell ref="A25:B25"/>
    <mergeCell ref="A19:B19"/>
    <mergeCell ref="A23:B23"/>
    <mergeCell ref="A28:B28"/>
    <mergeCell ref="A14:B14"/>
    <mergeCell ref="A1:B1"/>
    <mergeCell ref="A17:B17"/>
    <mergeCell ref="A18:B18"/>
    <mergeCell ref="A27:B27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2026-02-06T03:28:44Z</dcterms:created>
  <dcterms:modified xmlns:dcterms="http://purl.org/dc/terms/" xmlns:xsi="http://www.w3.org/2001/XMLSchema-instance" xsi:type="dcterms:W3CDTF">2026-02-06T03:28:44Z</dcterms:modified>
</cp:coreProperties>
</file>