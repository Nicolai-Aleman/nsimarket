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lanCuentas" sheetId="2" state="visible" r:id="rId2"/>
    <sheet xmlns:r="http://schemas.openxmlformats.org/officeDocument/2006/relationships" name="BalanceGeneral" sheetId="3" state="visible" r:id="rId3"/>
    <sheet xmlns:r="http://schemas.openxmlformats.org/officeDocument/2006/relationships" name="EstadoResultados" sheetId="4" state="visible" r:id="rId4"/>
    <sheet xmlns:r="http://schemas.openxmlformats.org/officeDocument/2006/relationships" name="FlujoCaja" sheetId="5" state="visible" r:id="rId5"/>
    <sheet xmlns:r="http://schemas.openxmlformats.org/officeDocument/2006/relationships" name="Razones" sheetId="6" state="visible" r:id="rId6"/>
    <sheet xmlns:r="http://schemas.openxmlformats.org/officeDocument/2006/relationships" name="Confi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&quot;x&quot;"/>
  </numFmts>
  <fonts count="25">
    <font>
      <name val="Calibri"/>
      <family val="2"/>
      <color theme="1"/>
      <sz val="11"/>
      <scheme val="minor"/>
    </font>
    <font>
      <name val="Calibri"/>
      <b val="1"/>
      <color rgb="00000000"/>
      <sz val="20"/>
    </font>
    <font>
      <name val="Calibri"/>
      <color rgb="006B7280"/>
      <sz val="10"/>
    </font>
    <font>
      <name val="Calibri"/>
      <b val="1"/>
      <color rgb="00374151"/>
      <sz val="10"/>
    </font>
    <font>
      <name val="Calibri"/>
      <color rgb="000000FF"/>
      <sz val="11"/>
    </font>
    <font>
      <name val="Calibri"/>
      <b val="1"/>
      <color rgb="00FFFFFF"/>
      <sz val="10"/>
    </font>
    <font>
      <name val="Calibri"/>
      <b val="1"/>
      <color rgb="00000000"/>
      <sz val="24"/>
    </font>
    <font>
      <name val="Calibri"/>
      <b val="1"/>
      <color rgb="00FFFFFF"/>
      <sz val="12"/>
    </font>
    <font>
      <name val="Calibri"/>
      <b val="1"/>
      <color rgb="00374151"/>
      <sz val="11"/>
    </font>
    <font>
      <name val="Calibri"/>
      <color rgb="00374151"/>
      <sz val="10"/>
    </font>
    <font>
      <name val="Calibri"/>
      <b val="1"/>
      <color rgb="00000000"/>
      <sz val="16"/>
    </font>
    <font>
      <name val="Calibri"/>
      <b val="1"/>
      <color rgb="00D4AF37"/>
      <sz val="10"/>
    </font>
    <font>
      <name val="Calibri"/>
      <b val="1"/>
      <color rgb="001A1A2E"/>
      <sz val="10"/>
    </font>
    <font>
      <name val="Calibri"/>
      <i val="1"/>
      <color rgb="006B7280"/>
      <sz val="10"/>
    </font>
    <font>
      <name val="Calibri"/>
      <b val="1"/>
      <color rgb="00D4AF37"/>
      <sz val="12"/>
    </font>
    <font>
      <name val="Calibri"/>
      <b val="1"/>
      <color rgb="001F2937"/>
      <sz val="11"/>
    </font>
    <font>
      <name val="Calibri"/>
      <color rgb="00374151"/>
      <sz val="11"/>
    </font>
    <font>
      <name val="Calibri"/>
      <b val="1"/>
      <color rgb="00000000"/>
      <sz val="11"/>
    </font>
    <font>
      <name val="Calibri"/>
      <b val="1"/>
      <color rgb="00000000"/>
      <sz val="12"/>
    </font>
    <font>
      <name val="Calibri"/>
      <b val="1"/>
      <color rgb="00111827"/>
      <sz val="11"/>
    </font>
    <font>
      <name val="Calibri"/>
      <b val="1"/>
      <color rgb="00FFFFFF"/>
      <sz val="11"/>
    </font>
    <font>
      <name val="Calibri"/>
      <color rgb="00111827"/>
      <sz val="11"/>
    </font>
    <font>
      <name val="Calibri"/>
      <color rgb="004B5563"/>
      <sz val="10"/>
    </font>
    <font>
      <name val="Calibri"/>
      <color rgb="009CA3AF"/>
      <sz val="9"/>
    </font>
    <font>
      <name val="Calibri"/>
      <b val="1"/>
      <color rgb="00000000"/>
      <sz val="14"/>
    </font>
  </fonts>
  <fills count="12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74C3C"/>
      </patternFill>
    </fill>
    <fill>
      <patternFill patternType="solid">
        <fgColor rgb="0016A085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27AE60"/>
      </patternFill>
    </fill>
    <fill>
      <patternFill patternType="solid">
        <fgColor rgb="00374151"/>
      </patternFill>
    </fill>
    <fill>
      <patternFill patternType="solid">
        <fgColor rgb="001A1A2E"/>
      </patternFill>
    </fill>
    <fill>
      <patternFill patternType="solid">
        <fgColor rgb="00E8F5E9"/>
      </patternFill>
    </fill>
  </fills>
  <borders count="5">
    <border>
      <left/>
      <right/>
      <top/>
      <bottom/>
      <diagonal/>
    </border>
    <border>
      <left style="thin">
        <color rgb="00D4AF37"/>
      </left>
      <right style="thin">
        <color rgb="00D4AF37"/>
      </right>
      <top style="thin">
        <color rgb="00D4AF37"/>
      </top>
      <bottom style="thin">
        <color rgb="00D4AF37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000000"/>
      </top>
      <bottom style="thin">
        <color rgb="00000000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2" borderId="0" pivotButton="0" quotePrefix="0" xfId="0"/>
    <xf numFmtId="0" fontId="4" fillId="3" borderId="1" applyAlignment="1" applyProtection="1" pivotButton="0" quotePrefix="0" xfId="0">
      <alignment horizontal="left" vertical="center"/>
      <protection locked="0" hidden="0"/>
    </xf>
    <xf numFmtId="0" fontId="5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4" fontId="6" fillId="2" borderId="0" applyAlignment="1" pivotButton="0" quotePrefix="0" xfId="0">
      <alignment horizontal="right" vertical="center"/>
    </xf>
    <xf numFmtId="0" fontId="5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164" fontId="6" fillId="2" borderId="0" applyAlignment="1" pivotButton="0" quotePrefix="0" xfId="0">
      <alignment horizontal="right" vertical="center"/>
    </xf>
    <xf numFmtId="165" fontId="6" fillId="2" borderId="0" applyAlignment="1" pivotButton="0" quotePrefix="0" xfId="0">
      <alignment horizontal="right" vertical="center"/>
    </xf>
    <xf numFmtId="0" fontId="7" fillId="8" borderId="2" applyAlignment="1" pivotButton="0" quotePrefix="0" xfId="0">
      <alignment horizontal="center" vertical="center"/>
    </xf>
    <xf numFmtId="0" fontId="8" fillId="2" borderId="0" pivotButton="0" quotePrefix="0" xfId="0"/>
    <xf numFmtId="0" fontId="5" fillId="9" borderId="2" applyAlignment="1" pivotButton="0" quotePrefix="0" xfId="0">
      <alignment horizontal="center" vertical="center" wrapText="1"/>
    </xf>
    <xf numFmtId="0" fontId="9" fillId="2" borderId="2" pivotButton="0" quotePrefix="0" xfId="0"/>
    <xf numFmtId="4" fontId="0" fillId="2" borderId="2" pivotButton="0" quotePrefix="0" xfId="0"/>
    <xf numFmtId="0" fontId="10" fillId="2" borderId="0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 wrapText="1"/>
    </xf>
    <xf numFmtId="0" fontId="12" fillId="0" borderId="2" pivotButton="0" quotePrefix="0" xfId="0"/>
    <xf numFmtId="0" fontId="12" fillId="0" borderId="2" applyAlignment="1" pivotButton="0" quotePrefix="0" xfId="0">
      <alignment horizontal="left" vertical="center"/>
    </xf>
    <xf numFmtId="0" fontId="2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horizontal="left" vertical="center" indent="1"/>
    </xf>
    <xf numFmtId="0" fontId="13" fillId="2" borderId="0" pivotButton="0" quotePrefix="0" xfId="0"/>
    <xf numFmtId="0" fontId="14" fillId="10" borderId="2" applyAlignment="1" pivotButton="0" quotePrefix="0" xfId="0">
      <alignment horizontal="center" vertical="center"/>
    </xf>
    <xf numFmtId="0" fontId="15" fillId="2" borderId="0" pivotButton="0" quotePrefix="0" xfId="0"/>
    <xf numFmtId="0" fontId="16" fillId="2" borderId="2" applyAlignment="1" pivotButton="0" quotePrefix="0" xfId="0">
      <alignment horizontal="left" vertical="center" indent="1"/>
    </xf>
    <xf numFmtId="4" fontId="4" fillId="3" borderId="1" applyAlignment="1" applyProtection="1" pivotButton="0" quotePrefix="0" xfId="0">
      <alignment horizontal="right" vertical="center"/>
      <protection locked="0" hidden="0"/>
    </xf>
    <xf numFmtId="0" fontId="17" fillId="2" borderId="2" pivotButton="0" quotePrefix="0" xfId="0"/>
    <xf numFmtId="4" fontId="17" fillId="2" borderId="3" applyAlignment="1" pivotButton="0" quotePrefix="0" xfId="0">
      <alignment horizontal="right" vertical="center"/>
    </xf>
    <xf numFmtId="0" fontId="18" fillId="2" borderId="2" pivotButton="0" quotePrefix="0" xfId="0"/>
    <xf numFmtId="4" fontId="18" fillId="2" borderId="4" applyAlignment="1" pivotButton="0" quotePrefix="0" xfId="0">
      <alignment horizontal="right" vertical="center"/>
    </xf>
    <xf numFmtId="4" fontId="19" fillId="11" borderId="2" applyAlignment="1" pivotButton="0" quotePrefix="0" xfId="0">
      <alignment horizontal="right" vertical="center"/>
    </xf>
    <xf numFmtId="0" fontId="20" fillId="8" borderId="0" applyAlignment="1" pivotButton="0" quotePrefix="0" xfId="0">
      <alignment horizontal="center" vertical="center"/>
    </xf>
    <xf numFmtId="0" fontId="20" fillId="5" borderId="2" applyAlignment="1" pivotButton="0" quotePrefix="0" xfId="0">
      <alignment horizontal="center" vertical="center"/>
    </xf>
    <xf numFmtId="0" fontId="20" fillId="4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4" fontId="21" fillId="11" borderId="2" applyAlignment="1" pivotButton="0" quotePrefix="0" xfId="0">
      <alignment horizontal="right" vertical="center"/>
    </xf>
    <xf numFmtId="0" fontId="20" fillId="7" borderId="2" applyAlignment="1" pivotButton="0" quotePrefix="0" xfId="0">
      <alignment horizontal="center" vertical="center"/>
    </xf>
    <xf numFmtId="0" fontId="16" fillId="2" borderId="2" applyAlignment="1" pivotButton="0" quotePrefix="0" xfId="0">
      <alignment horizontal="left" vertical="center"/>
    </xf>
    <xf numFmtId="164" fontId="19" fillId="11" borderId="2" applyAlignment="1" pivotButton="0" quotePrefix="0" xfId="0">
      <alignment horizontal="right" vertical="center"/>
    </xf>
    <xf numFmtId="0" fontId="22" fillId="2" borderId="2" pivotButton="0" quotePrefix="0" xfId="0"/>
    <xf numFmtId="165" fontId="19" fillId="11" borderId="2" applyAlignment="1" pivotButton="0" quotePrefix="0" xfId="0">
      <alignment horizontal="right" vertical="center"/>
    </xf>
    <xf numFmtId="0" fontId="23" fillId="2" borderId="0" pivotButton="0" quotePrefix="0" xfId="0"/>
    <xf numFmtId="0" fontId="24" fillId="2" borderId="0" applyAlignment="1" pivotButton="0" quotePrefix="0" xfId="0">
      <alignment horizontal="left" vertical="center"/>
    </xf>
    <xf numFmtId="0" fontId="22" fillId="2" borderId="0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E74C3C"/>
        </patternFill>
      </fill>
    </dxf>
    <dxf>
      <font>
        <b val="1"/>
        <color rgb="0027AE60"/>
      </font>
      <fill>
        <patternFill patternType="solid">
          <fgColor rgb="00D1FAE5"/>
        </patternFill>
      </fill>
    </dxf>
    <dxf>
      <font>
        <b val="1"/>
        <color rgb="00E74C3C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Composicion de Activos</a:t>
            </a:r>
          </a:p>
        </rich>
      </tx>
    </title>
    <plotArea>
      <pieChart>
        <varyColors val="1"/>
        <ser>
          <idx val="0"/>
          <order val="0"/>
          <tx>
            <strRef>
              <f>'Dashboard'!C15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6A085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'Dashboard'!$B$16:$B$17</f>
            </numRef>
          </cat>
          <val>
            <numRef>
              <f>'Dashboard'!$C$16:$C$17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Resumen de Resultados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'Dashboard'!G15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6A085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74C3C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E44AD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'Dashboard'!$F$16:$F$19</f>
            </numRef>
          </cat>
          <val>
            <numRef>
              <f>'Dashboard'!$G$16:$G$19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Bs.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18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18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E74C3C"/>
    <outlinePr summaryBelow="1" summaryRight="1"/>
    <pageSetUpPr/>
  </sheetPr>
  <dimension ref="A1:I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3" customWidth="1" min="5" max="5"/>
    <col width="22" customWidth="1" min="6" max="6"/>
    <col width="16" customWidth="1" min="7" max="7"/>
    <col width="16" customWidth="1" min="8" max="8"/>
    <col width="3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2" t="inlineStr">
        <is>
          <t>ESTADOS FINANCIEROS - PANEL EJECUTIVO</t>
        </is>
      </c>
      <c r="I2" s="1" t="n"/>
    </row>
    <row r="3">
      <c r="A3" s="1" t="n"/>
      <c r="B3" s="3" t="inlineStr">
        <is>
          <t>No Somos Ignorantes  |  v1.0  |  Balance + Resultados + Flujo de Caja</t>
        </is>
      </c>
      <c r="I3" s="1" t="n"/>
    </row>
    <row r="4">
      <c r="A4" s="1" t="n"/>
      <c r="B4" s="4" t="inlineStr">
        <is>
          <t>Periodo:</t>
        </is>
      </c>
      <c r="C4" s="5" t="inlineStr">
        <is>
          <t>Enero - Diciembre 2025</t>
        </is>
      </c>
      <c r="D4" s="1" t="n"/>
      <c r="E4" s="1" t="n"/>
      <c r="F4" s="1" t="n"/>
      <c r="G4" s="1" t="n"/>
      <c r="H4" s="1" t="n"/>
      <c r="I4" s="1" t="n"/>
    </row>
    <row r="5" ht="6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>
      <c r="A6" s="1" t="n"/>
      <c r="B6" s="6" t="inlineStr">
        <is>
          <t>TOTAL ACTIVOS (Bs.)</t>
        </is>
      </c>
      <c r="E6" s="1" t="n"/>
      <c r="F6" s="7" t="inlineStr">
        <is>
          <t>UTILIDAD NETA (Bs.)</t>
        </is>
      </c>
      <c r="I6" s="1" t="n"/>
    </row>
    <row r="7">
      <c r="A7" s="1" t="n"/>
      <c r="B7" s="8">
        <f>BalanceGeneral!C20</f>
        <v/>
      </c>
      <c r="E7" s="1" t="n"/>
      <c r="F7" s="8">
        <f>EstadoResultados!C27</f>
        <v/>
      </c>
      <c r="I7" s="1" t="n"/>
    </row>
    <row r="8" ht="4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</row>
    <row r="9">
      <c r="A9" s="1" t="n"/>
      <c r="B9" s="9" t="inlineStr">
        <is>
          <t>ROE (Retorno sobre Patrimonio)</t>
        </is>
      </c>
      <c r="E9" s="1" t="n"/>
      <c r="F9" s="10" t="inlineStr">
        <is>
          <t>RAZON CORRIENTE</t>
        </is>
      </c>
      <c r="I9" s="1" t="n"/>
    </row>
    <row r="10">
      <c r="A10" s="1" t="n"/>
      <c r="B10" s="11">
        <f>Razones!C5</f>
        <v/>
      </c>
      <c r="E10" s="1" t="n"/>
      <c r="F10" s="12">
        <f>Razones!C8</f>
        <v/>
      </c>
      <c r="I10" s="1" t="n"/>
    </row>
    <row r="11" ht="6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</row>
    <row r="12">
      <c r="A12" s="1" t="n"/>
      <c r="B12" s="13">
        <f>IF(ABS(BalanceGeneral!C20-BalanceGeneral!C38)&lt;0.01,"BALANCE CUADRA: Activos = Pasivos + Patrimonio","ERROR: EL BALANCE NO CUADRA")</f>
        <v/>
      </c>
      <c r="I12" s="1" t="n"/>
    </row>
    <row r="13" ht="8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1" t="n"/>
      <c r="B14" s="14" t="inlineStr">
        <is>
          <t>COMPOSICION DE ACTIVOS</t>
        </is>
      </c>
      <c r="C14" s="1" t="n"/>
      <c r="D14" s="1" t="n"/>
      <c r="E14" s="1" t="n"/>
      <c r="F14" s="14" t="inlineStr">
        <is>
          <t>ESTADO DE RESULTADOS</t>
        </is>
      </c>
      <c r="G14" s="1" t="n"/>
      <c r="H14" s="1" t="n"/>
      <c r="I14" s="1" t="n"/>
    </row>
    <row r="15">
      <c r="A15" s="1" t="n"/>
      <c r="B15" s="15" t="inlineStr">
        <is>
          <t>Tipo</t>
        </is>
      </c>
      <c r="C15" s="15" t="inlineStr">
        <is>
          <t>Monto</t>
        </is>
      </c>
      <c r="D15" s="1" t="n"/>
      <c r="E15" s="1" t="n"/>
      <c r="F15" s="15" t="inlineStr">
        <is>
          <t>Concepto</t>
        </is>
      </c>
      <c r="G15" s="15" t="inlineStr">
        <is>
          <t>Monto</t>
        </is>
      </c>
      <c r="H15" s="1" t="n"/>
      <c r="I15" s="1" t="n"/>
    </row>
    <row r="16">
      <c r="A16" s="1" t="n"/>
      <c r="B16" s="16" t="inlineStr">
        <is>
          <t>Activo Corriente</t>
        </is>
      </c>
      <c r="C16" s="17">
        <f>BalanceGeneral!C11</f>
        <v/>
      </c>
      <c r="D16" s="1" t="n"/>
      <c r="E16" s="1" t="n"/>
      <c r="F16" s="16" t="inlineStr">
        <is>
          <t>Ingresos</t>
        </is>
      </c>
      <c r="G16" s="17">
        <f>EstadoResultados!C7</f>
        <v/>
      </c>
      <c r="H16" s="1" t="n"/>
      <c r="I16" s="1" t="n"/>
    </row>
    <row r="17">
      <c r="A17" s="1" t="n"/>
      <c r="B17" s="16" t="inlineStr">
        <is>
          <t>Activo No Corriente</t>
        </is>
      </c>
      <c r="C17" s="17">
        <f>BalanceGeneral!C19</f>
        <v/>
      </c>
      <c r="D17" s="1" t="n"/>
      <c r="E17" s="1" t="n"/>
      <c r="F17" s="16" t="inlineStr">
        <is>
          <t>Costo Ventas</t>
        </is>
      </c>
      <c r="G17" s="17">
        <f>EstadoResultados!C10</f>
        <v/>
      </c>
      <c r="H17" s="1" t="n"/>
      <c r="I17" s="1" t="n"/>
    </row>
    <row r="18">
      <c r="A18" s="1" t="n"/>
      <c r="B18" s="1" t="n"/>
      <c r="C18" s="1" t="n"/>
      <c r="D18" s="1" t="n"/>
      <c r="E18" s="1" t="n"/>
      <c r="F18" s="16" t="inlineStr">
        <is>
          <t>Gastos Op.</t>
        </is>
      </c>
      <c r="G18" s="17">
        <f>EstadoResultados!C21</f>
        <v/>
      </c>
      <c r="H18" s="1" t="n"/>
      <c r="I18" s="1" t="n"/>
    </row>
    <row r="19">
      <c r="A19" s="1" t="n"/>
      <c r="B19" s="1" t="n"/>
      <c r="C19" s="1" t="n"/>
      <c r="D19" s="1" t="n"/>
      <c r="E19" s="1" t="n"/>
      <c r="F19" s="16" t="inlineStr">
        <is>
          <t>Utilidad Neta</t>
        </is>
      </c>
      <c r="G19" s="17">
        <f>EstadoResultados!C27</f>
        <v/>
      </c>
      <c r="H19" s="1" t="n"/>
      <c r="I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11">
    <mergeCell ref="B10:D10"/>
    <mergeCell ref="F10:H10"/>
    <mergeCell ref="F6:H6"/>
    <mergeCell ref="B12:H12"/>
    <mergeCell ref="B9:D9"/>
    <mergeCell ref="B2:H2"/>
    <mergeCell ref="F9:H9"/>
    <mergeCell ref="F7:H7"/>
    <mergeCell ref="B3:H3"/>
    <mergeCell ref="B6:D6"/>
    <mergeCell ref="B7:D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6A085"/>
    <outlinePr summaryBelow="1" summaryRight="1"/>
    <pageSetUpPr/>
  </sheetPr>
  <dimension ref="A1:D4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6" customWidth="1" min="4" max="4"/>
  </cols>
  <sheetData>
    <row r="1" ht="35" customHeight="1">
      <c r="A1" s="18" t="inlineStr">
        <is>
          <t>PLAN DE CUENTAS</t>
        </is>
      </c>
    </row>
    <row r="3" ht="28" customHeight="1">
      <c r="A3" s="19" t="inlineStr">
        <is>
          <t>CODIGO</t>
        </is>
      </c>
      <c r="B3" s="19" t="inlineStr">
        <is>
          <t>CUENTA</t>
        </is>
      </c>
      <c r="C3" s="19" t="inlineStr">
        <is>
          <t>TIPO</t>
        </is>
      </c>
      <c r="D3" s="19" t="inlineStr">
        <is>
          <t>NATURALEZA</t>
        </is>
      </c>
    </row>
    <row r="4">
      <c r="A4" s="20" t="inlineStr">
        <is>
          <t>1000</t>
        </is>
      </c>
      <c r="B4" s="21" t="inlineStr">
        <is>
          <t>ACTIVOS</t>
        </is>
      </c>
      <c r="C4" s="22" t="inlineStr">
        <is>
          <t>Titulo</t>
        </is>
      </c>
      <c r="D4" s="22" t="inlineStr"/>
    </row>
    <row r="5">
      <c r="A5" s="20" t="inlineStr">
        <is>
          <t>1100</t>
        </is>
      </c>
      <c r="B5" s="21" t="inlineStr">
        <is>
          <t>Activo Corriente</t>
        </is>
      </c>
      <c r="C5" s="22" t="inlineStr">
        <is>
          <t>Subtitulo</t>
        </is>
      </c>
      <c r="D5" s="22" t="inlineStr"/>
    </row>
    <row r="6">
      <c r="A6" s="23" t="inlineStr">
        <is>
          <t>1110</t>
        </is>
      </c>
      <c r="B6" s="24" t="inlineStr">
        <is>
          <t>Caja y Bancos</t>
        </is>
      </c>
      <c r="C6" s="22" t="inlineStr">
        <is>
          <t>Activo</t>
        </is>
      </c>
      <c r="D6" s="22" t="inlineStr">
        <is>
          <t>Deudora</t>
        </is>
      </c>
    </row>
    <row r="7">
      <c r="A7" s="23" t="inlineStr">
        <is>
          <t>1120</t>
        </is>
      </c>
      <c r="B7" s="24" t="inlineStr">
        <is>
          <t>Cuentas por Cobrar</t>
        </is>
      </c>
      <c r="C7" s="22" t="inlineStr">
        <is>
          <t>Activo</t>
        </is>
      </c>
      <c r="D7" s="22" t="inlineStr">
        <is>
          <t>Deudora</t>
        </is>
      </c>
    </row>
    <row r="8">
      <c r="A8" s="23" t="inlineStr">
        <is>
          <t>1130</t>
        </is>
      </c>
      <c r="B8" s="24" t="inlineStr">
        <is>
          <t>Inventarios</t>
        </is>
      </c>
      <c r="C8" s="22" t="inlineStr">
        <is>
          <t>Activo</t>
        </is>
      </c>
      <c r="D8" s="22" t="inlineStr">
        <is>
          <t>Deudora</t>
        </is>
      </c>
    </row>
    <row r="9">
      <c r="A9" s="23" t="inlineStr">
        <is>
          <t>1140</t>
        </is>
      </c>
      <c r="B9" s="24" t="inlineStr">
        <is>
          <t>Anticipos y Prepagados</t>
        </is>
      </c>
      <c r="C9" s="22" t="inlineStr">
        <is>
          <t>Activo</t>
        </is>
      </c>
      <c r="D9" s="22" t="inlineStr">
        <is>
          <t>Deudora</t>
        </is>
      </c>
    </row>
    <row r="10">
      <c r="A10" s="20" t="inlineStr">
        <is>
          <t>1200</t>
        </is>
      </c>
      <c r="B10" s="21" t="inlineStr">
        <is>
          <t>Activo No Corriente</t>
        </is>
      </c>
      <c r="C10" s="22" t="inlineStr">
        <is>
          <t>Subtitulo</t>
        </is>
      </c>
      <c r="D10" s="22" t="inlineStr"/>
    </row>
    <row r="11">
      <c r="A11" s="23" t="inlineStr">
        <is>
          <t>1210</t>
        </is>
      </c>
      <c r="B11" s="24" t="inlineStr">
        <is>
          <t>Propiedad, Planta y Equipo</t>
        </is>
      </c>
      <c r="C11" s="22" t="inlineStr">
        <is>
          <t>Activo</t>
        </is>
      </c>
      <c r="D11" s="22" t="inlineStr">
        <is>
          <t>Deudora</t>
        </is>
      </c>
    </row>
    <row r="12">
      <c r="A12" s="23" t="inlineStr">
        <is>
          <t>1220</t>
        </is>
      </c>
      <c r="B12" s="24" t="inlineStr">
        <is>
          <t>Depreciacion Acumulada</t>
        </is>
      </c>
      <c r="C12" s="22" t="inlineStr">
        <is>
          <t>Activo</t>
        </is>
      </c>
      <c r="D12" s="22" t="inlineStr">
        <is>
          <t>Acreedora</t>
        </is>
      </c>
    </row>
    <row r="13">
      <c r="A13" s="23" t="inlineStr">
        <is>
          <t>1230</t>
        </is>
      </c>
      <c r="B13" s="24" t="inlineStr">
        <is>
          <t>Intangibles</t>
        </is>
      </c>
      <c r="C13" s="22" t="inlineStr">
        <is>
          <t>Activo</t>
        </is>
      </c>
      <c r="D13" s="22" t="inlineStr">
        <is>
          <t>Deudora</t>
        </is>
      </c>
    </row>
    <row r="14">
      <c r="A14" s="20" t="inlineStr">
        <is>
          <t>2000</t>
        </is>
      </c>
      <c r="B14" s="21" t="inlineStr">
        <is>
          <t>PASIVOS</t>
        </is>
      </c>
      <c r="C14" s="22" t="inlineStr">
        <is>
          <t>Titulo</t>
        </is>
      </c>
      <c r="D14" s="22" t="inlineStr"/>
    </row>
    <row r="15">
      <c r="A15" s="20" t="inlineStr">
        <is>
          <t>2100</t>
        </is>
      </c>
      <c r="B15" s="21" t="inlineStr">
        <is>
          <t>Pasivo Corriente</t>
        </is>
      </c>
      <c r="C15" s="22" t="inlineStr">
        <is>
          <t>Subtitulo</t>
        </is>
      </c>
      <c r="D15" s="22" t="inlineStr"/>
    </row>
    <row r="16">
      <c r="A16" s="23" t="inlineStr">
        <is>
          <t>2110</t>
        </is>
      </c>
      <c r="B16" s="24" t="inlineStr">
        <is>
          <t>Cuentas por Pagar</t>
        </is>
      </c>
      <c r="C16" s="22" t="inlineStr">
        <is>
          <t>Pasivo</t>
        </is>
      </c>
      <c r="D16" s="22" t="inlineStr">
        <is>
          <t>Acreedora</t>
        </is>
      </c>
    </row>
    <row r="17">
      <c r="A17" s="23" t="inlineStr">
        <is>
          <t>2120</t>
        </is>
      </c>
      <c r="B17" s="24" t="inlineStr">
        <is>
          <t>Sueldos por Pagar</t>
        </is>
      </c>
      <c r="C17" s="22" t="inlineStr">
        <is>
          <t>Pasivo</t>
        </is>
      </c>
      <c r="D17" s="22" t="inlineStr">
        <is>
          <t>Acreedora</t>
        </is>
      </c>
    </row>
    <row r="18">
      <c r="A18" s="23" t="inlineStr">
        <is>
          <t>2130</t>
        </is>
      </c>
      <c r="B18" s="24" t="inlineStr">
        <is>
          <t>Impuestos por Pagar</t>
        </is>
      </c>
      <c r="C18" s="22" t="inlineStr">
        <is>
          <t>Pasivo</t>
        </is>
      </c>
      <c r="D18" s="22" t="inlineStr">
        <is>
          <t>Acreedora</t>
        </is>
      </c>
    </row>
    <row r="19">
      <c r="A19" s="23" t="inlineStr">
        <is>
          <t>2140</t>
        </is>
      </c>
      <c r="B19" s="24" t="inlineStr">
        <is>
          <t>Deudas a Corto Plazo</t>
        </is>
      </c>
      <c r="C19" s="22" t="inlineStr">
        <is>
          <t>Pasivo</t>
        </is>
      </c>
      <c r="D19" s="22" t="inlineStr">
        <is>
          <t>Acreedora</t>
        </is>
      </c>
    </row>
    <row r="20">
      <c r="A20" s="20" t="inlineStr">
        <is>
          <t>2200</t>
        </is>
      </c>
      <c r="B20" s="21" t="inlineStr">
        <is>
          <t>Pasivo No Corriente</t>
        </is>
      </c>
      <c r="C20" s="22" t="inlineStr">
        <is>
          <t>Subtitulo</t>
        </is>
      </c>
      <c r="D20" s="22" t="inlineStr"/>
    </row>
    <row r="21">
      <c r="A21" s="23" t="inlineStr">
        <is>
          <t>2210</t>
        </is>
      </c>
      <c r="B21" s="24" t="inlineStr">
        <is>
          <t>Deudas a Largo Plazo</t>
        </is>
      </c>
      <c r="C21" s="22" t="inlineStr">
        <is>
          <t>Pasivo</t>
        </is>
      </c>
      <c r="D21" s="22" t="inlineStr">
        <is>
          <t>Acreedora</t>
        </is>
      </c>
    </row>
    <row r="22">
      <c r="A22" s="20" t="inlineStr">
        <is>
          <t>3000</t>
        </is>
      </c>
      <c r="B22" s="21" t="inlineStr">
        <is>
          <t>PATRIMONIO</t>
        </is>
      </c>
      <c r="C22" s="22" t="inlineStr">
        <is>
          <t>Titulo</t>
        </is>
      </c>
      <c r="D22" s="22" t="inlineStr"/>
    </row>
    <row r="23">
      <c r="A23" s="23" t="inlineStr">
        <is>
          <t>3100</t>
        </is>
      </c>
      <c r="B23" s="24" t="inlineStr">
        <is>
          <t>Capital Social</t>
        </is>
      </c>
      <c r="C23" s="22" t="inlineStr">
        <is>
          <t>Patrimonio</t>
        </is>
      </c>
      <c r="D23" s="22" t="inlineStr">
        <is>
          <t>Acreedora</t>
        </is>
      </c>
    </row>
    <row r="24">
      <c r="A24" s="23" t="inlineStr">
        <is>
          <t>3200</t>
        </is>
      </c>
      <c r="B24" s="24" t="inlineStr">
        <is>
          <t>Reservas</t>
        </is>
      </c>
      <c r="C24" s="22" t="inlineStr">
        <is>
          <t>Patrimonio</t>
        </is>
      </c>
      <c r="D24" s="22" t="inlineStr">
        <is>
          <t>Acreedora</t>
        </is>
      </c>
    </row>
    <row r="25">
      <c r="A25" s="23" t="inlineStr">
        <is>
          <t>3300</t>
        </is>
      </c>
      <c r="B25" s="24" t="inlineStr">
        <is>
          <t>Utilidades Retenidas</t>
        </is>
      </c>
      <c r="C25" s="22" t="inlineStr">
        <is>
          <t>Patrimonio</t>
        </is>
      </c>
      <c r="D25" s="22" t="inlineStr">
        <is>
          <t>Acreedora</t>
        </is>
      </c>
    </row>
    <row r="26">
      <c r="A26" s="23" t="inlineStr">
        <is>
          <t>3400</t>
        </is>
      </c>
      <c r="B26" s="24" t="inlineStr">
        <is>
          <t>Resultado del Ejercicio</t>
        </is>
      </c>
      <c r="C26" s="22" t="inlineStr">
        <is>
          <t>Patrimonio</t>
        </is>
      </c>
      <c r="D26" s="22" t="inlineStr">
        <is>
          <t>Acreedora</t>
        </is>
      </c>
    </row>
    <row r="27">
      <c r="A27" s="20" t="inlineStr">
        <is>
          <t>4000</t>
        </is>
      </c>
      <c r="B27" s="21" t="inlineStr">
        <is>
          <t>INGRESOS</t>
        </is>
      </c>
      <c r="C27" s="22" t="inlineStr">
        <is>
          <t>Titulo</t>
        </is>
      </c>
      <c r="D27" s="22" t="inlineStr"/>
    </row>
    <row r="28">
      <c r="A28" s="23" t="inlineStr">
        <is>
          <t>4100</t>
        </is>
      </c>
      <c r="B28" s="24" t="inlineStr">
        <is>
          <t>Ventas</t>
        </is>
      </c>
      <c r="C28" s="22" t="inlineStr">
        <is>
          <t>Ingreso</t>
        </is>
      </c>
      <c r="D28" s="22" t="inlineStr">
        <is>
          <t>Acreedora</t>
        </is>
      </c>
    </row>
    <row r="29">
      <c r="A29" s="23" t="inlineStr">
        <is>
          <t>4200</t>
        </is>
      </c>
      <c r="B29" s="24" t="inlineStr">
        <is>
          <t>Otros Ingresos</t>
        </is>
      </c>
      <c r="C29" s="22" t="inlineStr">
        <is>
          <t>Ingreso</t>
        </is>
      </c>
      <c r="D29" s="22" t="inlineStr">
        <is>
          <t>Acreedora</t>
        </is>
      </c>
    </row>
    <row r="30">
      <c r="A30" s="23" t="inlineStr">
        <is>
          <t>4300</t>
        </is>
      </c>
      <c r="B30" s="24" t="inlineStr">
        <is>
          <t>Ingresos Financieros</t>
        </is>
      </c>
      <c r="C30" s="22" t="inlineStr">
        <is>
          <t>Ingreso</t>
        </is>
      </c>
      <c r="D30" s="22" t="inlineStr">
        <is>
          <t>Acreedora</t>
        </is>
      </c>
    </row>
    <row r="31">
      <c r="A31" s="20" t="inlineStr">
        <is>
          <t>5000</t>
        </is>
      </c>
      <c r="B31" s="21" t="inlineStr">
        <is>
          <t>COSTOS</t>
        </is>
      </c>
      <c r="C31" s="22" t="inlineStr">
        <is>
          <t>Titulo</t>
        </is>
      </c>
      <c r="D31" s="22" t="inlineStr"/>
    </row>
    <row r="32">
      <c r="A32" s="23" t="inlineStr">
        <is>
          <t>5100</t>
        </is>
      </c>
      <c r="B32" s="24" t="inlineStr">
        <is>
          <t>Costo de Ventas</t>
        </is>
      </c>
      <c r="C32" s="22" t="inlineStr">
        <is>
          <t>Costo</t>
        </is>
      </c>
      <c r="D32" s="22" t="inlineStr">
        <is>
          <t>Deudora</t>
        </is>
      </c>
    </row>
    <row r="33">
      <c r="A33" s="20" t="inlineStr">
        <is>
          <t>6000</t>
        </is>
      </c>
      <c r="B33" s="21" t="inlineStr">
        <is>
          <t>GASTOS OPERATIVOS</t>
        </is>
      </c>
      <c r="C33" s="22" t="inlineStr">
        <is>
          <t>Titulo</t>
        </is>
      </c>
      <c r="D33" s="22" t="inlineStr"/>
    </row>
    <row r="34">
      <c r="A34" s="23" t="inlineStr">
        <is>
          <t>6100</t>
        </is>
      </c>
      <c r="B34" s="24" t="inlineStr">
        <is>
          <t>Sueldos y Salarios</t>
        </is>
      </c>
      <c r="C34" s="22" t="inlineStr">
        <is>
          <t>Gasto</t>
        </is>
      </c>
      <c r="D34" s="22" t="inlineStr">
        <is>
          <t>Deudora</t>
        </is>
      </c>
    </row>
    <row r="35">
      <c r="A35" s="23" t="inlineStr">
        <is>
          <t>6200</t>
        </is>
      </c>
      <c r="B35" s="24" t="inlineStr">
        <is>
          <t>Alquiler</t>
        </is>
      </c>
      <c r="C35" s="22" t="inlineStr">
        <is>
          <t>Gasto</t>
        </is>
      </c>
      <c r="D35" s="22" t="inlineStr">
        <is>
          <t>Deudora</t>
        </is>
      </c>
    </row>
    <row r="36">
      <c r="A36" s="23" t="inlineStr">
        <is>
          <t>6300</t>
        </is>
      </c>
      <c r="B36" s="24" t="inlineStr">
        <is>
          <t>Servicios Basicos</t>
        </is>
      </c>
      <c r="C36" s="22" t="inlineStr">
        <is>
          <t>Gasto</t>
        </is>
      </c>
      <c r="D36" s="22" t="inlineStr">
        <is>
          <t>Deudora</t>
        </is>
      </c>
    </row>
    <row r="37">
      <c r="A37" s="23" t="inlineStr">
        <is>
          <t>6400</t>
        </is>
      </c>
      <c r="B37" s="24" t="inlineStr">
        <is>
          <t>Depreciacion</t>
        </is>
      </c>
      <c r="C37" s="22" t="inlineStr">
        <is>
          <t>Gasto</t>
        </is>
      </c>
      <c r="D37" s="22" t="inlineStr">
        <is>
          <t>Deudora</t>
        </is>
      </c>
    </row>
    <row r="38">
      <c r="A38" s="23" t="inlineStr">
        <is>
          <t>6500</t>
        </is>
      </c>
      <c r="B38" s="24" t="inlineStr">
        <is>
          <t>Publicidad y Marketing</t>
        </is>
      </c>
      <c r="C38" s="22" t="inlineStr">
        <is>
          <t>Gasto</t>
        </is>
      </c>
      <c r="D38" s="22" t="inlineStr">
        <is>
          <t>Deudora</t>
        </is>
      </c>
    </row>
    <row r="39">
      <c r="A39" s="23" t="inlineStr">
        <is>
          <t>6600</t>
        </is>
      </c>
      <c r="B39" s="24" t="inlineStr">
        <is>
          <t>Otros Gastos Operativos</t>
        </is>
      </c>
      <c r="C39" s="22" t="inlineStr">
        <is>
          <t>Gasto</t>
        </is>
      </c>
      <c r="D39" s="22" t="inlineStr">
        <is>
          <t>Deudora</t>
        </is>
      </c>
    </row>
    <row r="40">
      <c r="A40" s="20" t="inlineStr">
        <is>
          <t>7000</t>
        </is>
      </c>
      <c r="B40" s="21" t="inlineStr">
        <is>
          <t>GASTOS FINANCIEROS</t>
        </is>
      </c>
      <c r="C40" s="22" t="inlineStr">
        <is>
          <t>Titulo</t>
        </is>
      </c>
      <c r="D40" s="22" t="inlineStr"/>
    </row>
    <row r="41">
      <c r="A41" s="23" t="inlineStr">
        <is>
          <t>7100</t>
        </is>
      </c>
      <c r="B41" s="24" t="inlineStr">
        <is>
          <t>Intereses Pagados</t>
        </is>
      </c>
      <c r="C41" s="22" t="inlineStr">
        <is>
          <t>Gasto</t>
        </is>
      </c>
      <c r="D41" s="22" t="inlineStr">
        <is>
          <t>Deudora</t>
        </is>
      </c>
    </row>
    <row r="42">
      <c r="A42" s="20" t="inlineStr">
        <is>
          <t>8000</t>
        </is>
      </c>
      <c r="B42" s="21" t="inlineStr">
        <is>
          <t>IMPUESTOS</t>
        </is>
      </c>
      <c r="C42" s="22" t="inlineStr">
        <is>
          <t>Titulo</t>
        </is>
      </c>
      <c r="D42" s="22" t="inlineStr"/>
    </row>
    <row r="43">
      <c r="A43" s="23" t="inlineStr">
        <is>
          <t>8100</t>
        </is>
      </c>
      <c r="B43" s="24" t="inlineStr">
        <is>
          <t>Impuesto sobre Utilidades</t>
        </is>
      </c>
      <c r="C43" s="22" t="inlineStr">
        <is>
          <t>Gasto</t>
        </is>
      </c>
      <c r="D43" s="22" t="inlineStr">
        <is>
          <t>Deudora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74C3C"/>
    <outlinePr summaryBelow="1" summaryRight="1"/>
    <pageSetUpPr/>
  </sheetPr>
  <dimension ref="A1:D4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20" customWidth="1" min="3" max="3"/>
    <col width="4" customWidth="1" min="4" max="4"/>
  </cols>
  <sheetData>
    <row r="1" ht="30" customHeight="1">
      <c r="A1" s="1" t="n"/>
      <c r="B1" s="18" t="inlineStr">
        <is>
          <t>ESTADO DE SITUACION FINANCIERA</t>
        </is>
      </c>
      <c r="D1" s="1" t="n"/>
    </row>
    <row r="2">
      <c r="A2" s="1" t="n"/>
      <c r="B2" s="25">
        <f>"Al "&amp;Dashboard!C4</f>
        <v/>
      </c>
      <c r="D2" s="1" t="n"/>
    </row>
    <row r="3">
      <c r="A3" s="1" t="n"/>
      <c r="B3" s="1" t="n"/>
      <c r="C3" s="1" t="n"/>
      <c r="D3" s="1" t="n"/>
    </row>
    <row r="4">
      <c r="A4" s="1" t="n"/>
      <c r="B4" s="26" t="inlineStr">
        <is>
          <t>ACTIVOS</t>
        </is>
      </c>
      <c r="D4" s="1" t="n"/>
    </row>
    <row r="5">
      <c r="A5" s="1" t="n"/>
      <c r="B5" s="27" t="inlineStr">
        <is>
          <t>Activo Corriente</t>
        </is>
      </c>
      <c r="C5" s="1" t="n"/>
      <c r="D5" s="1" t="n"/>
    </row>
    <row r="6">
      <c r="A6" s="1" t="n"/>
      <c r="B6" s="28" t="inlineStr">
        <is>
          <t>Caja y Bancos</t>
        </is>
      </c>
      <c r="C6" s="29" t="n">
        <v>25000</v>
      </c>
      <c r="D6" s="1" t="n"/>
    </row>
    <row r="7">
      <c r="A7" s="1" t="n"/>
      <c r="B7" s="28" t="inlineStr">
        <is>
          <t>Cuentas por Cobrar</t>
        </is>
      </c>
      <c r="C7" s="29" t="n">
        <v>15000</v>
      </c>
      <c r="D7" s="1" t="n"/>
    </row>
    <row r="8">
      <c r="A8" s="1" t="n"/>
      <c r="B8" s="28" t="inlineStr">
        <is>
          <t>Inventarios</t>
        </is>
      </c>
      <c r="C8" s="29" t="n">
        <v>30000</v>
      </c>
      <c r="D8" s="1" t="n"/>
    </row>
    <row r="9">
      <c r="A9" s="1" t="n"/>
      <c r="B9" s="28" t="inlineStr">
        <is>
          <t>Anticipos y Prepagados</t>
        </is>
      </c>
      <c r="C9" s="29" t="n">
        <v>5000</v>
      </c>
      <c r="D9" s="1" t="n"/>
    </row>
    <row r="10">
      <c r="A10" s="1" t="n"/>
      <c r="B10" s="1" t="inlineStr"/>
      <c r="C10" s="1" t="n"/>
      <c r="D10" s="1" t="n"/>
    </row>
    <row r="11">
      <c r="A11" s="1" t="n"/>
      <c r="B11" s="30" t="inlineStr">
        <is>
          <t>Total Activo Corriente</t>
        </is>
      </c>
      <c r="C11" s="31">
        <f>SUM(C6:C9)</f>
        <v/>
      </c>
      <c r="D11" s="1" t="n"/>
    </row>
    <row r="12">
      <c r="A12" s="1" t="n"/>
      <c r="B12" s="1" t="n"/>
      <c r="C12" s="1" t="n"/>
      <c r="D12" s="1" t="n"/>
    </row>
    <row r="13">
      <c r="A13" s="1" t="n"/>
      <c r="B13" s="27" t="inlineStr">
        <is>
          <t>Activo No Corriente</t>
        </is>
      </c>
      <c r="C13" s="1" t="n"/>
      <c r="D13" s="1" t="n"/>
    </row>
    <row r="14">
      <c r="A14" s="1" t="n"/>
      <c r="B14" s="28" t="inlineStr">
        <is>
          <t>Propiedad, Planta y Equipo</t>
        </is>
      </c>
      <c r="C14" s="29" t="n">
        <v>150000</v>
      </c>
      <c r="D14" s="1" t="n"/>
    </row>
    <row r="15">
      <c r="A15" s="1" t="n"/>
      <c r="B15" s="28" t="inlineStr">
        <is>
          <t>(-) Depreciacion Acumulada</t>
        </is>
      </c>
      <c r="C15" s="29" t="n">
        <v>-30000</v>
      </c>
      <c r="D15" s="1" t="n"/>
    </row>
    <row r="16">
      <c r="A16" s="1" t="n"/>
      <c r="B16" s="28" t="inlineStr">
        <is>
          <t>Intangibles</t>
        </is>
      </c>
      <c r="C16" s="29" t="n">
        <v>10000</v>
      </c>
      <c r="D16" s="1" t="n"/>
    </row>
    <row r="17">
      <c r="A17" s="1" t="n"/>
      <c r="B17" s="1" t="inlineStr"/>
      <c r="C17" s="1" t="n"/>
      <c r="D17" s="1" t="n"/>
    </row>
    <row r="18">
      <c r="A18" s="1" t="n"/>
      <c r="B18" s="1" t="inlineStr"/>
      <c r="C18" s="1" t="n"/>
      <c r="D18" s="1" t="n"/>
    </row>
    <row r="19">
      <c r="A19" s="1" t="n"/>
      <c r="B19" s="30" t="inlineStr">
        <is>
          <t>Total Activo No Corriente</t>
        </is>
      </c>
      <c r="C19" s="31">
        <f>SUM(C14:C16)</f>
        <v/>
      </c>
      <c r="D19" s="1" t="n"/>
    </row>
    <row r="20">
      <c r="A20" s="1" t="n"/>
      <c r="B20" s="32" t="inlineStr">
        <is>
          <t>TOTAL ACTIVOS</t>
        </is>
      </c>
      <c r="C20" s="33">
        <f>C11+C19</f>
        <v/>
      </c>
      <c r="D20" s="1" t="n"/>
    </row>
    <row r="21" ht="8" customHeight="1">
      <c r="A21" s="1" t="n"/>
      <c r="B21" s="1" t="n"/>
      <c r="C21" s="1" t="n"/>
      <c r="D21" s="1" t="n"/>
    </row>
    <row r="22">
      <c r="A22" s="1" t="n"/>
      <c r="B22" s="26" t="inlineStr">
        <is>
          <t>PASIVOS Y PATRIMONIO</t>
        </is>
      </c>
      <c r="D22" s="1" t="n"/>
    </row>
    <row r="23">
      <c r="A23" s="1" t="n"/>
      <c r="B23" s="27" t="inlineStr">
        <is>
          <t>Pasivo Corriente</t>
        </is>
      </c>
      <c r="C23" s="1" t="n"/>
      <c r="D23" s="1" t="n"/>
    </row>
    <row r="24">
      <c r="A24" s="1" t="n"/>
      <c r="B24" s="28" t="inlineStr">
        <is>
          <t>Cuentas por Pagar</t>
        </is>
      </c>
      <c r="C24" s="29" t="n">
        <v>20000</v>
      </c>
      <c r="D24" s="1" t="n"/>
    </row>
    <row r="25">
      <c r="A25" s="1" t="n"/>
      <c r="B25" s="28" t="inlineStr">
        <is>
          <t>Sueldos por Pagar</t>
        </is>
      </c>
      <c r="C25" s="29" t="n">
        <v>5000</v>
      </c>
      <c r="D25" s="1" t="n"/>
    </row>
    <row r="26">
      <c r="A26" s="1" t="n"/>
      <c r="B26" s="28" t="inlineStr">
        <is>
          <t>Impuestos por Pagar</t>
        </is>
      </c>
      <c r="C26" s="29" t="n">
        <v>3000</v>
      </c>
      <c r="D26" s="1" t="n"/>
    </row>
    <row r="27">
      <c r="A27" s="1" t="n"/>
      <c r="B27" s="28" t="inlineStr">
        <is>
          <t>Deudas a Corto Plazo</t>
        </is>
      </c>
      <c r="C27" s="29" t="n">
        <v>15000</v>
      </c>
      <c r="D27" s="1" t="n"/>
    </row>
    <row r="28">
      <c r="A28" s="1" t="n"/>
      <c r="B28" s="30" t="inlineStr">
        <is>
          <t>Total Pasivo Corriente</t>
        </is>
      </c>
      <c r="C28" s="31">
        <f>SUM(C24:C27)</f>
        <v/>
      </c>
      <c r="D28" s="1" t="n"/>
    </row>
    <row r="29">
      <c r="A29" s="1" t="n"/>
      <c r="B29" s="27" t="inlineStr">
        <is>
          <t>Pasivo No Corriente</t>
        </is>
      </c>
      <c r="C29" s="1" t="n"/>
      <c r="D29" s="1" t="n"/>
    </row>
    <row r="30">
      <c r="A30" s="1" t="n"/>
      <c r="B30" s="28" t="inlineStr">
        <is>
          <t>Deudas a Largo Plazo</t>
        </is>
      </c>
      <c r="C30" s="29" t="n">
        <v>50000</v>
      </c>
      <c r="D30" s="1" t="n"/>
    </row>
    <row r="31">
      <c r="A31" s="1" t="n"/>
      <c r="B31" s="30" t="inlineStr">
        <is>
          <t>TOTAL PASIVOS</t>
        </is>
      </c>
      <c r="C31" s="31">
        <f>C28+C30</f>
        <v/>
      </c>
      <c r="D31" s="1" t="n"/>
    </row>
    <row r="32">
      <c r="A32" s="1" t="n"/>
      <c r="B32" s="27" t="inlineStr">
        <is>
          <t>Patrimonio</t>
        </is>
      </c>
      <c r="C32" s="1" t="n"/>
      <c r="D32" s="1" t="n"/>
    </row>
    <row r="33">
      <c r="A33" s="1" t="n"/>
      <c r="B33" s="28" t="inlineStr">
        <is>
          <t>Capital Social</t>
        </is>
      </c>
      <c r="C33" s="29" t="n">
        <v>80000</v>
      </c>
      <c r="D33" s="1" t="n"/>
    </row>
    <row r="34">
      <c r="A34" s="1" t="n"/>
      <c r="B34" s="28" t="inlineStr">
        <is>
          <t>Reservas</t>
        </is>
      </c>
      <c r="C34" s="29" t="n">
        <v>5000</v>
      </c>
      <c r="D34" s="1" t="n"/>
    </row>
    <row r="35">
      <c r="A35" s="1" t="n"/>
      <c r="B35" s="28" t="inlineStr">
        <is>
          <t>Utilidades Retenidas</t>
        </is>
      </c>
      <c r="C35" s="29" t="n">
        <v>17000</v>
      </c>
      <c r="D35" s="1" t="n"/>
    </row>
    <row r="36">
      <c r="A36" s="1" t="n"/>
      <c r="B36" s="28" t="inlineStr">
        <is>
          <t>Resultado del Ejercicio</t>
        </is>
      </c>
      <c r="C36" s="34">
        <f>EstadoResultados!C27</f>
        <v/>
      </c>
      <c r="D36" s="1" t="n"/>
    </row>
    <row r="37">
      <c r="A37" s="1" t="n"/>
      <c r="B37" s="30" t="inlineStr">
        <is>
          <t>TOTAL PATRIMONIO</t>
        </is>
      </c>
      <c r="C37" s="31">
        <f>SUM(C33:C36)</f>
        <v/>
      </c>
      <c r="D37" s="1" t="n"/>
    </row>
    <row r="38">
      <c r="A38" s="1" t="n"/>
      <c r="B38" s="32" t="inlineStr">
        <is>
          <t>TOTAL PASIVOS + PATRIMONIO</t>
        </is>
      </c>
      <c r="C38" s="33">
        <f>C31+C37</f>
        <v/>
      </c>
      <c r="D38" s="1" t="n"/>
    </row>
    <row r="39">
      <c r="A39" s="1" t="n"/>
      <c r="B39" s="35">
        <f>IF(ABS(C20-C38)&lt;0.01,"CUADRA: Activos = Pasivos + Patrimonio","ERROR: NO CUADRA")</f>
        <v/>
      </c>
      <c r="D39" s="1" t="n"/>
    </row>
    <row r="40">
      <c r="A40" s="1" t="n"/>
      <c r="B40" s="1" t="n"/>
      <c r="C40" s="1" t="n"/>
      <c r="D40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5">
    <mergeCell ref="B39:C39"/>
    <mergeCell ref="B2:C2"/>
    <mergeCell ref="B22:C22"/>
    <mergeCell ref="B1:C1"/>
    <mergeCell ref="B4:C4"/>
  </mergeCells>
  <conditionalFormatting sqref="B39:C39">
    <cfRule type="expression" priority="1" dxfId="0">
      <formula>ABS(C20-C38)&gt;=0.01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7E22"/>
    <outlinePr summaryBelow="1" summaryRight="1"/>
    <pageSetUpPr/>
  </sheetPr>
  <dimension ref="A1:D3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20" customWidth="1" min="3" max="3"/>
    <col width="4" customWidth="1" min="4" max="4"/>
  </cols>
  <sheetData>
    <row r="1" ht="30" customHeight="1">
      <c r="A1" s="1" t="n"/>
      <c r="B1" s="18" t="inlineStr">
        <is>
          <t>ESTADO DE RESULTADOS</t>
        </is>
      </c>
      <c r="D1" s="1" t="n"/>
    </row>
    <row r="2">
      <c r="A2" s="1" t="n"/>
      <c r="B2" s="25">
        <f>"Periodo: "&amp;Dashboard!C4</f>
        <v/>
      </c>
      <c r="D2" s="1" t="n"/>
    </row>
    <row r="3">
      <c r="A3" s="1" t="n"/>
      <c r="B3" s="1" t="n"/>
      <c r="C3" s="1" t="n"/>
      <c r="D3" s="1" t="n"/>
    </row>
    <row r="4">
      <c r="A4" s="1" t="n"/>
      <c r="B4" s="36" t="inlineStr">
        <is>
          <t>INGRESOS</t>
        </is>
      </c>
      <c r="D4" s="1" t="n"/>
    </row>
    <row r="5">
      <c r="A5" s="1" t="n"/>
      <c r="B5" s="28" t="inlineStr">
        <is>
          <t>Ventas Netas</t>
        </is>
      </c>
      <c r="C5" s="29" t="n">
        <v>350000</v>
      </c>
      <c r="D5" s="1" t="n"/>
    </row>
    <row r="6">
      <c r="A6" s="1" t="n"/>
      <c r="B6" s="28" t="inlineStr">
        <is>
          <t>Otros Ingresos</t>
        </is>
      </c>
      <c r="C6" s="29" t="n">
        <v>8000</v>
      </c>
      <c r="D6" s="1" t="n"/>
    </row>
    <row r="7">
      <c r="A7" s="1" t="n"/>
      <c r="B7" s="30" t="inlineStr">
        <is>
          <t>TOTAL INGRESOS</t>
        </is>
      </c>
      <c r="C7" s="31">
        <f>SUM(C5:C6)</f>
        <v/>
      </c>
      <c r="D7" s="1" t="n"/>
    </row>
    <row r="8" ht="4" customHeight="1">
      <c r="A8" s="1" t="n"/>
      <c r="B8" s="1" t="n"/>
      <c r="C8" s="1" t="n"/>
      <c r="D8" s="1" t="n"/>
    </row>
    <row r="9">
      <c r="A9" s="1" t="n"/>
      <c r="B9" s="37" t="inlineStr">
        <is>
          <t>COSTO DE VENTAS</t>
        </is>
      </c>
      <c r="D9" s="1" t="n"/>
    </row>
    <row r="10">
      <c r="A10" s="1" t="n"/>
      <c r="B10" s="28" t="inlineStr">
        <is>
          <t>Costo de Ventas</t>
        </is>
      </c>
      <c r="C10" s="29" t="n">
        <v>180000</v>
      </c>
      <c r="D10" s="1" t="n"/>
    </row>
    <row r="11">
      <c r="A11" s="1" t="n"/>
      <c r="B11" s="1" t="n"/>
      <c r="C11" s="1" t="n"/>
      <c r="D11" s="1" t="n"/>
    </row>
    <row r="12">
      <c r="A12" s="1" t="n"/>
      <c r="B12" s="30" t="inlineStr">
        <is>
          <t>UTILIDAD BRUTA</t>
        </is>
      </c>
      <c r="C12" s="31">
        <f>C7-C10</f>
        <v/>
      </c>
      <c r="D12" s="1" t="n"/>
    </row>
    <row r="13" ht="4" customHeight="1">
      <c r="A13" s="1" t="n"/>
      <c r="B13" s="1" t="n"/>
      <c r="C13" s="1" t="n"/>
      <c r="D13" s="1" t="n"/>
    </row>
    <row r="14">
      <c r="A14" s="1" t="n"/>
      <c r="B14" s="38" t="inlineStr">
        <is>
          <t>GASTOS OPERATIVOS</t>
        </is>
      </c>
      <c r="D14" s="1" t="n"/>
    </row>
    <row r="15">
      <c r="A15" s="1" t="n"/>
      <c r="B15" s="28" t="inlineStr">
        <is>
          <t>Sueldos y Salarios</t>
        </is>
      </c>
      <c r="C15" s="29" t="n">
        <v>80000</v>
      </c>
      <c r="D15" s="1" t="n"/>
    </row>
    <row r="16">
      <c r="A16" s="1" t="n"/>
      <c r="B16" s="28" t="inlineStr">
        <is>
          <t>Alquiler</t>
        </is>
      </c>
      <c r="C16" s="29" t="n">
        <v>36000</v>
      </c>
      <c r="D16" s="1" t="n"/>
    </row>
    <row r="17">
      <c r="A17" s="1" t="n"/>
      <c r="B17" s="28" t="inlineStr">
        <is>
          <t>Servicios Basicos</t>
        </is>
      </c>
      <c r="C17" s="29" t="n">
        <v>12000</v>
      </c>
      <c r="D17" s="1" t="n"/>
    </row>
    <row r="18">
      <c r="A18" s="1" t="n"/>
      <c r="B18" s="28" t="inlineStr">
        <is>
          <t>Depreciacion</t>
        </is>
      </c>
      <c r="C18" s="29" t="n">
        <v>15000</v>
      </c>
      <c r="D18" s="1" t="n"/>
    </row>
    <row r="19">
      <c r="A19" s="1" t="n"/>
      <c r="B19" s="28" t="inlineStr">
        <is>
          <t>Publicidad y Marketing</t>
        </is>
      </c>
      <c r="C19" s="29" t="n">
        <v>8000</v>
      </c>
      <c r="D19" s="1" t="n"/>
    </row>
    <row r="20">
      <c r="A20" s="1" t="n"/>
      <c r="B20" s="28" t="inlineStr">
        <is>
          <t>Otros Gastos Operativos</t>
        </is>
      </c>
      <c r="C20" s="29" t="n">
        <v>5000</v>
      </c>
      <c r="D20" s="1" t="n"/>
    </row>
    <row r="21">
      <c r="A21" s="1" t="n"/>
      <c r="B21" s="30" t="inlineStr">
        <is>
          <t>TOTAL GASTOS OPERATIVOS</t>
        </is>
      </c>
      <c r="C21" s="31">
        <f>SUM(C15:C20)</f>
        <v/>
      </c>
      <c r="D21" s="1" t="n"/>
    </row>
    <row r="22">
      <c r="A22" s="1" t="n"/>
      <c r="B22" s="30" t="inlineStr">
        <is>
          <t>UTILIDAD OPERATIVA (EBIT)</t>
        </is>
      </c>
      <c r="C22" s="31">
        <f>C12-C21</f>
        <v/>
      </c>
      <c r="D22" s="1" t="n"/>
    </row>
    <row r="23" ht="4" customHeight="1">
      <c r="A23" s="1" t="n"/>
      <c r="B23" s="1" t="n"/>
      <c r="C23" s="1" t="n"/>
      <c r="D23" s="1" t="n"/>
    </row>
    <row r="24">
      <c r="A24" s="1" t="n"/>
      <c r="B24" s="28" t="inlineStr">
        <is>
          <t>(-) Gastos Financieros</t>
        </is>
      </c>
      <c r="C24" s="29" t="n">
        <v>6000</v>
      </c>
      <c r="D24" s="1" t="n"/>
    </row>
    <row r="25">
      <c r="A25" s="1" t="n"/>
      <c r="B25" s="30" t="inlineStr">
        <is>
          <t>UTILIDAD ANTES DE IMPUESTOS</t>
        </is>
      </c>
      <c r="C25" s="31">
        <f>C22-C24</f>
        <v/>
      </c>
      <c r="D25" s="1" t="n"/>
    </row>
    <row r="26">
      <c r="A26" s="1" t="n"/>
      <c r="B26" s="28" t="inlineStr">
        <is>
          <t>(-) Impuesto sobre Utilidades (25%)</t>
        </is>
      </c>
      <c r="C26" s="39">
        <f>IFERROR(IF(C25&gt;0,C25*0.25,0),0)</f>
        <v/>
      </c>
      <c r="D26" s="1" t="n"/>
    </row>
    <row r="27">
      <c r="A27" s="1" t="n"/>
      <c r="B27" s="32" t="inlineStr">
        <is>
          <t>UTILIDAD NETA</t>
        </is>
      </c>
      <c r="C27" s="33">
        <f>C25-C26</f>
        <v/>
      </c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5">
    <mergeCell ref="B2:C2"/>
    <mergeCell ref="B14:C14"/>
    <mergeCell ref="B9:C9"/>
    <mergeCell ref="B1:C1"/>
    <mergeCell ref="B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D3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20" customWidth="1" min="3" max="3"/>
    <col width="4" customWidth="1" min="4" max="4"/>
  </cols>
  <sheetData>
    <row r="1" ht="30" customHeight="1">
      <c r="A1" s="1" t="n"/>
      <c r="B1" s="18" t="inlineStr">
        <is>
          <t>ESTADO DE FLUJO DE EFECTIVO</t>
        </is>
      </c>
      <c r="D1" s="1" t="n"/>
    </row>
    <row r="2">
      <c r="A2" s="1" t="n"/>
      <c r="B2" s="25">
        <f>"Periodo: "&amp;Dashboard!C4</f>
        <v/>
      </c>
      <c r="D2" s="1" t="n"/>
    </row>
    <row r="3">
      <c r="A3" s="1" t="n"/>
      <c r="B3" s="1" t="n"/>
      <c r="C3" s="1" t="n"/>
      <c r="D3" s="1" t="n"/>
    </row>
    <row r="4">
      <c r="A4" s="1" t="n"/>
      <c r="B4" s="36" t="inlineStr">
        <is>
          <t>ACTIVIDADES DE OPERACION</t>
        </is>
      </c>
      <c r="D4" s="1" t="n"/>
    </row>
    <row r="5">
      <c r="A5" s="1" t="n"/>
      <c r="B5" s="28" t="inlineStr">
        <is>
          <t>Utilidad Neta</t>
        </is>
      </c>
      <c r="C5" s="34">
        <f>EstadoResultados!C27</f>
        <v/>
      </c>
      <c r="D5" s="1" t="n"/>
    </row>
    <row r="6">
      <c r="A6" s="1" t="n"/>
      <c r="B6" s="28" t="inlineStr">
        <is>
          <t>(+) Depreciacion</t>
        </is>
      </c>
      <c r="C6" s="29" t="n">
        <v>15000</v>
      </c>
      <c r="D6" s="1" t="n"/>
    </row>
    <row r="7">
      <c r="A7" s="1" t="n"/>
      <c r="B7" s="28" t="inlineStr">
        <is>
          <t>(+/-) Cambio en Ctas por Cobrar</t>
        </is>
      </c>
      <c r="C7" s="29" t="n">
        <v>-3000</v>
      </c>
      <c r="D7" s="1" t="n"/>
    </row>
    <row r="8">
      <c r="A8" s="1" t="n"/>
      <c r="B8" s="28" t="inlineStr">
        <is>
          <t>(+/-) Cambio en Inventarios</t>
        </is>
      </c>
      <c r="C8" s="29" t="n">
        <v>2000</v>
      </c>
      <c r="D8" s="1" t="n"/>
    </row>
    <row r="9">
      <c r="A9" s="1" t="n"/>
      <c r="B9" s="28" t="inlineStr">
        <is>
          <t>(+/-) Cambio en Ctas por Pagar</t>
        </is>
      </c>
      <c r="C9" s="29" t="n">
        <v>4000</v>
      </c>
      <c r="D9" s="1" t="n"/>
    </row>
    <row r="10">
      <c r="A10" s="1" t="n"/>
      <c r="B10" s="30" t="inlineStr">
        <is>
          <t>Flujo Neto de Operaciones</t>
        </is>
      </c>
      <c r="C10" s="31">
        <f>SUM(C5:C9)</f>
        <v/>
      </c>
      <c r="D10" s="1" t="n"/>
    </row>
    <row r="11" ht="4" customHeight="1">
      <c r="A11" s="1" t="n"/>
      <c r="B11" s="1" t="n"/>
      <c r="C11" s="1" t="n"/>
      <c r="D11" s="1" t="n"/>
    </row>
    <row r="12">
      <c r="A12" s="1" t="n"/>
      <c r="B12" s="38" t="inlineStr">
        <is>
          <t>ACTIVIDADES DE INVERSION</t>
        </is>
      </c>
      <c r="D12" s="1" t="n"/>
    </row>
    <row r="13">
      <c r="A13" s="1" t="n"/>
      <c r="B13" s="28" t="inlineStr">
        <is>
          <t>Compra de Activos Fijos</t>
        </is>
      </c>
      <c r="C13" s="29" t="n">
        <v>-20000</v>
      </c>
      <c r="D13" s="1" t="n"/>
    </row>
    <row r="14">
      <c r="A14" s="1" t="n"/>
      <c r="B14" s="28" t="inlineStr">
        <is>
          <t>Venta de Activos</t>
        </is>
      </c>
      <c r="C14" s="29" t="n">
        <v>5000</v>
      </c>
      <c r="D14" s="1" t="n"/>
    </row>
    <row r="15">
      <c r="A15" s="1" t="n"/>
      <c r="B15" s="30" t="inlineStr">
        <is>
          <t>Flujo Neto de Inversion</t>
        </is>
      </c>
      <c r="C15" s="31">
        <f>SUM(C13:C14)</f>
        <v/>
      </c>
      <c r="D15" s="1" t="n"/>
    </row>
    <row r="16" ht="4" customHeight="1">
      <c r="A16" s="1" t="n"/>
      <c r="B16" s="1" t="n"/>
      <c r="C16" s="1" t="n"/>
      <c r="D16" s="1" t="n"/>
    </row>
    <row r="17">
      <c r="A17" s="1" t="n"/>
      <c r="B17" s="40" t="inlineStr">
        <is>
          <t>ACTIVIDADES DE FINANCIAMIENTO</t>
        </is>
      </c>
      <c r="D17" s="1" t="n"/>
    </row>
    <row r="18">
      <c r="A18" s="1" t="n"/>
      <c r="B18" s="28" t="inlineStr">
        <is>
          <t>Nuevos Prestamos</t>
        </is>
      </c>
      <c r="C18" s="29" t="n">
        <v>10000</v>
      </c>
      <c r="D18" s="1" t="n"/>
    </row>
    <row r="19">
      <c r="A19" s="1" t="n"/>
      <c r="B19" s="28" t="inlineStr">
        <is>
          <t>Pago de Prestamos</t>
        </is>
      </c>
      <c r="C19" s="29" t="n">
        <v>-8000</v>
      </c>
      <c r="D19" s="1" t="n"/>
    </row>
    <row r="20">
      <c r="A20" s="1" t="n"/>
      <c r="B20" s="28" t="inlineStr">
        <is>
          <t>Aportes de Capital</t>
        </is>
      </c>
      <c r="C20" s="29" t="n">
        <v>0</v>
      </c>
      <c r="D20" s="1" t="n"/>
    </row>
    <row r="21">
      <c r="A21" s="1" t="n"/>
      <c r="B21" s="28" t="inlineStr">
        <is>
          <t>Distribucion de Dividendos</t>
        </is>
      </c>
      <c r="C21" s="29" t="n">
        <v>-5000</v>
      </c>
      <c r="D21" s="1" t="n"/>
    </row>
    <row r="22">
      <c r="A22" s="1" t="n"/>
      <c r="B22" s="30" t="inlineStr">
        <is>
          <t>Flujo Neto de Financiamiento</t>
        </is>
      </c>
      <c r="C22" s="31">
        <f>SUM(C18:C21)</f>
        <v/>
      </c>
      <c r="D22" s="1" t="n"/>
    </row>
    <row r="23" ht="8" customHeight="1">
      <c r="A23" s="1" t="n"/>
      <c r="B23" s="1" t="n"/>
      <c r="C23" s="1" t="n"/>
      <c r="D23" s="1" t="n"/>
    </row>
    <row r="24">
      <c r="A24" s="1" t="n"/>
      <c r="B24" s="30" t="inlineStr">
        <is>
          <t>AUMENTO/DISMINUCION NETO DE EFECTIVO</t>
        </is>
      </c>
      <c r="C24" s="31">
        <f>C10+C15+C22</f>
        <v/>
      </c>
      <c r="D24" s="1" t="n"/>
    </row>
    <row r="25">
      <c r="A25" s="1" t="n"/>
      <c r="B25" s="41" t="inlineStr">
        <is>
          <t>Efectivo al Inicio del Periodo</t>
        </is>
      </c>
      <c r="C25" s="29" t="n">
        <v>20000</v>
      </c>
      <c r="D25" s="1" t="n"/>
    </row>
    <row r="26">
      <c r="A26" s="1" t="n"/>
      <c r="B26" s="32" t="inlineStr">
        <is>
          <t>EFECTIVO AL FINAL DEL PERIODO</t>
        </is>
      </c>
      <c r="C26" s="33">
        <f>C24+C25</f>
        <v/>
      </c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5">
    <mergeCell ref="B2:C2"/>
    <mergeCell ref="B17:C17"/>
    <mergeCell ref="B1:C1"/>
    <mergeCell ref="B4:C4"/>
    <mergeCell ref="B12:C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498DB"/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30" customWidth="1" min="4" max="4"/>
    <col width="4" customWidth="1" min="5" max="5"/>
  </cols>
  <sheetData>
    <row r="1" ht="35" customHeight="1">
      <c r="A1" s="1" t="n"/>
      <c r="B1" s="18" t="inlineStr">
        <is>
          <t>RAZONES FINANCIERAS</t>
        </is>
      </c>
      <c r="E1" s="1" t="n"/>
    </row>
    <row r="2">
      <c r="A2" s="1" t="n"/>
      <c r="B2" s="25" t="inlineStr">
        <is>
          <t>Indicadores calculados automaticamente desde el Balance y Estado de Resultados.</t>
        </is>
      </c>
      <c r="E2" s="1" t="n"/>
    </row>
    <row r="3">
      <c r="A3" s="1" t="n"/>
      <c r="B3" s="19" t="inlineStr">
        <is>
          <t>INDICADOR</t>
        </is>
      </c>
      <c r="C3" s="19" t="inlineStr">
        <is>
          <t>VALOR</t>
        </is>
      </c>
      <c r="D3" s="19" t="inlineStr">
        <is>
          <t>INTERPRETACION</t>
        </is>
      </c>
      <c r="E3" s="1" t="n"/>
    </row>
    <row r="4">
      <c r="A4" s="1" t="n"/>
      <c r="B4" s="7" t="inlineStr">
        <is>
          <t>RENTABILIDAD</t>
        </is>
      </c>
      <c r="E4" s="1" t="n"/>
    </row>
    <row r="5">
      <c r="A5" s="1" t="n"/>
      <c r="B5" s="16" t="inlineStr">
        <is>
          <t>ROE (Retorno sobre Patrimonio)</t>
        </is>
      </c>
      <c r="C5" s="42">
        <f>IFERROR(EstadoResultados!C27/BalanceGeneral!C37,0)</f>
        <v/>
      </c>
      <c r="D5" s="43">
        <f>IF(C5&gt;0.15,"Excelente",IF(C5&gt;0.08,"Bueno","Bajo"))</f>
        <v/>
      </c>
      <c r="E5" s="1" t="n"/>
    </row>
    <row r="6">
      <c r="A6" s="1" t="n"/>
      <c r="B6" s="16" t="inlineStr">
        <is>
          <t>ROA (Retorno sobre Activos)</t>
        </is>
      </c>
      <c r="C6" s="42">
        <f>IFERROR(EstadoResultados!C27/BalanceGeneral!C20,0)</f>
        <v/>
      </c>
      <c r="D6" s="43">
        <f>IF(C6&gt;0.10,"Excelente",IF(C6&gt;0.05,"Bueno","Bajo"))</f>
        <v/>
      </c>
      <c r="E6" s="1" t="n"/>
    </row>
    <row r="7">
      <c r="A7" s="1" t="n"/>
      <c r="B7" s="9" t="inlineStr">
        <is>
          <t>LIQUIDEZ</t>
        </is>
      </c>
      <c r="E7" s="1" t="n"/>
    </row>
    <row r="8">
      <c r="A8" s="1" t="n"/>
      <c r="B8" s="16" t="inlineStr">
        <is>
          <t>Razon Corriente</t>
        </is>
      </c>
      <c r="C8" s="34">
        <f>IFERROR(BalanceGeneral!C11/BalanceGeneral!C28,0)</f>
        <v/>
      </c>
      <c r="D8" s="43">
        <f>IF(C8&gt;2,"Holgada",IF(C8&gt;1,"Adecuada","Riesgo"))</f>
        <v/>
      </c>
      <c r="E8" s="1" t="n"/>
    </row>
    <row r="9">
      <c r="A9" s="1" t="n"/>
      <c r="B9" s="16" t="inlineStr">
        <is>
          <t>Prueba Acida</t>
        </is>
      </c>
      <c r="C9" s="34">
        <f>IFERROR((BalanceGeneral!C11-BalanceGeneral!C8)/BalanceGeneral!C28,0)</f>
        <v/>
      </c>
      <c r="D9" s="43">
        <f>IF(C9&gt;1,"Buena",IF(C9&gt;0.5,"Aceptable","Riesgo"))</f>
        <v/>
      </c>
      <c r="E9" s="1" t="n"/>
    </row>
    <row r="10">
      <c r="A10" s="1" t="n"/>
      <c r="B10" s="16" t="inlineStr">
        <is>
          <t>Capital de Trabajo (Bs.)</t>
        </is>
      </c>
      <c r="C10" s="34">
        <f>BalanceGeneral!C11-BalanceGeneral!C28</f>
        <v/>
      </c>
      <c r="D10" s="43">
        <f>IF(C10&gt;0,"Positivo - Liquidez OK","Negativo - Riesgo")</f>
        <v/>
      </c>
      <c r="E10" s="1" t="n"/>
    </row>
    <row r="11">
      <c r="A11" s="1" t="n"/>
      <c r="B11" s="6" t="inlineStr">
        <is>
          <t>ENDEUDAMIENTO</t>
        </is>
      </c>
      <c r="E11" s="1" t="n"/>
    </row>
    <row r="12">
      <c r="A12" s="1" t="n"/>
      <c r="B12" s="16" t="inlineStr">
        <is>
          <t>Razon de Endeudamiento</t>
        </is>
      </c>
      <c r="C12" s="42">
        <f>IFERROR(BalanceGeneral!C31/BalanceGeneral!C20,0)</f>
        <v/>
      </c>
      <c r="D12" s="43">
        <f>IF(C12&lt;0.4,"Conservador",IF(C12&lt;0.6,"Moderado","Alto riesgo"))</f>
        <v/>
      </c>
      <c r="E12" s="1" t="n"/>
    </row>
    <row r="13">
      <c r="A13" s="1" t="n"/>
      <c r="B13" s="16" t="inlineStr">
        <is>
          <t>Apalancamiento (Deuda/Patrimonio)</t>
        </is>
      </c>
      <c r="C13" s="44">
        <f>IFERROR(BalanceGeneral!C31/BalanceGeneral!C37,0)</f>
        <v/>
      </c>
      <c r="D13" s="43">
        <f>IF(C13&lt;1,"Bajo apalancamiento",IF(C13&lt;2,"Moderado","Alto"))</f>
        <v/>
      </c>
      <c r="E13" s="1" t="n"/>
    </row>
    <row r="14">
      <c r="A14" s="1" t="n"/>
      <c r="B14" s="10" t="inlineStr">
        <is>
          <t>EFICIENCIA</t>
        </is>
      </c>
      <c r="E14" s="1" t="n"/>
    </row>
    <row r="15">
      <c r="A15" s="1" t="n"/>
      <c r="B15" s="16" t="inlineStr">
        <is>
          <t>Margen Bruto</t>
        </is>
      </c>
      <c r="C15" s="42">
        <f>IFERROR(EstadoResultados!C12/EstadoResultados!C7,0)</f>
        <v/>
      </c>
      <c r="D15" s="43">
        <f>IF(C15&gt;0.4,"Excelente",IF(C15&gt;0.25,"Bueno","Bajo"))</f>
        <v/>
      </c>
      <c r="E15" s="1" t="n"/>
    </row>
    <row r="16">
      <c r="A16" s="1" t="n"/>
      <c r="B16" s="16" t="inlineStr">
        <is>
          <t>Margen Operativo</t>
        </is>
      </c>
      <c r="C16" s="42">
        <f>IFERROR(EstadoResultados!C22/EstadoResultados!C7,0)</f>
        <v/>
      </c>
      <c r="D16" s="43">
        <f>IF(C16&gt;0.15,"Excelente",IF(C16&gt;0.08,"Bueno","Bajo"))</f>
        <v/>
      </c>
      <c r="E16" s="1" t="n"/>
    </row>
    <row r="17">
      <c r="A17" s="1" t="n"/>
      <c r="B17" s="16" t="inlineStr">
        <is>
          <t>Margen Neto</t>
        </is>
      </c>
      <c r="C17" s="42">
        <f>IFERROR(EstadoResultados!C27/EstadoResultados!C7,0)</f>
        <v/>
      </c>
      <c r="D17" s="43">
        <f>IF(C17&gt;0.10,"Excelente",IF(C17&gt;0.05,"Bueno","Bajo"))</f>
        <v/>
      </c>
      <c r="E17" s="1" t="n"/>
    </row>
    <row r="18">
      <c r="A18" s="1" t="n"/>
      <c r="B18" s="1" t="n"/>
      <c r="C18" s="1" t="n"/>
      <c r="D18" s="1" t="n"/>
      <c r="E18" s="1" t="n"/>
    </row>
    <row r="19">
      <c r="A19" s="1" t="n"/>
      <c r="B19" s="1" t="n"/>
      <c r="C19" s="1" t="n"/>
      <c r="D19" s="1" t="n"/>
      <c r="E19" s="1" t="n"/>
    </row>
    <row r="20">
      <c r="A20" s="1" t="n"/>
      <c r="B20" s="1" t="n"/>
      <c r="C20" s="1" t="n"/>
      <c r="D20" s="1" t="n"/>
      <c r="E20" s="1" t="n"/>
    </row>
    <row r="21">
      <c r="A21" s="1" t="n"/>
      <c r="B21" s="1" t="n"/>
      <c r="C21" s="1" t="n"/>
      <c r="D21" s="1" t="n"/>
      <c r="E21" s="1" t="n"/>
    </row>
    <row r="22">
      <c r="A22" s="1" t="n"/>
      <c r="B22" s="1" t="n"/>
      <c r="C22" s="1" t="n"/>
      <c r="D22" s="1" t="n"/>
      <c r="E22" s="1" t="n"/>
    </row>
    <row r="23">
      <c r="A23" s="1" t="n"/>
      <c r="B23" s="1" t="n"/>
      <c r="C23" s="1" t="n"/>
      <c r="D23" s="1" t="n"/>
      <c r="E23" s="1" t="n"/>
    </row>
    <row r="24">
      <c r="A24" s="1" t="n"/>
      <c r="B24" s="1" t="n"/>
      <c r="C24" s="1" t="n"/>
      <c r="D24" s="1" t="n"/>
      <c r="E24" s="1" t="n"/>
    </row>
    <row r="25">
      <c r="A25" s="1" t="n"/>
      <c r="B25" s="1" t="n"/>
      <c r="C25" s="1" t="n"/>
      <c r="D25" s="1" t="n"/>
      <c r="E25" s="1" t="n"/>
    </row>
    <row r="26">
      <c r="A26" s="1" t="n"/>
      <c r="B26" s="1" t="n"/>
      <c r="C26" s="1" t="n"/>
      <c r="D26" s="1" t="n"/>
      <c r="E26" s="1" t="n"/>
    </row>
    <row r="27">
      <c r="A27" s="1" t="n"/>
      <c r="B27" s="1" t="n"/>
      <c r="C27" s="1" t="n"/>
      <c r="D27" s="1" t="n"/>
      <c r="E27" s="1" t="n"/>
    </row>
    <row r="28">
      <c r="A28" s="1" t="n"/>
      <c r="B28" s="1" t="n"/>
      <c r="C28" s="1" t="n"/>
      <c r="D28" s="1" t="n"/>
      <c r="E28" s="1" t="n"/>
    </row>
    <row r="29">
      <c r="A29" s="1" t="n"/>
      <c r="B29" s="1" t="n"/>
      <c r="C29" s="1" t="n"/>
      <c r="D29" s="1" t="n"/>
      <c r="E29" s="1" t="n"/>
    </row>
    <row r="30">
      <c r="A30" s="1" t="n"/>
      <c r="B30" s="1" t="n"/>
      <c r="C30" s="1" t="n"/>
      <c r="D30" s="1" t="n"/>
      <c r="E30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6">
    <mergeCell ref="B11:D11"/>
    <mergeCell ref="B14:D14"/>
    <mergeCell ref="B1:D1"/>
    <mergeCell ref="B4:D4"/>
    <mergeCell ref="B7:D7"/>
    <mergeCell ref="B2:D2"/>
  </mergeCells>
  <conditionalFormatting sqref="D5:D6">
    <cfRule type="cellIs" priority="1" operator="containsText" dxfId="1">
      <formula>"Excelente"</formula>
    </cfRule>
    <cfRule type="cellIs" priority="2" operator="containsText" dxfId="2">
      <formula>"Riesgo"</formula>
    </cfRule>
  </conditionalFormatting>
  <conditionalFormatting sqref="D8:D10">
    <cfRule type="cellIs" priority="3" operator="containsText" dxfId="1">
      <formula>"Excelente"</formula>
    </cfRule>
    <cfRule type="cellIs" priority="4" operator="containsText" dxfId="2">
      <formula>"Riesgo"</formula>
    </cfRule>
  </conditionalFormatting>
  <conditionalFormatting sqref="D12:D13">
    <cfRule type="cellIs" priority="5" operator="containsText" dxfId="1">
      <formula>"Excelente"</formula>
    </cfRule>
    <cfRule type="cellIs" priority="6" operator="containsText" dxfId="2">
      <formula>"Riesgo"</formula>
    </cfRule>
  </conditionalFormatting>
  <conditionalFormatting sqref="D15:D17">
    <cfRule type="cellIs" priority="7" operator="containsText" dxfId="1">
      <formula>"Excelente"</formula>
    </cfRule>
    <cfRule type="cellIs" priority="8" operator="containsText" dxfId="2">
      <formula>"Riesgo"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B7280"/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45" t="inlineStr">
        <is>
          <t>v1.0.0</t>
        </is>
      </c>
      <c r="B1" s="1" t="n"/>
      <c r="C1" s="1" t="n"/>
    </row>
    <row r="2">
      <c r="A2" s="1" t="n"/>
      <c r="B2" s="1" t="n"/>
      <c r="C2" s="1" t="n"/>
    </row>
    <row r="3">
      <c r="A3" s="46" t="inlineStr">
        <is>
          <t>CONFIGURACION</t>
        </is>
      </c>
      <c r="C3" s="1" t="n"/>
    </row>
    <row r="4">
      <c r="A4" s="1" t="n"/>
      <c r="B4" s="1" t="n"/>
      <c r="C4" s="1" t="n"/>
    </row>
    <row r="5">
      <c r="A5" s="4" t="inlineStr">
        <is>
          <t>Producto</t>
        </is>
      </c>
      <c r="B5" s="47" t="inlineStr">
        <is>
          <t>Estados Financieros Completos</t>
        </is>
      </c>
      <c r="C5" s="1" t="n"/>
    </row>
    <row r="6">
      <c r="A6" s="4" t="inlineStr">
        <is>
          <t>Version</t>
        </is>
      </c>
      <c r="B6" s="47" t="inlineStr">
        <is>
          <t>v1.0.0</t>
        </is>
      </c>
      <c r="C6" s="1" t="n"/>
    </row>
    <row r="7">
      <c r="A7" s="4" t="inlineStr">
        <is>
          <t>Marca</t>
        </is>
      </c>
      <c r="B7" s="47" t="inlineStr">
        <is>
          <t>No Somos Ignorantes</t>
        </is>
      </c>
      <c r="C7" s="1" t="n"/>
    </row>
    <row r="8">
      <c r="A8" s="4" t="inlineStr">
        <is>
          <t>Precio</t>
        </is>
      </c>
      <c r="B8" s="47" t="inlineStr">
        <is>
          <t>Bs. 199 (Premium)</t>
        </is>
      </c>
      <c r="C8" s="1" t="n"/>
    </row>
    <row r="9">
      <c r="A9" s="4" t="inlineStr">
        <is>
          <t>Proteccion</t>
        </is>
      </c>
      <c r="B9" s="47" t="inlineStr">
        <is>
          <t>nsi2024</t>
        </is>
      </c>
      <c r="C9" s="1" t="n"/>
    </row>
    <row r="10">
      <c r="A10" s="4" t="inlineStr"/>
      <c r="B10" s="47" t="inlineStr"/>
      <c r="C10" s="1" t="n"/>
    </row>
    <row r="11">
      <c r="A11" s="4" t="inlineStr">
        <is>
          <t>INSTRUCCIONES</t>
        </is>
      </c>
      <c r="B11" s="47" t="inlineStr"/>
      <c r="C11" s="1" t="n"/>
    </row>
    <row r="12">
      <c r="A12" s="4" t="inlineStr">
        <is>
          <t>1.</t>
        </is>
      </c>
      <c r="B12" s="47" t="inlineStr">
        <is>
          <t>Ingresa el periodo en el Dashboard.</t>
        </is>
      </c>
      <c r="C12" s="1" t="n"/>
    </row>
    <row r="13">
      <c r="A13" s="4" t="inlineStr">
        <is>
          <t>2.</t>
        </is>
      </c>
      <c r="B13" s="47" t="inlineStr">
        <is>
          <t>En 'BalanceGeneral', ingresa los saldos de cada cuenta (celdas amarillas).</t>
        </is>
      </c>
      <c r="C13" s="1" t="n"/>
    </row>
    <row r="14">
      <c r="A14" s="4" t="inlineStr">
        <is>
          <t>3.</t>
        </is>
      </c>
      <c r="B14" s="47" t="inlineStr">
        <is>
          <t>En 'EstadoResultados', ingresa ingresos, costos y gastos.</t>
        </is>
      </c>
      <c r="C14" s="1" t="n"/>
    </row>
    <row r="15">
      <c r="A15" s="4" t="inlineStr">
        <is>
          <t>4.</t>
        </is>
      </c>
      <c r="B15" s="47" t="inlineStr">
        <is>
          <t>En 'FlujoCaja', ingresa los movimientos de efectivo.</t>
        </is>
      </c>
      <c r="C15" s="1" t="n"/>
    </row>
    <row r="16">
      <c r="A16" s="4" t="inlineStr">
        <is>
          <t>5.</t>
        </is>
      </c>
      <c r="B16" s="47" t="inlineStr">
        <is>
          <t>La Utilidad del Ejercicio se vincula automaticamente al Balance.</t>
        </is>
      </c>
      <c r="C16" s="1" t="n"/>
    </row>
    <row r="17">
      <c r="A17" s="4" t="inlineStr">
        <is>
          <t>6.</t>
        </is>
      </c>
      <c r="B17" s="47" t="inlineStr">
        <is>
          <t>Las Razones Financieras se calculan automaticamente.</t>
        </is>
      </c>
      <c r="C17" s="1" t="n"/>
    </row>
    <row r="18">
      <c r="A18" s="4" t="inlineStr">
        <is>
          <t>7.</t>
        </is>
      </c>
      <c r="B18" s="47" t="inlineStr">
        <is>
          <t>El Dashboard muestra KPIs, verificacion de cuadre y graficos.</t>
        </is>
      </c>
      <c r="C18" s="1" t="n"/>
    </row>
    <row r="19">
      <c r="A19" s="4" t="inlineStr">
        <is>
          <t>8.</t>
        </is>
      </c>
      <c r="B19" s="47" t="inlineStr">
        <is>
          <t>Para desbloquear: Revisar -&gt; Desproteger hoja -&gt; nsi2024</t>
        </is>
      </c>
      <c r="C19" s="1" t="n"/>
    </row>
    <row r="20">
      <c r="A20" s="4" t="inlineStr"/>
      <c r="B20" s="47" t="inlineStr"/>
      <c r="C20" s="1" t="n"/>
    </row>
    <row r="21">
      <c r="A21" s="4" t="inlineStr">
        <is>
          <t>NOTA</t>
        </is>
      </c>
      <c r="B21" s="47" t="inlineStr">
        <is>
          <t>El Plan de Cuentas es referencial. Ajusta segun tu empresa.</t>
        </is>
      </c>
      <c r="C21" s="1" t="n"/>
    </row>
    <row r="22">
      <c r="A22" s="1" t="n"/>
      <c r="B22" s="1" t="n"/>
      <c r="C22" s="1" t="n"/>
    </row>
    <row r="23">
      <c r="A23" s="1" t="n"/>
      <c r="B23" s="1" t="n"/>
      <c r="C23" s="1" t="n"/>
    </row>
    <row r="24">
      <c r="A24" s="1" t="n"/>
      <c r="B24" s="1" t="n"/>
      <c r="C24" s="1" t="n"/>
    </row>
    <row r="25">
      <c r="A25" s="1" t="n"/>
      <c r="B25" s="1" t="n"/>
      <c r="C25" s="1" t="n"/>
    </row>
    <row r="26">
      <c r="A26" s="1" t="n"/>
      <c r="B26" s="1" t="n"/>
      <c r="C26" s="1" t="n"/>
    </row>
    <row r="27">
      <c r="A27" s="1" t="n"/>
      <c r="B27" s="1" t="n"/>
      <c r="C27" s="1" t="n"/>
    </row>
    <row r="28">
      <c r="A28" s="1" t="n"/>
      <c r="B28" s="1" t="n"/>
      <c r="C28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1"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2026-02-06T13:34:47Z</dcterms:created>
  <dcterms:modified xmlns:dcterms="http://purl.org/dc/terms/" xmlns:xsi="http://www.w3.org/2001/XMLSchema-instance" xsi:type="dcterms:W3CDTF">2026-02-06T13:34:48Z</dcterms:modified>
</cp:coreProperties>
</file>