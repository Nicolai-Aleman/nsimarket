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Ventas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Reporte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27">
    <font>
      <name val="Calibri"/>
      <family val="2"/>
      <color theme="1"/>
      <sz val="11"/>
      <scheme val="minor"/>
    </font>
    <font>
      <name val="Calibri"/>
      <b val="1"/>
      <color rgb="00000000"/>
      <sz val="20"/>
    </font>
    <font>
      <name val="Calibri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28"/>
    </font>
    <font>
      <name val="Calibri"/>
      <color rgb="00808080"/>
      <sz val="9"/>
    </font>
    <font>
      <name val="Calibri"/>
      <color rgb="000000FF"/>
      <sz val="11"/>
    </font>
    <font>
      <name val="Calibri"/>
      <b val="1"/>
      <color rgb="00000000"/>
      <sz val="14"/>
    </font>
    <font>
      <name val="Calibri"/>
      <b val="1"/>
      <color rgb="00E74C3C"/>
      <sz val="14"/>
    </font>
    <font>
      <name val="Calibri"/>
      <b val="1"/>
      <color rgb="00F1C40F"/>
      <sz val="14"/>
    </font>
    <font>
      <name val="Calibri"/>
      <b val="1"/>
      <color rgb="00FFFFFF"/>
      <sz val="9"/>
    </font>
    <font>
      <name val="Calibri"/>
      <b val="1"/>
      <color rgb="00000000"/>
      <sz val="18"/>
    </font>
    <font>
      <name val="Calibri"/>
      <b val="1"/>
      <color rgb="00374151"/>
      <sz val="11"/>
    </font>
    <font>
      <name val="Calibri"/>
      <b val="1"/>
      <color rgb="00FFFFFF"/>
      <sz val="11"/>
    </font>
    <font>
      <name val="Calibri"/>
      <color rgb="00374151"/>
      <sz val="10"/>
    </font>
    <font>
      <name val="Calibri"/>
      <b val="1"/>
      <color rgb="00000000"/>
      <sz val="16"/>
    </font>
    <font>
      <name val="Calibri"/>
      <i val="1"/>
      <color rgb="006B7280"/>
      <sz val="10"/>
    </font>
    <font>
      <name val="Calibri"/>
      <b val="1"/>
      <color rgb="00D4AF37"/>
      <sz val="10"/>
    </font>
    <font>
      <name val="Calibri"/>
      <b val="1"/>
      <color rgb="000F3460"/>
      <sz val="10"/>
    </font>
    <font>
      <name val="Calibri"/>
      <color rgb="00111827"/>
      <sz val="11"/>
    </font>
    <font>
      <name val="Calibri"/>
      <b val="1"/>
      <sz val="10"/>
    </font>
    <font>
      <name val="Calibri"/>
      <b val="1"/>
      <color rgb="00111827"/>
      <sz val="11"/>
    </font>
    <font>
      <name val="Calibri"/>
      <b val="1"/>
      <color rgb="001F2937"/>
      <sz val="12"/>
    </font>
    <font>
      <name val="Calibri"/>
      <b val="1"/>
      <color rgb="00000000"/>
      <sz val="10"/>
    </font>
    <font>
      <name val="Calibri"/>
      <color rgb="009CA3AF"/>
      <sz val="9"/>
    </font>
    <font>
      <name val="Calibri"/>
      <b val="1"/>
      <color rgb="00374151"/>
      <sz val="10"/>
    </font>
    <font>
      <name val="Calibri"/>
      <color rgb="004B5563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FFF9C4"/>
      </patternFill>
    </fill>
    <fill>
      <patternFill patternType="solid">
        <fgColor rgb="0016A085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374151"/>
      </patternFill>
    </fill>
    <fill>
      <patternFill patternType="solid">
        <fgColor rgb="001A1A2E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" fontId="4" fillId="2" borderId="0" applyAlignment="1" pivotButton="0" quotePrefix="0" xfId="0">
      <alignment horizontal="right" vertical="center"/>
    </xf>
    <xf numFmtId="3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3" fontId="6" fillId="4" borderId="2" applyAlignment="1" applyProtection="1" pivotButton="0" quotePrefix="0" xfId="0">
      <alignment horizontal="center" vertical="center"/>
      <protection locked="0" hidden="0"/>
    </xf>
    <xf numFmtId="3" fontId="7" fillId="2" borderId="0" applyAlignment="1" pivotButton="0" quotePrefix="0" xfId="0">
      <alignment horizontal="left"/>
    </xf>
    <xf numFmtId="9" fontId="7" fillId="2" borderId="0" applyAlignment="1" pivotButton="0" quotePrefix="0" xfId="0">
      <alignment horizontal="left" vertical="center"/>
    </xf>
    <xf numFmtId="4" fontId="7" fillId="2" borderId="0" applyAlignment="1" pivotButton="0" quotePrefix="0" xfId="0">
      <alignment horizontal="left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7" fillId="2" borderId="0" applyAlignment="1" pivotButton="0" quotePrefix="0" xfId="0">
      <alignment horizontal="left"/>
    </xf>
    <xf numFmtId="3" fontId="8" fillId="2" borderId="0" applyAlignment="1" pivotButton="0" quotePrefix="0" xfId="0">
      <alignment horizontal="left"/>
    </xf>
    <xf numFmtId="3" fontId="9" fillId="2" borderId="0" applyAlignment="1" pivotButton="0" quotePrefix="0" xfId="0">
      <alignment horizontal="left"/>
    </xf>
    <xf numFmtId="0" fontId="10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3" fontId="11" fillId="2" borderId="0" applyAlignment="1" pivotButton="0" quotePrefix="0" xfId="0">
      <alignment horizontal="center" vertical="center"/>
    </xf>
    <xf numFmtId="4" fontId="11" fillId="2" borderId="0" applyAlignment="1" pivotButton="0" quotePrefix="0" xfId="0">
      <alignment horizontal="center" vertical="center"/>
    </xf>
    <xf numFmtId="0" fontId="12" fillId="2" borderId="0" pivotButton="0" quotePrefix="0" xfId="0"/>
    <xf numFmtId="0" fontId="13" fillId="8" borderId="1" applyAlignment="1" pivotButton="0" quotePrefix="0" xfId="0">
      <alignment horizontal="center" vertical="center" wrapText="1"/>
    </xf>
    <xf numFmtId="0" fontId="14" fillId="2" borderId="1" pivotButton="0" quotePrefix="0" xfId="0"/>
    <xf numFmtId="4" fontId="14" fillId="2" borderId="1" pivotButton="0" quotePrefix="0" xfId="0"/>
    <xf numFmtId="0" fontId="15" fillId="2" borderId="0" applyAlignment="1" pivotButton="0" quotePrefix="0" xfId="0">
      <alignment horizontal="left" vertical="center"/>
    </xf>
    <xf numFmtId="0" fontId="16" fillId="2" borderId="0" pivotButton="0" quotePrefix="0" xfId="0"/>
    <xf numFmtId="0" fontId="17" fillId="9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6" fillId="4" borderId="2" applyAlignment="1" applyProtection="1" pivotButton="0" quotePrefix="0" xfId="0">
      <alignment horizontal="center" vertical="center"/>
      <protection locked="0" hidden="0"/>
    </xf>
    <xf numFmtId="4" fontId="6" fillId="4" borderId="2" applyAlignment="1" applyProtection="1" pivotButton="0" quotePrefix="0" xfId="0">
      <alignment horizontal="center" vertical="center"/>
      <protection locked="0" hidden="0"/>
    </xf>
    <xf numFmtId="164" fontId="19" fillId="1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center" vertical="center"/>
    </xf>
    <xf numFmtId="4" fontId="19" fillId="10" borderId="1" applyAlignment="1" pivotButton="0" quotePrefix="0" xfId="0">
      <alignment horizontal="right" vertical="center"/>
    </xf>
    <xf numFmtId="165" fontId="6" fillId="4" borderId="2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9" fontId="6" fillId="4" borderId="2" applyAlignment="1" applyProtection="1" pivotButton="0" quotePrefix="0" xfId="0">
      <alignment horizontal="center" vertical="center"/>
      <protection locked="0" hidden="0"/>
    </xf>
    <xf numFmtId="4" fontId="21" fillId="10" borderId="1" applyAlignment="1" pivotButton="0" quotePrefix="0" xfId="0">
      <alignment horizontal="right" vertical="center"/>
    </xf>
    <xf numFmtId="0" fontId="14" fillId="0" borderId="1" pivotButton="0" quotePrefix="0" xfId="0"/>
    <xf numFmtId="0" fontId="22" fillId="2" borderId="0" pivotButton="0" quotePrefix="0" xfId="0"/>
    <xf numFmtId="164" fontId="14" fillId="2" borderId="1" pivotButton="0" quotePrefix="0" xfId="0"/>
    <xf numFmtId="3" fontId="14" fillId="2" borderId="1" pivotButton="0" quotePrefix="0" xfId="0"/>
    <xf numFmtId="0" fontId="23" fillId="2" borderId="1" pivotButton="0" quotePrefix="0" xfId="0"/>
    <xf numFmtId="4" fontId="23" fillId="2" borderId="1" pivotButton="0" quotePrefix="0" xfId="0"/>
    <xf numFmtId="0" fontId="24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25" fillId="2" borderId="0" pivotButton="0" quotePrefix="0" xfId="0"/>
    <xf numFmtId="0" fontId="26" fillId="2" borderId="0" pivotButton="0" quotePrefix="0" xfId="0"/>
  </cellXfs>
  <cellStyles count="1">
    <cellStyle name="Normal" xfId="0" builtinId="0" hidden="0"/>
  </cellStyles>
  <dxfs count="3">
    <dxf>
      <font>
        <b val="1"/>
        <color rgb="00E74C3C"/>
      </font>
      <fill>
        <patternFill patternType="solid">
          <fgColor rgb="00FEE2E2"/>
        </patternFill>
      </fill>
    </dxf>
    <dxf>
      <font>
        <b val="1"/>
        <color rgb="00D97706"/>
      </font>
      <fill>
        <patternFill patternType="solid">
          <fgColor rgb="00FEF3C7"/>
        </patternFill>
      </fill>
    </dxf>
    <dxf>
      <font>
        <b val="1"/>
        <color rgb="0027AE60"/>
      </font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Productos por Ventas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'Dashboard'!C22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'Dashboard'!$B$23:$B$27</f>
            </numRef>
          </cat>
          <val>
            <numRef>
              <f>'Dashboard'!$C$23:$C$27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Ventas (Bs.)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Método de Pago</a:t>
            </a:r>
          </a:p>
        </rich>
      </tx>
    </title>
    <plotArea>
      <pieChart>
        <varyColors val="1"/>
        <ser>
          <idx val="0"/>
          <order val="0"/>
          <tx>
            <strRef>
              <f>'Dashboard'!G22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6A085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'Dashboard'!$F$23:$F$26</f>
            </numRef>
          </cat>
          <val>
            <numRef>
              <f>'Dashboard'!$G$23:$G$26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'Reportes'!C5</f>
            </strRef>
          </tx>
          <spPr>
            <a:solidFill xmlns:a="http://schemas.openxmlformats.org/drawingml/2006/main">
              <a:srgbClr val="16A085"/>
            </a:solidFill>
            <a:ln xmlns:a="http://schemas.openxmlformats.org/drawingml/2006/main">
              <a:noFill/>
              <a:prstDash val="solid"/>
            </a:ln>
          </spPr>
          <cat>
            <numRef>
              <f>'Reportes'!$B$6:$B$11</f>
            </numRef>
          </cat>
          <val>
            <numRef>
              <f>'Reportes'!$C$6:$C$11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Bs.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28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I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3" customWidth="1" min="5" max="5"/>
    <col width="22" customWidth="1" min="6" max="6"/>
    <col width="18" customWidth="1" min="7" max="7"/>
    <col width="18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SISTEMA DE VENTAS — PANEL EJECUTIVO</t>
        </is>
      </c>
      <c r="I2" s="1" t="n"/>
    </row>
    <row r="3">
      <c r="A3" s="1" t="n"/>
      <c r="B3" s="3" t="inlineStr">
        <is>
          <t>No Somos Ignorantes  |  v1.0  |  Resumen en tiempo real</t>
        </is>
      </c>
      <c r="I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4" t="inlineStr">
        <is>
          <t>VENTAS DEL MES (Bs.)</t>
        </is>
      </c>
      <c r="E5" s="1" t="n"/>
      <c r="F5" s="5" t="inlineStr">
        <is>
          <t>UNIDADES VENDIDAS</t>
        </is>
      </c>
      <c r="I5" s="1" t="n"/>
    </row>
    <row r="6">
      <c r="A6" s="1" t="n"/>
      <c r="B6" s="6">
        <f>IFERROR(SUMPRODUCT((MONTH(Ventas!A4:A203)=MONTH(TODAY()))*(YEAR(Ventas!A4:A203)=YEAR(TODAY()))*Ventas!H4:H203),0)</f>
        <v/>
      </c>
      <c r="E6" s="1" t="n"/>
      <c r="F6" s="7">
        <f>IFERROR(SUMPRODUCT((MONTH(Ventas!A4:A203)=MONTH(TODAY()))*(YEAR(Ventas!A4:A203)=YEAR(TODAY()))*Ventas!E4:E203),0)</f>
        <v/>
      </c>
      <c r="I6" s="1" t="n"/>
    </row>
    <row r="7">
      <c r="A7" s="1" t="n"/>
      <c r="B7" s="8" t="inlineStr">
        <is>
          <t>Meta mensual:</t>
        </is>
      </c>
      <c r="C7" s="9" t="n">
        <v>50000</v>
      </c>
      <c r="D7" s="1" t="n"/>
      <c r="E7" s="1" t="n"/>
      <c r="F7" s="8" t="inlineStr">
        <is>
          <t>Transacciones:</t>
        </is>
      </c>
      <c r="G7" s="10">
        <f>IFERROR(SUMPRODUCT((MONTH(Ventas!A4:A203)=MONTH(TODAY()))*(YEAR(Ventas!A4:A203)=YEAR(TODAY()))*(Ventas!H4:H203&gt;0)*1),0)</f>
        <v/>
      </c>
      <c r="I7" s="1" t="n"/>
    </row>
    <row r="8">
      <c r="A8" s="1" t="n"/>
      <c r="B8" s="8" t="inlineStr">
        <is>
          <t>Cumplimiento:</t>
        </is>
      </c>
      <c r="C8" s="11">
        <f>IFERROR(B6/C7,0)</f>
        <v/>
      </c>
      <c r="E8" s="1" t="n"/>
      <c r="F8" s="8" t="inlineStr">
        <is>
          <t>Ticket promedio:</t>
        </is>
      </c>
      <c r="G8" s="12">
        <f>IFERROR(B6/G7,"—")</f>
        <v/>
      </c>
      <c r="I8" s="1" t="n"/>
    </row>
    <row r="9" ht="4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n"/>
      <c r="B11" s="13" t="inlineStr">
        <is>
          <t>GANANCIA BRUTA (Bs.)</t>
        </is>
      </c>
      <c r="E11" s="1" t="n"/>
      <c r="F11" s="14" t="inlineStr">
        <is>
          <t>ALERTAS DE INVENTARIO</t>
        </is>
      </c>
      <c r="I11" s="1" t="n"/>
    </row>
    <row r="12">
      <c r="A12" s="1" t="n"/>
      <c r="B12" s="6">
        <f>IFERROR(SUMPRODUCT((MONTH(Ventas!A4:A203)=MONTH(TODAY()))*(YEAR(Ventas!A4:A203)=YEAR(TODAY()))*Ventas!H4:H203)-SUMPRODUCT((MONTH(Ventas!A4:A203)=MONTH(TODAY()))*(YEAR(Ventas!A4:A203)=YEAR(TODAY()))*Ventas!E4:E203*IFERROR(VLOOKUP(Ventas!C4:C203,Productos!A4:H103,4,FALSE),0)),0)</f>
        <v/>
      </c>
      <c r="E12" s="1" t="n"/>
      <c r="F12" s="7">
        <f>COUNTIF(Productos!I4:I103,"BAJO")+COUNTIF(Productos!I4:I103,"AGOTADO")</f>
        <v/>
      </c>
      <c r="I12" s="1" t="n"/>
    </row>
    <row r="13">
      <c r="A13" s="1" t="n"/>
      <c r="B13" s="8" t="inlineStr">
        <is>
          <t>Margen (%):</t>
        </is>
      </c>
      <c r="C13" s="15">
        <f>IFERROR(B12/B6,0)</f>
        <v/>
      </c>
      <c r="E13" s="1" t="n"/>
      <c r="F13" s="8" t="inlineStr">
        <is>
          <t>Agotados:</t>
        </is>
      </c>
      <c r="G13" s="16">
        <f>COUNTIF(Productos!I4:I103,"AGOTADO")</f>
        <v/>
      </c>
      <c r="H13" s="1" t="n"/>
      <c r="I13" s="1" t="n"/>
    </row>
    <row r="14">
      <c r="A14" s="1" t="n"/>
      <c r="B14" s="1" t="n"/>
      <c r="C14" s="1" t="n"/>
      <c r="D14" s="1" t="n"/>
      <c r="E14" s="1" t="n"/>
      <c r="F14" s="8" t="inlineStr">
        <is>
          <t>Stock bajo:</t>
        </is>
      </c>
      <c r="G14" s="17">
        <f>COUNTIF(Productos!I4:I103,"BAJO")</f>
        <v/>
      </c>
      <c r="H14" s="1" t="n"/>
      <c r="I14" s="1" t="n"/>
    </row>
    <row r="15" ht="4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 ht="4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8" t="inlineStr">
        <is>
          <t>TOTAL PRODUCTOS</t>
        </is>
      </c>
      <c r="E17" s="1" t="n"/>
      <c r="F17" s="19" t="inlineStr">
        <is>
          <t>VALOR INVENTARIO (Bs.)</t>
        </is>
      </c>
      <c r="I17" s="1" t="n"/>
    </row>
    <row r="18">
      <c r="A18" s="1" t="n"/>
      <c r="B18" s="20">
        <f>COUNTA(Productos!B4:B103)</f>
        <v/>
      </c>
      <c r="E18" s="1" t="n"/>
      <c r="F18" s="21">
        <f>IFERROR(SUMPRODUCT(Productos!E4:E103*Productos!G4:G103),0)</f>
        <v/>
      </c>
      <c r="I18" s="1" t="n"/>
    </row>
    <row r="19" ht="6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 ht="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22" t="inlineStr">
        <is>
          <t>TOP 5 PRODUCTOS POR VENTAS</t>
        </is>
      </c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23" t="inlineStr">
        <is>
          <t>Producto</t>
        </is>
      </c>
      <c r="C22" s="23" t="inlineStr">
        <is>
          <t>Ventas (Bs.)</t>
        </is>
      </c>
      <c r="D22" s="1" t="n"/>
      <c r="E22" s="1" t="n"/>
      <c r="F22" s="23" t="inlineStr">
        <is>
          <t>Método de Pago</t>
        </is>
      </c>
      <c r="G22" s="23" t="inlineStr">
        <is>
          <t>Total (Bs.)</t>
        </is>
      </c>
      <c r="H22" s="1" t="n"/>
      <c r="I22" s="1" t="n"/>
    </row>
    <row r="23">
      <c r="A23" s="1" t="n"/>
      <c r="B23" s="24">
        <f>IFERROR(INDEX(Productos!B4:B103,MATCH(LARGE(Productos!J4:J103,1),Productos!J4:J103,0)),"—")</f>
        <v/>
      </c>
      <c r="C23" s="25">
        <f>IFERROR(LARGE(Productos!J4:J103,1),0)</f>
        <v/>
      </c>
      <c r="D23" s="1" t="n"/>
      <c r="E23" s="1" t="n"/>
      <c r="F23" s="24" t="inlineStr">
        <is>
          <t>Efectivo</t>
        </is>
      </c>
      <c r="G23" s="25">
        <f>IFERROR(SUMPRODUCT((Ventas!I4:I203="Efectivo")*Ventas!H4:H203),0)</f>
        <v/>
      </c>
      <c r="H23" s="1" t="n"/>
      <c r="I23" s="1" t="n"/>
    </row>
    <row r="24">
      <c r="A24" s="1" t="n"/>
      <c r="B24" s="24">
        <f>IFERROR(INDEX(Productos!B4:B103,MATCH(LARGE(Productos!J4:J103,2),Productos!J4:J103,0)),"—")</f>
        <v/>
      </c>
      <c r="C24" s="25">
        <f>IFERROR(LARGE(Productos!J4:J103,2),0)</f>
        <v/>
      </c>
      <c r="D24" s="1" t="n"/>
      <c r="E24" s="1" t="n"/>
      <c r="F24" s="24" t="inlineStr">
        <is>
          <t>Transferencia</t>
        </is>
      </c>
      <c r="G24" s="25">
        <f>IFERROR(SUMPRODUCT((Ventas!I4:I203="Transferencia")*Ventas!H4:H203),0)</f>
        <v/>
      </c>
      <c r="H24" s="1" t="n"/>
      <c r="I24" s="1" t="n"/>
    </row>
    <row r="25">
      <c r="A25" s="1" t="n"/>
      <c r="B25" s="24">
        <f>IFERROR(INDEX(Productos!B4:B103,MATCH(LARGE(Productos!J4:J103,3),Productos!J4:J103,0)),"—")</f>
        <v/>
      </c>
      <c r="C25" s="25">
        <f>IFERROR(LARGE(Productos!J4:J103,3),0)</f>
        <v/>
      </c>
      <c r="D25" s="1" t="n"/>
      <c r="E25" s="1" t="n"/>
      <c r="F25" s="24" t="inlineStr">
        <is>
          <t>QR</t>
        </is>
      </c>
      <c r="G25" s="25">
        <f>IFERROR(SUMPRODUCT((Ventas!I4:I203="QR")*Ventas!H4:H203),0)</f>
        <v/>
      </c>
      <c r="H25" s="1" t="n"/>
      <c r="I25" s="1" t="n"/>
    </row>
    <row r="26">
      <c r="A26" s="1" t="n"/>
      <c r="B26" s="24">
        <f>IFERROR(INDEX(Productos!B4:B103,MATCH(LARGE(Productos!J4:J103,4),Productos!J4:J103,0)),"—")</f>
        <v/>
      </c>
      <c r="C26" s="25">
        <f>IFERROR(LARGE(Productos!J4:J103,4),0)</f>
        <v/>
      </c>
      <c r="D26" s="1" t="n"/>
      <c r="E26" s="1" t="n"/>
      <c r="F26" s="24" t="inlineStr">
        <is>
          <t>Tarjeta</t>
        </is>
      </c>
      <c r="G26" s="25">
        <f>IFERROR(SUMPRODUCT((Ventas!I4:I203="Tarjeta")*Ventas!H4:H203),0)</f>
        <v/>
      </c>
      <c r="H26" s="1" t="n"/>
      <c r="I26" s="1" t="n"/>
    </row>
    <row r="27">
      <c r="A27" s="1" t="n"/>
      <c r="B27" s="24">
        <f>IFERROR(INDEX(Productos!B4:B103,MATCH(LARGE(Productos!J4:J103,5),Productos!J4:J103,0)),"—")</f>
        <v/>
      </c>
      <c r="C27" s="25">
        <f>IFERROR(LARGE(Productos!J4:J103,5),0)</f>
        <v/>
      </c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8">
    <mergeCell ref="B11:D11"/>
    <mergeCell ref="B5:D5"/>
    <mergeCell ref="F6:H6"/>
    <mergeCell ref="F5:H5"/>
    <mergeCell ref="G7:H7"/>
    <mergeCell ref="F18:H18"/>
    <mergeCell ref="B17:D17"/>
    <mergeCell ref="B18:D18"/>
    <mergeCell ref="B2:H2"/>
    <mergeCell ref="B12:D12"/>
    <mergeCell ref="C13:D13"/>
    <mergeCell ref="F12:H12"/>
    <mergeCell ref="F17:H17"/>
    <mergeCell ref="G8:H8"/>
    <mergeCell ref="B3:H3"/>
    <mergeCell ref="B6:D6"/>
    <mergeCell ref="F11:H11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6A085"/>
    <outlinePr summaryBelow="1" summaryRight="1"/>
    <pageSetUpPr/>
  </sheetPr>
  <dimension ref="A1:J10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6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35" customHeight="1">
      <c r="A1" s="26" t="inlineStr">
        <is>
          <t>CATÁLOGO DE PRODUCTOS</t>
        </is>
      </c>
    </row>
    <row r="2">
      <c r="A2" s="27" t="inlineStr">
        <is>
          <t>Registra tus productos con código único. Las celdas amarillas son editables.</t>
        </is>
      </c>
    </row>
    <row r="3" ht="30" customHeight="1">
      <c r="A3" s="28" t="inlineStr">
        <is>
          <t>CÓDIGO</t>
        </is>
      </c>
      <c r="B3" s="28" t="inlineStr">
        <is>
          <t>PRODUCTO</t>
        </is>
      </c>
      <c r="C3" s="28" t="inlineStr">
        <is>
          <t>CATEGORÍA</t>
        </is>
      </c>
      <c r="D3" s="28" t="inlineStr">
        <is>
          <t>COSTO (Bs.)</t>
        </is>
      </c>
      <c r="E3" s="28" t="inlineStr">
        <is>
          <t>PRECIO VENTA (Bs.)</t>
        </is>
      </c>
      <c r="F3" s="28" t="inlineStr">
        <is>
          <t>MARGEN (%)</t>
        </is>
      </c>
      <c r="G3" s="28" t="inlineStr">
        <is>
          <t>STOCK ACTUAL</t>
        </is>
      </c>
      <c r="H3" s="28" t="inlineStr">
        <is>
          <t>STOCK MÍNIMO</t>
        </is>
      </c>
      <c r="I3" s="28" t="inlineStr">
        <is>
          <t>ESTADO</t>
        </is>
      </c>
      <c r="J3" s="28" t="inlineStr">
        <is>
          <t>VENTAS ACUM. (Bs.)</t>
        </is>
      </c>
    </row>
    <row r="4">
      <c r="A4" s="29">
        <f>IF(B4="","","PROD-"&amp;TEXT(ROW()-3,"0000"))</f>
        <v/>
      </c>
      <c r="B4" s="30" t="inlineStr">
        <is>
          <t>Café Molido 500g</t>
        </is>
      </c>
      <c r="C4" s="31" t="inlineStr">
        <is>
          <t>Alimentos</t>
        </is>
      </c>
      <c r="D4" s="32" t="n">
        <v>35</v>
      </c>
      <c r="E4" s="32" t="n">
        <v>55</v>
      </c>
      <c r="F4" s="33">
        <f>IFERROR((E4-D4)/D4,0)</f>
        <v/>
      </c>
      <c r="G4" s="9" t="n">
        <v>50</v>
      </c>
      <c r="H4" s="9" t="n">
        <v>10</v>
      </c>
      <c r="I4" s="34">
        <f>IF(B4="","",IF(G4=0,"AGOTADO",IF(G4&lt;=H4,"BAJO","NORMAL")))</f>
        <v/>
      </c>
      <c r="J4" s="35">
        <f>IFERROR(SUMPRODUCT((Ventas!C4:C203=A4)*Ventas!H4:H203),0)</f>
        <v/>
      </c>
    </row>
    <row r="5">
      <c r="A5" s="29">
        <f>IF(B5="","","PROD-"&amp;TEXT(ROW()-3,"0000"))</f>
        <v/>
      </c>
      <c r="B5" s="30" t="inlineStr">
        <is>
          <t>Jugo Natural 1L</t>
        </is>
      </c>
      <c r="C5" s="31" t="inlineStr">
        <is>
          <t>Bebidas</t>
        </is>
      </c>
      <c r="D5" s="32" t="n">
        <v>8</v>
      </c>
      <c r="E5" s="32" t="n">
        <v>15</v>
      </c>
      <c r="F5" s="33">
        <f>IFERROR((E5-D5)/D5,0)</f>
        <v/>
      </c>
      <c r="G5" s="9" t="n">
        <v>120</v>
      </c>
      <c r="H5" s="9" t="n">
        <v>20</v>
      </c>
      <c r="I5" s="34">
        <f>IF(B5="","",IF(G5=0,"AGOTADO",IF(G5&lt;=H5,"BAJO","NORMAL")))</f>
        <v/>
      </c>
      <c r="J5" s="35">
        <f>IFERROR(SUMPRODUCT((Ventas!C4:C203=A5)*Ventas!H4:H203),0)</f>
        <v/>
      </c>
    </row>
    <row r="6">
      <c r="A6" s="29">
        <f>IF(B6="","","PROD-"&amp;TEXT(ROW()-3,"0000"))</f>
        <v/>
      </c>
      <c r="B6" s="30" t="inlineStr">
        <is>
          <t>Detergente Premium</t>
        </is>
      </c>
      <c r="C6" s="31" t="inlineStr">
        <is>
          <t>Limpieza</t>
        </is>
      </c>
      <c r="D6" s="32" t="n">
        <v>22</v>
      </c>
      <c r="E6" s="32" t="n">
        <v>38</v>
      </c>
      <c r="F6" s="33">
        <f>IFERROR((E6-D6)/D6,0)</f>
        <v/>
      </c>
      <c r="G6" s="9" t="n">
        <v>80</v>
      </c>
      <c r="H6" s="9" t="n">
        <v>15</v>
      </c>
      <c r="I6" s="34">
        <f>IF(B6="","",IF(G6=0,"AGOTADO",IF(G6&lt;=H6,"BAJO","NORMAL")))</f>
        <v/>
      </c>
      <c r="J6" s="35">
        <f>IFERROR(SUMPRODUCT((Ventas!C4:C203=A6)*Ventas!H4:H203),0)</f>
        <v/>
      </c>
    </row>
    <row r="7">
      <c r="A7" s="29">
        <f>IF(B7="","","PROD-"&amp;TEXT(ROW()-3,"0000"))</f>
        <v/>
      </c>
      <c r="B7" s="30" t="inlineStr">
        <is>
          <t>Cable USB-C</t>
        </is>
      </c>
      <c r="C7" s="31" t="inlineStr">
        <is>
          <t>Electrónica</t>
        </is>
      </c>
      <c r="D7" s="32" t="n">
        <v>15</v>
      </c>
      <c r="E7" s="32" t="n">
        <v>35</v>
      </c>
      <c r="F7" s="33">
        <f>IFERROR((E7-D7)/D7,0)</f>
        <v/>
      </c>
      <c r="G7" s="9" t="n">
        <v>45</v>
      </c>
      <c r="H7" s="9" t="n">
        <v>10</v>
      </c>
      <c r="I7" s="34">
        <f>IF(B7="","",IF(G7=0,"AGOTADO",IF(G7&lt;=H7,"BAJO","NORMAL")))</f>
        <v/>
      </c>
      <c r="J7" s="35">
        <f>IFERROR(SUMPRODUCT((Ventas!C4:C203=A7)*Ventas!H4:H203),0)</f>
        <v/>
      </c>
    </row>
    <row r="8">
      <c r="A8" s="29">
        <f>IF(B8="","","PROD-"&amp;TEXT(ROW()-3,"0000"))</f>
        <v/>
      </c>
      <c r="B8" s="30" t="inlineStr">
        <is>
          <t>Camiseta Algodón</t>
        </is>
      </c>
      <c r="C8" s="31" t="inlineStr">
        <is>
          <t>Ropa</t>
        </is>
      </c>
      <c r="D8" s="32" t="n">
        <v>30</v>
      </c>
      <c r="E8" s="32" t="n">
        <v>65</v>
      </c>
      <c r="F8" s="33">
        <f>IFERROR((E8-D8)/D8,0)</f>
        <v/>
      </c>
      <c r="G8" s="9" t="n">
        <v>60</v>
      </c>
      <c r="H8" s="9" t="n">
        <v>12</v>
      </c>
      <c r="I8" s="34">
        <f>IF(B8="","",IF(G8=0,"AGOTADO",IF(G8&lt;=H8,"BAJO","NORMAL")))</f>
        <v/>
      </c>
      <c r="J8" s="35">
        <f>IFERROR(SUMPRODUCT((Ventas!C4:C203=A8)*Ventas!H4:H203),0)</f>
        <v/>
      </c>
    </row>
    <row r="9">
      <c r="A9" s="29">
        <f>IF(B9="","","PROD-"&amp;TEXT(ROW()-3,"0000"))</f>
        <v/>
      </c>
      <c r="B9" s="30" t="n"/>
      <c r="C9" s="31" t="n"/>
      <c r="D9" s="32" t="n"/>
      <c r="E9" s="32" t="n"/>
      <c r="F9" s="33">
        <f>IFERROR((E9-D9)/D9,0)</f>
        <v/>
      </c>
      <c r="G9" s="9" t="n"/>
      <c r="H9" s="9" t="n"/>
      <c r="I9" s="34">
        <f>IF(B9="","",IF(G9=0,"AGOTADO",IF(G9&lt;=H9,"BAJO","NORMAL")))</f>
        <v/>
      </c>
      <c r="J9" s="35">
        <f>IFERROR(SUMPRODUCT((Ventas!C4:C203=A9)*Ventas!H4:H203),0)</f>
        <v/>
      </c>
    </row>
    <row r="10">
      <c r="A10" s="29">
        <f>IF(B10="","","PROD-"&amp;TEXT(ROW()-3,"0000"))</f>
        <v/>
      </c>
      <c r="B10" s="30" t="n"/>
      <c r="C10" s="31" t="n"/>
      <c r="D10" s="32" t="n"/>
      <c r="E10" s="32" t="n"/>
      <c r="F10" s="33">
        <f>IFERROR((E10-D10)/D10,0)</f>
        <v/>
      </c>
      <c r="G10" s="9" t="n"/>
      <c r="H10" s="9" t="n"/>
      <c r="I10" s="34">
        <f>IF(B10="","",IF(G10=0,"AGOTADO",IF(G10&lt;=H10,"BAJO","NORMAL")))</f>
        <v/>
      </c>
      <c r="J10" s="35">
        <f>IFERROR(SUMPRODUCT((Ventas!C4:C203=A10)*Ventas!H4:H203),0)</f>
        <v/>
      </c>
    </row>
    <row r="11">
      <c r="A11" s="29">
        <f>IF(B11="","","PROD-"&amp;TEXT(ROW()-3,"0000"))</f>
        <v/>
      </c>
      <c r="B11" s="30" t="n"/>
      <c r="C11" s="31" t="n"/>
      <c r="D11" s="32" t="n"/>
      <c r="E11" s="32" t="n"/>
      <c r="F11" s="33">
        <f>IFERROR((E11-D11)/D11,0)</f>
        <v/>
      </c>
      <c r="G11" s="9" t="n"/>
      <c r="H11" s="9" t="n"/>
      <c r="I11" s="34">
        <f>IF(B11="","",IF(G11=0,"AGOTADO",IF(G11&lt;=H11,"BAJO","NORMAL")))</f>
        <v/>
      </c>
      <c r="J11" s="35">
        <f>IFERROR(SUMPRODUCT((Ventas!C4:C203=A11)*Ventas!H4:H203),0)</f>
        <v/>
      </c>
    </row>
    <row r="12">
      <c r="A12" s="29">
        <f>IF(B12="","","PROD-"&amp;TEXT(ROW()-3,"0000"))</f>
        <v/>
      </c>
      <c r="B12" s="30" t="n"/>
      <c r="C12" s="31" t="n"/>
      <c r="D12" s="32" t="n"/>
      <c r="E12" s="32" t="n"/>
      <c r="F12" s="33">
        <f>IFERROR((E12-D12)/D12,0)</f>
        <v/>
      </c>
      <c r="G12" s="9" t="n"/>
      <c r="H12" s="9" t="n"/>
      <c r="I12" s="34">
        <f>IF(B12="","",IF(G12=0,"AGOTADO",IF(G12&lt;=H12,"BAJO","NORMAL")))</f>
        <v/>
      </c>
      <c r="J12" s="35">
        <f>IFERROR(SUMPRODUCT((Ventas!C4:C203=A12)*Ventas!H4:H203),0)</f>
        <v/>
      </c>
    </row>
    <row r="13">
      <c r="A13" s="29">
        <f>IF(B13="","","PROD-"&amp;TEXT(ROW()-3,"0000"))</f>
        <v/>
      </c>
      <c r="B13" s="30" t="n"/>
      <c r="C13" s="31" t="n"/>
      <c r="D13" s="32" t="n"/>
      <c r="E13" s="32" t="n"/>
      <c r="F13" s="33">
        <f>IFERROR((E13-D13)/D13,0)</f>
        <v/>
      </c>
      <c r="G13" s="9" t="n"/>
      <c r="H13" s="9" t="n"/>
      <c r="I13" s="34">
        <f>IF(B13="","",IF(G13=0,"AGOTADO",IF(G13&lt;=H13,"BAJO","NORMAL")))</f>
        <v/>
      </c>
      <c r="J13" s="35">
        <f>IFERROR(SUMPRODUCT((Ventas!C4:C203=A13)*Ventas!H4:H203),0)</f>
        <v/>
      </c>
    </row>
    <row r="14">
      <c r="A14" s="29">
        <f>IF(B14="","","PROD-"&amp;TEXT(ROW()-3,"0000"))</f>
        <v/>
      </c>
      <c r="B14" s="30" t="n"/>
      <c r="C14" s="31" t="n"/>
      <c r="D14" s="32" t="n"/>
      <c r="E14" s="32" t="n"/>
      <c r="F14" s="33">
        <f>IFERROR((E14-D14)/D14,0)</f>
        <v/>
      </c>
      <c r="G14" s="9" t="n"/>
      <c r="H14" s="9" t="n"/>
      <c r="I14" s="34">
        <f>IF(B14="","",IF(G14=0,"AGOTADO",IF(G14&lt;=H14,"BAJO","NORMAL")))</f>
        <v/>
      </c>
      <c r="J14" s="35">
        <f>IFERROR(SUMPRODUCT((Ventas!C4:C203=A14)*Ventas!H4:H203),0)</f>
        <v/>
      </c>
    </row>
    <row r="15">
      <c r="A15" s="29">
        <f>IF(B15="","","PROD-"&amp;TEXT(ROW()-3,"0000"))</f>
        <v/>
      </c>
      <c r="B15" s="30" t="n"/>
      <c r="C15" s="31" t="n"/>
      <c r="D15" s="32" t="n"/>
      <c r="E15" s="32" t="n"/>
      <c r="F15" s="33">
        <f>IFERROR((E15-D15)/D15,0)</f>
        <v/>
      </c>
      <c r="G15" s="9" t="n"/>
      <c r="H15" s="9" t="n"/>
      <c r="I15" s="34">
        <f>IF(B15="","",IF(G15=0,"AGOTADO",IF(G15&lt;=H15,"BAJO","NORMAL")))</f>
        <v/>
      </c>
      <c r="J15" s="35">
        <f>IFERROR(SUMPRODUCT((Ventas!C4:C203=A15)*Ventas!H4:H203),0)</f>
        <v/>
      </c>
    </row>
    <row r="16">
      <c r="A16" s="29">
        <f>IF(B16="","","PROD-"&amp;TEXT(ROW()-3,"0000"))</f>
        <v/>
      </c>
      <c r="B16" s="30" t="n"/>
      <c r="C16" s="31" t="n"/>
      <c r="D16" s="32" t="n"/>
      <c r="E16" s="32" t="n"/>
      <c r="F16" s="33">
        <f>IFERROR((E16-D16)/D16,0)</f>
        <v/>
      </c>
      <c r="G16" s="9" t="n"/>
      <c r="H16" s="9" t="n"/>
      <c r="I16" s="34">
        <f>IF(B16="","",IF(G16=0,"AGOTADO",IF(G16&lt;=H16,"BAJO","NORMAL")))</f>
        <v/>
      </c>
      <c r="J16" s="35">
        <f>IFERROR(SUMPRODUCT((Ventas!C4:C203=A16)*Ventas!H4:H203),0)</f>
        <v/>
      </c>
    </row>
    <row r="17">
      <c r="A17" s="29">
        <f>IF(B17="","","PROD-"&amp;TEXT(ROW()-3,"0000"))</f>
        <v/>
      </c>
      <c r="B17" s="30" t="n"/>
      <c r="C17" s="31" t="n"/>
      <c r="D17" s="32" t="n"/>
      <c r="E17" s="32" t="n"/>
      <c r="F17" s="33">
        <f>IFERROR((E17-D17)/D17,0)</f>
        <v/>
      </c>
      <c r="G17" s="9" t="n"/>
      <c r="H17" s="9" t="n"/>
      <c r="I17" s="34">
        <f>IF(B17="","",IF(G17=0,"AGOTADO",IF(G17&lt;=H17,"BAJO","NORMAL")))</f>
        <v/>
      </c>
      <c r="J17" s="35">
        <f>IFERROR(SUMPRODUCT((Ventas!C4:C203=A17)*Ventas!H4:H203),0)</f>
        <v/>
      </c>
    </row>
    <row r="18">
      <c r="A18" s="29">
        <f>IF(B18="","","PROD-"&amp;TEXT(ROW()-3,"0000"))</f>
        <v/>
      </c>
      <c r="B18" s="30" t="n"/>
      <c r="C18" s="31" t="n"/>
      <c r="D18" s="32" t="n"/>
      <c r="E18" s="32" t="n"/>
      <c r="F18" s="33">
        <f>IFERROR((E18-D18)/D18,0)</f>
        <v/>
      </c>
      <c r="G18" s="9" t="n"/>
      <c r="H18" s="9" t="n"/>
      <c r="I18" s="34">
        <f>IF(B18="","",IF(G18=0,"AGOTADO",IF(G18&lt;=H18,"BAJO","NORMAL")))</f>
        <v/>
      </c>
      <c r="J18" s="35">
        <f>IFERROR(SUMPRODUCT((Ventas!C4:C203=A18)*Ventas!H4:H203),0)</f>
        <v/>
      </c>
    </row>
    <row r="19">
      <c r="A19" s="29">
        <f>IF(B19="","","PROD-"&amp;TEXT(ROW()-3,"0000"))</f>
        <v/>
      </c>
      <c r="B19" s="30" t="n"/>
      <c r="C19" s="31" t="n"/>
      <c r="D19" s="32" t="n"/>
      <c r="E19" s="32" t="n"/>
      <c r="F19" s="33">
        <f>IFERROR((E19-D19)/D19,0)</f>
        <v/>
      </c>
      <c r="G19" s="9" t="n"/>
      <c r="H19" s="9" t="n"/>
      <c r="I19" s="34">
        <f>IF(B19="","",IF(G19=0,"AGOTADO",IF(G19&lt;=H19,"BAJO","NORMAL")))</f>
        <v/>
      </c>
      <c r="J19" s="35">
        <f>IFERROR(SUMPRODUCT((Ventas!C4:C203=A19)*Ventas!H4:H203),0)</f>
        <v/>
      </c>
    </row>
    <row r="20">
      <c r="A20" s="29">
        <f>IF(B20="","","PROD-"&amp;TEXT(ROW()-3,"0000"))</f>
        <v/>
      </c>
      <c r="B20" s="30" t="n"/>
      <c r="C20" s="31" t="n"/>
      <c r="D20" s="32" t="n"/>
      <c r="E20" s="32" t="n"/>
      <c r="F20" s="33">
        <f>IFERROR((E20-D20)/D20,0)</f>
        <v/>
      </c>
      <c r="G20" s="9" t="n"/>
      <c r="H20" s="9" t="n"/>
      <c r="I20" s="34">
        <f>IF(B20="","",IF(G20=0,"AGOTADO",IF(G20&lt;=H20,"BAJO","NORMAL")))</f>
        <v/>
      </c>
      <c r="J20" s="35">
        <f>IFERROR(SUMPRODUCT((Ventas!C4:C203=A20)*Ventas!H4:H203),0)</f>
        <v/>
      </c>
    </row>
    <row r="21">
      <c r="A21" s="29">
        <f>IF(B21="","","PROD-"&amp;TEXT(ROW()-3,"0000"))</f>
        <v/>
      </c>
      <c r="B21" s="30" t="n"/>
      <c r="C21" s="31" t="n"/>
      <c r="D21" s="32" t="n"/>
      <c r="E21" s="32" t="n"/>
      <c r="F21" s="33">
        <f>IFERROR((E21-D21)/D21,0)</f>
        <v/>
      </c>
      <c r="G21" s="9" t="n"/>
      <c r="H21" s="9" t="n"/>
      <c r="I21" s="34">
        <f>IF(B21="","",IF(G21=0,"AGOTADO",IF(G21&lt;=H21,"BAJO","NORMAL")))</f>
        <v/>
      </c>
      <c r="J21" s="35">
        <f>IFERROR(SUMPRODUCT((Ventas!C4:C203=A21)*Ventas!H4:H203),0)</f>
        <v/>
      </c>
    </row>
    <row r="22">
      <c r="A22" s="29">
        <f>IF(B22="","","PROD-"&amp;TEXT(ROW()-3,"0000"))</f>
        <v/>
      </c>
      <c r="B22" s="30" t="n"/>
      <c r="C22" s="31" t="n"/>
      <c r="D22" s="32" t="n"/>
      <c r="E22" s="32" t="n"/>
      <c r="F22" s="33">
        <f>IFERROR((E22-D22)/D22,0)</f>
        <v/>
      </c>
      <c r="G22" s="9" t="n"/>
      <c r="H22" s="9" t="n"/>
      <c r="I22" s="34">
        <f>IF(B22="","",IF(G22=0,"AGOTADO",IF(G22&lt;=H22,"BAJO","NORMAL")))</f>
        <v/>
      </c>
      <c r="J22" s="35">
        <f>IFERROR(SUMPRODUCT((Ventas!C4:C203=A22)*Ventas!H4:H203),0)</f>
        <v/>
      </c>
    </row>
    <row r="23">
      <c r="A23" s="29">
        <f>IF(B23="","","PROD-"&amp;TEXT(ROW()-3,"0000"))</f>
        <v/>
      </c>
      <c r="B23" s="30" t="n"/>
      <c r="C23" s="31" t="n"/>
      <c r="D23" s="32" t="n"/>
      <c r="E23" s="32" t="n"/>
      <c r="F23" s="33">
        <f>IFERROR((E23-D23)/D23,0)</f>
        <v/>
      </c>
      <c r="G23" s="9" t="n"/>
      <c r="H23" s="9" t="n"/>
      <c r="I23" s="34">
        <f>IF(B23="","",IF(G23=0,"AGOTADO",IF(G23&lt;=H23,"BAJO","NORMAL")))</f>
        <v/>
      </c>
      <c r="J23" s="35">
        <f>IFERROR(SUMPRODUCT((Ventas!C4:C203=A23)*Ventas!H4:H203),0)</f>
        <v/>
      </c>
    </row>
    <row r="24">
      <c r="A24" s="29">
        <f>IF(B24="","","PROD-"&amp;TEXT(ROW()-3,"0000"))</f>
        <v/>
      </c>
      <c r="B24" s="30" t="n"/>
      <c r="C24" s="31" t="n"/>
      <c r="D24" s="32" t="n"/>
      <c r="E24" s="32" t="n"/>
      <c r="F24" s="33">
        <f>IFERROR((E24-D24)/D24,0)</f>
        <v/>
      </c>
      <c r="G24" s="9" t="n"/>
      <c r="H24" s="9" t="n"/>
      <c r="I24" s="34">
        <f>IF(B24="","",IF(G24=0,"AGOTADO",IF(G24&lt;=H24,"BAJO","NORMAL")))</f>
        <v/>
      </c>
      <c r="J24" s="35">
        <f>IFERROR(SUMPRODUCT((Ventas!C4:C203=A24)*Ventas!H4:H203),0)</f>
        <v/>
      </c>
    </row>
    <row r="25">
      <c r="A25" s="29">
        <f>IF(B25="","","PROD-"&amp;TEXT(ROW()-3,"0000"))</f>
        <v/>
      </c>
      <c r="B25" s="30" t="n"/>
      <c r="C25" s="31" t="n"/>
      <c r="D25" s="32" t="n"/>
      <c r="E25" s="32" t="n"/>
      <c r="F25" s="33">
        <f>IFERROR((E25-D25)/D25,0)</f>
        <v/>
      </c>
      <c r="G25" s="9" t="n"/>
      <c r="H25" s="9" t="n"/>
      <c r="I25" s="34">
        <f>IF(B25="","",IF(G25=0,"AGOTADO",IF(G25&lt;=H25,"BAJO","NORMAL")))</f>
        <v/>
      </c>
      <c r="J25" s="35">
        <f>IFERROR(SUMPRODUCT((Ventas!C4:C203=A25)*Ventas!H4:H203),0)</f>
        <v/>
      </c>
    </row>
    <row r="26">
      <c r="A26" s="29">
        <f>IF(B26="","","PROD-"&amp;TEXT(ROW()-3,"0000"))</f>
        <v/>
      </c>
      <c r="B26" s="30" t="n"/>
      <c r="C26" s="31" t="n"/>
      <c r="D26" s="32" t="n"/>
      <c r="E26" s="32" t="n"/>
      <c r="F26" s="33">
        <f>IFERROR((E26-D26)/D26,0)</f>
        <v/>
      </c>
      <c r="G26" s="9" t="n"/>
      <c r="H26" s="9" t="n"/>
      <c r="I26" s="34">
        <f>IF(B26="","",IF(G26=0,"AGOTADO",IF(G26&lt;=H26,"BAJO","NORMAL")))</f>
        <v/>
      </c>
      <c r="J26" s="35">
        <f>IFERROR(SUMPRODUCT((Ventas!C4:C203=A26)*Ventas!H4:H203),0)</f>
        <v/>
      </c>
    </row>
    <row r="27">
      <c r="A27" s="29">
        <f>IF(B27="","","PROD-"&amp;TEXT(ROW()-3,"0000"))</f>
        <v/>
      </c>
      <c r="B27" s="30" t="n"/>
      <c r="C27" s="31" t="n"/>
      <c r="D27" s="32" t="n"/>
      <c r="E27" s="32" t="n"/>
      <c r="F27" s="33">
        <f>IFERROR((E27-D27)/D27,0)</f>
        <v/>
      </c>
      <c r="G27" s="9" t="n"/>
      <c r="H27" s="9" t="n"/>
      <c r="I27" s="34">
        <f>IF(B27="","",IF(G27=0,"AGOTADO",IF(G27&lt;=H27,"BAJO","NORMAL")))</f>
        <v/>
      </c>
      <c r="J27" s="35">
        <f>IFERROR(SUMPRODUCT((Ventas!C4:C203=A27)*Ventas!H4:H203),0)</f>
        <v/>
      </c>
    </row>
    <row r="28">
      <c r="A28" s="29">
        <f>IF(B28="","","PROD-"&amp;TEXT(ROW()-3,"0000"))</f>
        <v/>
      </c>
      <c r="B28" s="30" t="n"/>
      <c r="C28" s="31" t="n"/>
      <c r="D28" s="32" t="n"/>
      <c r="E28" s="32" t="n"/>
      <c r="F28" s="33">
        <f>IFERROR((E28-D28)/D28,0)</f>
        <v/>
      </c>
      <c r="G28" s="9" t="n"/>
      <c r="H28" s="9" t="n"/>
      <c r="I28" s="34">
        <f>IF(B28="","",IF(G28=0,"AGOTADO",IF(G28&lt;=H28,"BAJO","NORMAL")))</f>
        <v/>
      </c>
      <c r="J28" s="35">
        <f>IFERROR(SUMPRODUCT((Ventas!C4:C203=A28)*Ventas!H4:H203),0)</f>
        <v/>
      </c>
    </row>
    <row r="29">
      <c r="A29" s="29">
        <f>IF(B29="","","PROD-"&amp;TEXT(ROW()-3,"0000"))</f>
        <v/>
      </c>
      <c r="B29" s="30" t="n"/>
      <c r="C29" s="31" t="n"/>
      <c r="D29" s="32" t="n"/>
      <c r="E29" s="32" t="n"/>
      <c r="F29" s="33">
        <f>IFERROR((E29-D29)/D29,0)</f>
        <v/>
      </c>
      <c r="G29" s="9" t="n"/>
      <c r="H29" s="9" t="n"/>
      <c r="I29" s="34">
        <f>IF(B29="","",IF(G29=0,"AGOTADO",IF(G29&lt;=H29,"BAJO","NORMAL")))</f>
        <v/>
      </c>
      <c r="J29" s="35">
        <f>IFERROR(SUMPRODUCT((Ventas!C4:C203=A29)*Ventas!H4:H203),0)</f>
        <v/>
      </c>
    </row>
    <row r="30">
      <c r="A30" s="29">
        <f>IF(B30="","","PROD-"&amp;TEXT(ROW()-3,"0000"))</f>
        <v/>
      </c>
      <c r="B30" s="30" t="n"/>
      <c r="C30" s="31" t="n"/>
      <c r="D30" s="32" t="n"/>
      <c r="E30" s="32" t="n"/>
      <c r="F30" s="33">
        <f>IFERROR((E30-D30)/D30,0)</f>
        <v/>
      </c>
      <c r="G30" s="9" t="n"/>
      <c r="H30" s="9" t="n"/>
      <c r="I30" s="34">
        <f>IF(B30="","",IF(G30=0,"AGOTADO",IF(G30&lt;=H30,"BAJO","NORMAL")))</f>
        <v/>
      </c>
      <c r="J30" s="35">
        <f>IFERROR(SUMPRODUCT((Ventas!C4:C203=A30)*Ventas!H4:H203),0)</f>
        <v/>
      </c>
    </row>
    <row r="31">
      <c r="A31" s="29">
        <f>IF(B31="","","PROD-"&amp;TEXT(ROW()-3,"0000"))</f>
        <v/>
      </c>
      <c r="B31" s="30" t="n"/>
      <c r="C31" s="31" t="n"/>
      <c r="D31" s="32" t="n"/>
      <c r="E31" s="32" t="n"/>
      <c r="F31" s="33">
        <f>IFERROR((E31-D31)/D31,0)</f>
        <v/>
      </c>
      <c r="G31" s="9" t="n"/>
      <c r="H31" s="9" t="n"/>
      <c r="I31" s="34">
        <f>IF(B31="","",IF(G31=0,"AGOTADO",IF(G31&lt;=H31,"BAJO","NORMAL")))</f>
        <v/>
      </c>
      <c r="J31" s="35">
        <f>IFERROR(SUMPRODUCT((Ventas!C4:C203=A31)*Ventas!H4:H203),0)</f>
        <v/>
      </c>
    </row>
    <row r="32">
      <c r="A32" s="29">
        <f>IF(B32="","","PROD-"&amp;TEXT(ROW()-3,"0000"))</f>
        <v/>
      </c>
      <c r="B32" s="30" t="n"/>
      <c r="C32" s="31" t="n"/>
      <c r="D32" s="32" t="n"/>
      <c r="E32" s="32" t="n"/>
      <c r="F32" s="33">
        <f>IFERROR((E32-D32)/D32,0)</f>
        <v/>
      </c>
      <c r="G32" s="9" t="n"/>
      <c r="H32" s="9" t="n"/>
      <c r="I32" s="34">
        <f>IF(B32="","",IF(G32=0,"AGOTADO",IF(G32&lt;=H32,"BAJO","NORMAL")))</f>
        <v/>
      </c>
      <c r="J32" s="35">
        <f>IFERROR(SUMPRODUCT((Ventas!C4:C203=A32)*Ventas!H4:H203),0)</f>
        <v/>
      </c>
    </row>
    <row r="33">
      <c r="A33" s="29">
        <f>IF(B33="","","PROD-"&amp;TEXT(ROW()-3,"0000"))</f>
        <v/>
      </c>
      <c r="B33" s="30" t="n"/>
      <c r="C33" s="31" t="n"/>
      <c r="D33" s="32" t="n"/>
      <c r="E33" s="32" t="n"/>
      <c r="F33" s="33">
        <f>IFERROR((E33-D33)/D33,0)</f>
        <v/>
      </c>
      <c r="G33" s="9" t="n"/>
      <c r="H33" s="9" t="n"/>
      <c r="I33" s="34">
        <f>IF(B33="","",IF(G33=0,"AGOTADO",IF(G33&lt;=H33,"BAJO","NORMAL")))</f>
        <v/>
      </c>
      <c r="J33" s="35">
        <f>IFERROR(SUMPRODUCT((Ventas!C4:C203=A33)*Ventas!H4:H203),0)</f>
        <v/>
      </c>
    </row>
    <row r="34">
      <c r="A34" s="29">
        <f>IF(B34="","","PROD-"&amp;TEXT(ROW()-3,"0000"))</f>
        <v/>
      </c>
      <c r="B34" s="30" t="n"/>
      <c r="C34" s="31" t="n"/>
      <c r="D34" s="32" t="n"/>
      <c r="E34" s="32" t="n"/>
      <c r="F34" s="33">
        <f>IFERROR((E34-D34)/D34,0)</f>
        <v/>
      </c>
      <c r="G34" s="9" t="n"/>
      <c r="H34" s="9" t="n"/>
      <c r="I34" s="34">
        <f>IF(B34="","",IF(G34=0,"AGOTADO",IF(G34&lt;=H34,"BAJO","NORMAL")))</f>
        <v/>
      </c>
      <c r="J34" s="35">
        <f>IFERROR(SUMPRODUCT((Ventas!C4:C203=A34)*Ventas!H4:H203),0)</f>
        <v/>
      </c>
    </row>
    <row r="35">
      <c r="A35" s="29">
        <f>IF(B35="","","PROD-"&amp;TEXT(ROW()-3,"0000"))</f>
        <v/>
      </c>
      <c r="B35" s="30" t="n"/>
      <c r="C35" s="31" t="n"/>
      <c r="D35" s="32" t="n"/>
      <c r="E35" s="32" t="n"/>
      <c r="F35" s="33">
        <f>IFERROR((E35-D35)/D35,0)</f>
        <v/>
      </c>
      <c r="G35" s="9" t="n"/>
      <c r="H35" s="9" t="n"/>
      <c r="I35" s="34">
        <f>IF(B35="","",IF(G35=0,"AGOTADO",IF(G35&lt;=H35,"BAJO","NORMAL")))</f>
        <v/>
      </c>
      <c r="J35" s="35">
        <f>IFERROR(SUMPRODUCT((Ventas!C4:C203=A35)*Ventas!H4:H203),0)</f>
        <v/>
      </c>
    </row>
    <row r="36">
      <c r="A36" s="29">
        <f>IF(B36="","","PROD-"&amp;TEXT(ROW()-3,"0000"))</f>
        <v/>
      </c>
      <c r="B36" s="30" t="n"/>
      <c r="C36" s="31" t="n"/>
      <c r="D36" s="32" t="n"/>
      <c r="E36" s="32" t="n"/>
      <c r="F36" s="33">
        <f>IFERROR((E36-D36)/D36,0)</f>
        <v/>
      </c>
      <c r="G36" s="9" t="n"/>
      <c r="H36" s="9" t="n"/>
      <c r="I36" s="34">
        <f>IF(B36="","",IF(G36=0,"AGOTADO",IF(G36&lt;=H36,"BAJO","NORMAL")))</f>
        <v/>
      </c>
      <c r="J36" s="35">
        <f>IFERROR(SUMPRODUCT((Ventas!C4:C203=A36)*Ventas!H4:H203),0)</f>
        <v/>
      </c>
    </row>
    <row r="37">
      <c r="A37" s="29">
        <f>IF(B37="","","PROD-"&amp;TEXT(ROW()-3,"0000"))</f>
        <v/>
      </c>
      <c r="B37" s="30" t="n"/>
      <c r="C37" s="31" t="n"/>
      <c r="D37" s="32" t="n"/>
      <c r="E37" s="32" t="n"/>
      <c r="F37" s="33">
        <f>IFERROR((E37-D37)/D37,0)</f>
        <v/>
      </c>
      <c r="G37" s="9" t="n"/>
      <c r="H37" s="9" t="n"/>
      <c r="I37" s="34">
        <f>IF(B37="","",IF(G37=0,"AGOTADO",IF(G37&lt;=H37,"BAJO","NORMAL")))</f>
        <v/>
      </c>
      <c r="J37" s="35">
        <f>IFERROR(SUMPRODUCT((Ventas!C4:C203=A37)*Ventas!H4:H203),0)</f>
        <v/>
      </c>
    </row>
    <row r="38">
      <c r="A38" s="29">
        <f>IF(B38="","","PROD-"&amp;TEXT(ROW()-3,"0000"))</f>
        <v/>
      </c>
      <c r="B38" s="30" t="n"/>
      <c r="C38" s="31" t="n"/>
      <c r="D38" s="32" t="n"/>
      <c r="E38" s="32" t="n"/>
      <c r="F38" s="33">
        <f>IFERROR((E38-D38)/D38,0)</f>
        <v/>
      </c>
      <c r="G38" s="9" t="n"/>
      <c r="H38" s="9" t="n"/>
      <c r="I38" s="34">
        <f>IF(B38="","",IF(G38=0,"AGOTADO",IF(G38&lt;=H38,"BAJO","NORMAL")))</f>
        <v/>
      </c>
      <c r="J38" s="35">
        <f>IFERROR(SUMPRODUCT((Ventas!C4:C203=A38)*Ventas!H4:H203),0)</f>
        <v/>
      </c>
    </row>
    <row r="39">
      <c r="A39" s="29">
        <f>IF(B39="","","PROD-"&amp;TEXT(ROW()-3,"0000"))</f>
        <v/>
      </c>
      <c r="B39" s="30" t="n"/>
      <c r="C39" s="31" t="n"/>
      <c r="D39" s="32" t="n"/>
      <c r="E39" s="32" t="n"/>
      <c r="F39" s="33">
        <f>IFERROR((E39-D39)/D39,0)</f>
        <v/>
      </c>
      <c r="G39" s="9" t="n"/>
      <c r="H39" s="9" t="n"/>
      <c r="I39" s="34">
        <f>IF(B39="","",IF(G39=0,"AGOTADO",IF(G39&lt;=H39,"BAJO","NORMAL")))</f>
        <v/>
      </c>
      <c r="J39" s="35">
        <f>IFERROR(SUMPRODUCT((Ventas!C4:C203=A39)*Ventas!H4:H203),0)</f>
        <v/>
      </c>
    </row>
    <row r="40">
      <c r="A40" s="29">
        <f>IF(B40="","","PROD-"&amp;TEXT(ROW()-3,"0000"))</f>
        <v/>
      </c>
      <c r="B40" s="30" t="n"/>
      <c r="C40" s="31" t="n"/>
      <c r="D40" s="32" t="n"/>
      <c r="E40" s="32" t="n"/>
      <c r="F40" s="33">
        <f>IFERROR((E40-D40)/D40,0)</f>
        <v/>
      </c>
      <c r="G40" s="9" t="n"/>
      <c r="H40" s="9" t="n"/>
      <c r="I40" s="34">
        <f>IF(B40="","",IF(G40=0,"AGOTADO",IF(G40&lt;=H40,"BAJO","NORMAL")))</f>
        <v/>
      </c>
      <c r="J40" s="35">
        <f>IFERROR(SUMPRODUCT((Ventas!C4:C203=A40)*Ventas!H4:H203),0)</f>
        <v/>
      </c>
    </row>
    <row r="41">
      <c r="A41" s="29">
        <f>IF(B41="","","PROD-"&amp;TEXT(ROW()-3,"0000"))</f>
        <v/>
      </c>
      <c r="B41" s="30" t="n"/>
      <c r="C41" s="31" t="n"/>
      <c r="D41" s="32" t="n"/>
      <c r="E41" s="32" t="n"/>
      <c r="F41" s="33">
        <f>IFERROR((E41-D41)/D41,0)</f>
        <v/>
      </c>
      <c r="G41" s="9" t="n"/>
      <c r="H41" s="9" t="n"/>
      <c r="I41" s="34">
        <f>IF(B41="","",IF(G41=0,"AGOTADO",IF(G41&lt;=H41,"BAJO","NORMAL")))</f>
        <v/>
      </c>
      <c r="J41" s="35">
        <f>IFERROR(SUMPRODUCT((Ventas!C4:C203=A41)*Ventas!H4:H203),0)</f>
        <v/>
      </c>
    </row>
    <row r="42">
      <c r="A42" s="29">
        <f>IF(B42="","","PROD-"&amp;TEXT(ROW()-3,"0000"))</f>
        <v/>
      </c>
      <c r="B42" s="30" t="n"/>
      <c r="C42" s="31" t="n"/>
      <c r="D42" s="32" t="n"/>
      <c r="E42" s="32" t="n"/>
      <c r="F42" s="33">
        <f>IFERROR((E42-D42)/D42,0)</f>
        <v/>
      </c>
      <c r="G42" s="9" t="n"/>
      <c r="H42" s="9" t="n"/>
      <c r="I42" s="34">
        <f>IF(B42="","",IF(G42=0,"AGOTADO",IF(G42&lt;=H42,"BAJO","NORMAL")))</f>
        <v/>
      </c>
      <c r="J42" s="35">
        <f>IFERROR(SUMPRODUCT((Ventas!C4:C203=A42)*Ventas!H4:H203),0)</f>
        <v/>
      </c>
    </row>
    <row r="43">
      <c r="A43" s="29">
        <f>IF(B43="","","PROD-"&amp;TEXT(ROW()-3,"0000"))</f>
        <v/>
      </c>
      <c r="B43" s="30" t="n"/>
      <c r="C43" s="31" t="n"/>
      <c r="D43" s="32" t="n"/>
      <c r="E43" s="32" t="n"/>
      <c r="F43" s="33">
        <f>IFERROR((E43-D43)/D43,0)</f>
        <v/>
      </c>
      <c r="G43" s="9" t="n"/>
      <c r="H43" s="9" t="n"/>
      <c r="I43" s="34">
        <f>IF(B43="","",IF(G43=0,"AGOTADO",IF(G43&lt;=H43,"BAJO","NORMAL")))</f>
        <v/>
      </c>
      <c r="J43" s="35">
        <f>IFERROR(SUMPRODUCT((Ventas!C4:C203=A43)*Ventas!H4:H203),0)</f>
        <v/>
      </c>
    </row>
    <row r="44">
      <c r="A44" s="29">
        <f>IF(B44="","","PROD-"&amp;TEXT(ROW()-3,"0000"))</f>
        <v/>
      </c>
      <c r="B44" s="30" t="n"/>
      <c r="C44" s="31" t="n"/>
      <c r="D44" s="32" t="n"/>
      <c r="E44" s="32" t="n"/>
      <c r="F44" s="33">
        <f>IFERROR((E44-D44)/D44,0)</f>
        <v/>
      </c>
      <c r="G44" s="9" t="n"/>
      <c r="H44" s="9" t="n"/>
      <c r="I44" s="34">
        <f>IF(B44="","",IF(G44=0,"AGOTADO",IF(G44&lt;=H44,"BAJO","NORMAL")))</f>
        <v/>
      </c>
      <c r="J44" s="35">
        <f>IFERROR(SUMPRODUCT((Ventas!C4:C203=A44)*Ventas!H4:H203),0)</f>
        <v/>
      </c>
    </row>
    <row r="45">
      <c r="A45" s="29">
        <f>IF(B45="","","PROD-"&amp;TEXT(ROW()-3,"0000"))</f>
        <v/>
      </c>
      <c r="B45" s="30" t="n"/>
      <c r="C45" s="31" t="n"/>
      <c r="D45" s="32" t="n"/>
      <c r="E45" s="32" t="n"/>
      <c r="F45" s="33">
        <f>IFERROR((E45-D45)/D45,0)</f>
        <v/>
      </c>
      <c r="G45" s="9" t="n"/>
      <c r="H45" s="9" t="n"/>
      <c r="I45" s="34">
        <f>IF(B45="","",IF(G45=0,"AGOTADO",IF(G45&lt;=H45,"BAJO","NORMAL")))</f>
        <v/>
      </c>
      <c r="J45" s="35">
        <f>IFERROR(SUMPRODUCT((Ventas!C4:C203=A45)*Ventas!H4:H203),0)</f>
        <v/>
      </c>
    </row>
    <row r="46">
      <c r="A46" s="29">
        <f>IF(B46="","","PROD-"&amp;TEXT(ROW()-3,"0000"))</f>
        <v/>
      </c>
      <c r="B46" s="30" t="n"/>
      <c r="C46" s="31" t="n"/>
      <c r="D46" s="32" t="n"/>
      <c r="E46" s="32" t="n"/>
      <c r="F46" s="33">
        <f>IFERROR((E46-D46)/D46,0)</f>
        <v/>
      </c>
      <c r="G46" s="9" t="n"/>
      <c r="H46" s="9" t="n"/>
      <c r="I46" s="34">
        <f>IF(B46="","",IF(G46=0,"AGOTADO",IF(G46&lt;=H46,"BAJO","NORMAL")))</f>
        <v/>
      </c>
      <c r="J46" s="35">
        <f>IFERROR(SUMPRODUCT((Ventas!C4:C203=A46)*Ventas!H4:H203),0)</f>
        <v/>
      </c>
    </row>
    <row r="47">
      <c r="A47" s="29">
        <f>IF(B47="","","PROD-"&amp;TEXT(ROW()-3,"0000"))</f>
        <v/>
      </c>
      <c r="B47" s="30" t="n"/>
      <c r="C47" s="31" t="n"/>
      <c r="D47" s="32" t="n"/>
      <c r="E47" s="32" t="n"/>
      <c r="F47" s="33">
        <f>IFERROR((E47-D47)/D47,0)</f>
        <v/>
      </c>
      <c r="G47" s="9" t="n"/>
      <c r="H47" s="9" t="n"/>
      <c r="I47" s="34">
        <f>IF(B47="","",IF(G47=0,"AGOTADO",IF(G47&lt;=H47,"BAJO","NORMAL")))</f>
        <v/>
      </c>
      <c r="J47" s="35">
        <f>IFERROR(SUMPRODUCT((Ventas!C4:C203=A47)*Ventas!H4:H203),0)</f>
        <v/>
      </c>
    </row>
    <row r="48">
      <c r="A48" s="29">
        <f>IF(B48="","","PROD-"&amp;TEXT(ROW()-3,"0000"))</f>
        <v/>
      </c>
      <c r="B48" s="30" t="n"/>
      <c r="C48" s="31" t="n"/>
      <c r="D48" s="32" t="n"/>
      <c r="E48" s="32" t="n"/>
      <c r="F48" s="33">
        <f>IFERROR((E48-D48)/D48,0)</f>
        <v/>
      </c>
      <c r="G48" s="9" t="n"/>
      <c r="H48" s="9" t="n"/>
      <c r="I48" s="34">
        <f>IF(B48="","",IF(G48=0,"AGOTADO",IF(G48&lt;=H48,"BAJO","NORMAL")))</f>
        <v/>
      </c>
      <c r="J48" s="35">
        <f>IFERROR(SUMPRODUCT((Ventas!C4:C203=A48)*Ventas!H4:H203),0)</f>
        <v/>
      </c>
    </row>
    <row r="49">
      <c r="A49" s="29">
        <f>IF(B49="","","PROD-"&amp;TEXT(ROW()-3,"0000"))</f>
        <v/>
      </c>
      <c r="B49" s="30" t="n"/>
      <c r="C49" s="31" t="n"/>
      <c r="D49" s="32" t="n"/>
      <c r="E49" s="32" t="n"/>
      <c r="F49" s="33">
        <f>IFERROR((E49-D49)/D49,0)</f>
        <v/>
      </c>
      <c r="G49" s="9" t="n"/>
      <c r="H49" s="9" t="n"/>
      <c r="I49" s="34">
        <f>IF(B49="","",IF(G49=0,"AGOTADO",IF(G49&lt;=H49,"BAJO","NORMAL")))</f>
        <v/>
      </c>
      <c r="J49" s="35">
        <f>IFERROR(SUMPRODUCT((Ventas!C4:C203=A49)*Ventas!H4:H203),0)</f>
        <v/>
      </c>
    </row>
    <row r="50">
      <c r="A50" s="29">
        <f>IF(B50="","","PROD-"&amp;TEXT(ROW()-3,"0000"))</f>
        <v/>
      </c>
      <c r="B50" s="30" t="n"/>
      <c r="C50" s="31" t="n"/>
      <c r="D50" s="32" t="n"/>
      <c r="E50" s="32" t="n"/>
      <c r="F50" s="33">
        <f>IFERROR((E50-D50)/D50,0)</f>
        <v/>
      </c>
      <c r="G50" s="9" t="n"/>
      <c r="H50" s="9" t="n"/>
      <c r="I50" s="34">
        <f>IF(B50="","",IF(G50=0,"AGOTADO",IF(G50&lt;=H50,"BAJO","NORMAL")))</f>
        <v/>
      </c>
      <c r="J50" s="35">
        <f>IFERROR(SUMPRODUCT((Ventas!C4:C203=A50)*Ventas!H4:H203),0)</f>
        <v/>
      </c>
    </row>
    <row r="51">
      <c r="A51" s="29">
        <f>IF(B51="","","PROD-"&amp;TEXT(ROW()-3,"0000"))</f>
        <v/>
      </c>
      <c r="B51" s="30" t="n"/>
      <c r="C51" s="31" t="n"/>
      <c r="D51" s="32" t="n"/>
      <c r="E51" s="32" t="n"/>
      <c r="F51" s="33">
        <f>IFERROR((E51-D51)/D51,0)</f>
        <v/>
      </c>
      <c r="G51" s="9" t="n"/>
      <c r="H51" s="9" t="n"/>
      <c r="I51" s="34">
        <f>IF(B51="","",IF(G51=0,"AGOTADO",IF(G51&lt;=H51,"BAJO","NORMAL")))</f>
        <v/>
      </c>
      <c r="J51" s="35">
        <f>IFERROR(SUMPRODUCT((Ventas!C4:C203=A51)*Ventas!H4:H203),0)</f>
        <v/>
      </c>
    </row>
    <row r="52">
      <c r="A52" s="29">
        <f>IF(B52="","","PROD-"&amp;TEXT(ROW()-3,"0000"))</f>
        <v/>
      </c>
      <c r="B52" s="30" t="n"/>
      <c r="C52" s="31" t="n"/>
      <c r="D52" s="32" t="n"/>
      <c r="E52" s="32" t="n"/>
      <c r="F52" s="33">
        <f>IFERROR((E52-D52)/D52,0)</f>
        <v/>
      </c>
      <c r="G52" s="9" t="n"/>
      <c r="H52" s="9" t="n"/>
      <c r="I52" s="34">
        <f>IF(B52="","",IF(G52=0,"AGOTADO",IF(G52&lt;=H52,"BAJO","NORMAL")))</f>
        <v/>
      </c>
      <c r="J52" s="35">
        <f>IFERROR(SUMPRODUCT((Ventas!C4:C203=A52)*Ventas!H4:H203),0)</f>
        <v/>
      </c>
    </row>
    <row r="53">
      <c r="A53" s="29">
        <f>IF(B53="","","PROD-"&amp;TEXT(ROW()-3,"0000"))</f>
        <v/>
      </c>
      <c r="B53" s="30" t="n"/>
      <c r="C53" s="31" t="n"/>
      <c r="D53" s="32" t="n"/>
      <c r="E53" s="32" t="n"/>
      <c r="F53" s="33">
        <f>IFERROR((E53-D53)/D53,0)</f>
        <v/>
      </c>
      <c r="G53" s="9" t="n"/>
      <c r="H53" s="9" t="n"/>
      <c r="I53" s="34">
        <f>IF(B53="","",IF(G53=0,"AGOTADO",IF(G53&lt;=H53,"BAJO","NORMAL")))</f>
        <v/>
      </c>
      <c r="J53" s="35">
        <f>IFERROR(SUMPRODUCT((Ventas!C4:C203=A53)*Ventas!H4:H203),0)</f>
        <v/>
      </c>
    </row>
    <row r="54">
      <c r="A54" s="29">
        <f>IF(B54="","","PROD-"&amp;TEXT(ROW()-3,"0000"))</f>
        <v/>
      </c>
      <c r="B54" s="30" t="n"/>
      <c r="C54" s="31" t="n"/>
      <c r="D54" s="32" t="n"/>
      <c r="E54" s="32" t="n"/>
      <c r="F54" s="33">
        <f>IFERROR((E54-D54)/D54,0)</f>
        <v/>
      </c>
      <c r="G54" s="9" t="n"/>
      <c r="H54" s="9" t="n"/>
      <c r="I54" s="34">
        <f>IF(B54="","",IF(G54=0,"AGOTADO",IF(G54&lt;=H54,"BAJO","NORMAL")))</f>
        <v/>
      </c>
      <c r="J54" s="35">
        <f>IFERROR(SUMPRODUCT((Ventas!C4:C203=A54)*Ventas!H4:H203),0)</f>
        <v/>
      </c>
    </row>
    <row r="55">
      <c r="A55" s="29">
        <f>IF(B55="","","PROD-"&amp;TEXT(ROW()-3,"0000"))</f>
        <v/>
      </c>
      <c r="B55" s="30" t="n"/>
      <c r="C55" s="31" t="n"/>
      <c r="D55" s="32" t="n"/>
      <c r="E55" s="32" t="n"/>
      <c r="F55" s="33">
        <f>IFERROR((E55-D55)/D55,0)</f>
        <v/>
      </c>
      <c r="G55" s="9" t="n"/>
      <c r="H55" s="9" t="n"/>
      <c r="I55" s="34">
        <f>IF(B55="","",IF(G55=0,"AGOTADO",IF(G55&lt;=H55,"BAJO","NORMAL")))</f>
        <v/>
      </c>
      <c r="J55" s="35">
        <f>IFERROR(SUMPRODUCT((Ventas!C4:C203=A55)*Ventas!H4:H203),0)</f>
        <v/>
      </c>
    </row>
    <row r="56">
      <c r="A56" s="29">
        <f>IF(B56="","","PROD-"&amp;TEXT(ROW()-3,"0000"))</f>
        <v/>
      </c>
      <c r="B56" s="30" t="n"/>
      <c r="C56" s="31" t="n"/>
      <c r="D56" s="32" t="n"/>
      <c r="E56" s="32" t="n"/>
      <c r="F56" s="33">
        <f>IFERROR((E56-D56)/D56,0)</f>
        <v/>
      </c>
      <c r="G56" s="9" t="n"/>
      <c r="H56" s="9" t="n"/>
      <c r="I56" s="34">
        <f>IF(B56="","",IF(G56=0,"AGOTADO",IF(G56&lt;=H56,"BAJO","NORMAL")))</f>
        <v/>
      </c>
      <c r="J56" s="35">
        <f>IFERROR(SUMPRODUCT((Ventas!C4:C203=A56)*Ventas!H4:H203),0)</f>
        <v/>
      </c>
    </row>
    <row r="57">
      <c r="A57" s="29">
        <f>IF(B57="","","PROD-"&amp;TEXT(ROW()-3,"0000"))</f>
        <v/>
      </c>
      <c r="B57" s="30" t="n"/>
      <c r="C57" s="31" t="n"/>
      <c r="D57" s="32" t="n"/>
      <c r="E57" s="32" t="n"/>
      <c r="F57" s="33">
        <f>IFERROR((E57-D57)/D57,0)</f>
        <v/>
      </c>
      <c r="G57" s="9" t="n"/>
      <c r="H57" s="9" t="n"/>
      <c r="I57" s="34">
        <f>IF(B57="","",IF(G57=0,"AGOTADO",IF(G57&lt;=H57,"BAJO","NORMAL")))</f>
        <v/>
      </c>
      <c r="J57" s="35">
        <f>IFERROR(SUMPRODUCT((Ventas!C4:C203=A57)*Ventas!H4:H203),0)</f>
        <v/>
      </c>
    </row>
    <row r="58">
      <c r="A58" s="29">
        <f>IF(B58="","","PROD-"&amp;TEXT(ROW()-3,"0000"))</f>
        <v/>
      </c>
      <c r="B58" s="30" t="n"/>
      <c r="C58" s="31" t="n"/>
      <c r="D58" s="32" t="n"/>
      <c r="E58" s="32" t="n"/>
      <c r="F58" s="33">
        <f>IFERROR((E58-D58)/D58,0)</f>
        <v/>
      </c>
      <c r="G58" s="9" t="n"/>
      <c r="H58" s="9" t="n"/>
      <c r="I58" s="34">
        <f>IF(B58="","",IF(G58=0,"AGOTADO",IF(G58&lt;=H58,"BAJO","NORMAL")))</f>
        <v/>
      </c>
      <c r="J58" s="35">
        <f>IFERROR(SUMPRODUCT((Ventas!C4:C203=A58)*Ventas!H4:H203),0)</f>
        <v/>
      </c>
    </row>
    <row r="59">
      <c r="A59" s="29">
        <f>IF(B59="","","PROD-"&amp;TEXT(ROW()-3,"0000"))</f>
        <v/>
      </c>
      <c r="B59" s="30" t="n"/>
      <c r="C59" s="31" t="n"/>
      <c r="D59" s="32" t="n"/>
      <c r="E59" s="32" t="n"/>
      <c r="F59" s="33">
        <f>IFERROR((E59-D59)/D59,0)</f>
        <v/>
      </c>
      <c r="G59" s="9" t="n"/>
      <c r="H59" s="9" t="n"/>
      <c r="I59" s="34">
        <f>IF(B59="","",IF(G59=0,"AGOTADO",IF(G59&lt;=H59,"BAJO","NORMAL")))</f>
        <v/>
      </c>
      <c r="J59" s="35">
        <f>IFERROR(SUMPRODUCT((Ventas!C4:C203=A59)*Ventas!H4:H203),0)</f>
        <v/>
      </c>
    </row>
    <row r="60">
      <c r="A60" s="29">
        <f>IF(B60="","","PROD-"&amp;TEXT(ROW()-3,"0000"))</f>
        <v/>
      </c>
      <c r="B60" s="30" t="n"/>
      <c r="C60" s="31" t="n"/>
      <c r="D60" s="32" t="n"/>
      <c r="E60" s="32" t="n"/>
      <c r="F60" s="33">
        <f>IFERROR((E60-D60)/D60,0)</f>
        <v/>
      </c>
      <c r="G60" s="9" t="n"/>
      <c r="H60" s="9" t="n"/>
      <c r="I60" s="34">
        <f>IF(B60="","",IF(G60=0,"AGOTADO",IF(G60&lt;=H60,"BAJO","NORMAL")))</f>
        <v/>
      </c>
      <c r="J60" s="35">
        <f>IFERROR(SUMPRODUCT((Ventas!C4:C203=A60)*Ventas!H4:H203),0)</f>
        <v/>
      </c>
    </row>
    <row r="61">
      <c r="A61" s="29">
        <f>IF(B61="","","PROD-"&amp;TEXT(ROW()-3,"0000"))</f>
        <v/>
      </c>
      <c r="B61" s="30" t="n"/>
      <c r="C61" s="31" t="n"/>
      <c r="D61" s="32" t="n"/>
      <c r="E61" s="32" t="n"/>
      <c r="F61" s="33">
        <f>IFERROR((E61-D61)/D61,0)</f>
        <v/>
      </c>
      <c r="G61" s="9" t="n"/>
      <c r="H61" s="9" t="n"/>
      <c r="I61" s="34">
        <f>IF(B61="","",IF(G61=0,"AGOTADO",IF(G61&lt;=H61,"BAJO","NORMAL")))</f>
        <v/>
      </c>
      <c r="J61" s="35">
        <f>IFERROR(SUMPRODUCT((Ventas!C4:C203=A61)*Ventas!H4:H203),0)</f>
        <v/>
      </c>
    </row>
    <row r="62">
      <c r="A62" s="29">
        <f>IF(B62="","","PROD-"&amp;TEXT(ROW()-3,"0000"))</f>
        <v/>
      </c>
      <c r="B62" s="30" t="n"/>
      <c r="C62" s="31" t="n"/>
      <c r="D62" s="32" t="n"/>
      <c r="E62" s="32" t="n"/>
      <c r="F62" s="33">
        <f>IFERROR((E62-D62)/D62,0)</f>
        <v/>
      </c>
      <c r="G62" s="9" t="n"/>
      <c r="H62" s="9" t="n"/>
      <c r="I62" s="34">
        <f>IF(B62="","",IF(G62=0,"AGOTADO",IF(G62&lt;=H62,"BAJO","NORMAL")))</f>
        <v/>
      </c>
      <c r="J62" s="35">
        <f>IFERROR(SUMPRODUCT((Ventas!C4:C203=A62)*Ventas!H4:H203),0)</f>
        <v/>
      </c>
    </row>
    <row r="63">
      <c r="A63" s="29">
        <f>IF(B63="","","PROD-"&amp;TEXT(ROW()-3,"0000"))</f>
        <v/>
      </c>
      <c r="B63" s="30" t="n"/>
      <c r="C63" s="31" t="n"/>
      <c r="D63" s="32" t="n"/>
      <c r="E63" s="32" t="n"/>
      <c r="F63" s="33">
        <f>IFERROR((E63-D63)/D63,0)</f>
        <v/>
      </c>
      <c r="G63" s="9" t="n"/>
      <c r="H63" s="9" t="n"/>
      <c r="I63" s="34">
        <f>IF(B63="","",IF(G63=0,"AGOTADO",IF(G63&lt;=H63,"BAJO","NORMAL")))</f>
        <v/>
      </c>
      <c r="J63" s="35">
        <f>IFERROR(SUMPRODUCT((Ventas!C4:C203=A63)*Ventas!H4:H203),0)</f>
        <v/>
      </c>
    </row>
    <row r="64">
      <c r="A64" s="29">
        <f>IF(B64="","","PROD-"&amp;TEXT(ROW()-3,"0000"))</f>
        <v/>
      </c>
      <c r="B64" s="30" t="n"/>
      <c r="C64" s="31" t="n"/>
      <c r="D64" s="32" t="n"/>
      <c r="E64" s="32" t="n"/>
      <c r="F64" s="33">
        <f>IFERROR((E64-D64)/D64,0)</f>
        <v/>
      </c>
      <c r="G64" s="9" t="n"/>
      <c r="H64" s="9" t="n"/>
      <c r="I64" s="34">
        <f>IF(B64="","",IF(G64=0,"AGOTADO",IF(G64&lt;=H64,"BAJO","NORMAL")))</f>
        <v/>
      </c>
      <c r="J64" s="35">
        <f>IFERROR(SUMPRODUCT((Ventas!C4:C203=A64)*Ventas!H4:H203),0)</f>
        <v/>
      </c>
    </row>
    <row r="65">
      <c r="A65" s="29">
        <f>IF(B65="","","PROD-"&amp;TEXT(ROW()-3,"0000"))</f>
        <v/>
      </c>
      <c r="B65" s="30" t="n"/>
      <c r="C65" s="31" t="n"/>
      <c r="D65" s="32" t="n"/>
      <c r="E65" s="32" t="n"/>
      <c r="F65" s="33">
        <f>IFERROR((E65-D65)/D65,0)</f>
        <v/>
      </c>
      <c r="G65" s="9" t="n"/>
      <c r="H65" s="9" t="n"/>
      <c r="I65" s="34">
        <f>IF(B65="","",IF(G65=0,"AGOTADO",IF(G65&lt;=H65,"BAJO","NORMAL")))</f>
        <v/>
      </c>
      <c r="J65" s="35">
        <f>IFERROR(SUMPRODUCT((Ventas!C4:C203=A65)*Ventas!H4:H203),0)</f>
        <v/>
      </c>
    </row>
    <row r="66">
      <c r="A66" s="29">
        <f>IF(B66="","","PROD-"&amp;TEXT(ROW()-3,"0000"))</f>
        <v/>
      </c>
      <c r="B66" s="30" t="n"/>
      <c r="C66" s="31" t="n"/>
      <c r="D66" s="32" t="n"/>
      <c r="E66" s="32" t="n"/>
      <c r="F66" s="33">
        <f>IFERROR((E66-D66)/D66,0)</f>
        <v/>
      </c>
      <c r="G66" s="9" t="n"/>
      <c r="H66" s="9" t="n"/>
      <c r="I66" s="34">
        <f>IF(B66="","",IF(G66=0,"AGOTADO",IF(G66&lt;=H66,"BAJO","NORMAL")))</f>
        <v/>
      </c>
      <c r="J66" s="35">
        <f>IFERROR(SUMPRODUCT((Ventas!C4:C203=A66)*Ventas!H4:H203),0)</f>
        <v/>
      </c>
    </row>
    <row r="67">
      <c r="A67" s="29">
        <f>IF(B67="","","PROD-"&amp;TEXT(ROW()-3,"0000"))</f>
        <v/>
      </c>
      <c r="B67" s="30" t="n"/>
      <c r="C67" s="31" t="n"/>
      <c r="D67" s="32" t="n"/>
      <c r="E67" s="32" t="n"/>
      <c r="F67" s="33">
        <f>IFERROR((E67-D67)/D67,0)</f>
        <v/>
      </c>
      <c r="G67" s="9" t="n"/>
      <c r="H67" s="9" t="n"/>
      <c r="I67" s="34">
        <f>IF(B67="","",IF(G67=0,"AGOTADO",IF(G67&lt;=H67,"BAJO","NORMAL")))</f>
        <v/>
      </c>
      <c r="J67" s="35">
        <f>IFERROR(SUMPRODUCT((Ventas!C4:C203=A67)*Ventas!H4:H203),0)</f>
        <v/>
      </c>
    </row>
    <row r="68">
      <c r="A68" s="29">
        <f>IF(B68="","","PROD-"&amp;TEXT(ROW()-3,"0000"))</f>
        <v/>
      </c>
      <c r="B68" s="30" t="n"/>
      <c r="C68" s="31" t="n"/>
      <c r="D68" s="32" t="n"/>
      <c r="E68" s="32" t="n"/>
      <c r="F68" s="33">
        <f>IFERROR((E68-D68)/D68,0)</f>
        <v/>
      </c>
      <c r="G68" s="9" t="n"/>
      <c r="H68" s="9" t="n"/>
      <c r="I68" s="34">
        <f>IF(B68="","",IF(G68=0,"AGOTADO",IF(G68&lt;=H68,"BAJO","NORMAL")))</f>
        <v/>
      </c>
      <c r="J68" s="35">
        <f>IFERROR(SUMPRODUCT((Ventas!C4:C203=A68)*Ventas!H4:H203),0)</f>
        <v/>
      </c>
    </row>
    <row r="69">
      <c r="A69" s="29">
        <f>IF(B69="","","PROD-"&amp;TEXT(ROW()-3,"0000"))</f>
        <v/>
      </c>
      <c r="B69" s="30" t="n"/>
      <c r="C69" s="31" t="n"/>
      <c r="D69" s="32" t="n"/>
      <c r="E69" s="32" t="n"/>
      <c r="F69" s="33">
        <f>IFERROR((E69-D69)/D69,0)</f>
        <v/>
      </c>
      <c r="G69" s="9" t="n"/>
      <c r="H69" s="9" t="n"/>
      <c r="I69" s="34">
        <f>IF(B69="","",IF(G69=0,"AGOTADO",IF(G69&lt;=H69,"BAJO","NORMAL")))</f>
        <v/>
      </c>
      <c r="J69" s="35">
        <f>IFERROR(SUMPRODUCT((Ventas!C4:C203=A69)*Ventas!H4:H203),0)</f>
        <v/>
      </c>
    </row>
    <row r="70">
      <c r="A70" s="29">
        <f>IF(B70="","","PROD-"&amp;TEXT(ROW()-3,"0000"))</f>
        <v/>
      </c>
      <c r="B70" s="30" t="n"/>
      <c r="C70" s="31" t="n"/>
      <c r="D70" s="32" t="n"/>
      <c r="E70" s="32" t="n"/>
      <c r="F70" s="33">
        <f>IFERROR((E70-D70)/D70,0)</f>
        <v/>
      </c>
      <c r="G70" s="9" t="n"/>
      <c r="H70" s="9" t="n"/>
      <c r="I70" s="34">
        <f>IF(B70="","",IF(G70=0,"AGOTADO",IF(G70&lt;=H70,"BAJO","NORMAL")))</f>
        <v/>
      </c>
      <c r="J70" s="35">
        <f>IFERROR(SUMPRODUCT((Ventas!C4:C203=A70)*Ventas!H4:H203),0)</f>
        <v/>
      </c>
    </row>
    <row r="71">
      <c r="A71" s="29">
        <f>IF(B71="","","PROD-"&amp;TEXT(ROW()-3,"0000"))</f>
        <v/>
      </c>
      <c r="B71" s="30" t="n"/>
      <c r="C71" s="31" t="n"/>
      <c r="D71" s="32" t="n"/>
      <c r="E71" s="32" t="n"/>
      <c r="F71" s="33">
        <f>IFERROR((E71-D71)/D71,0)</f>
        <v/>
      </c>
      <c r="G71" s="9" t="n"/>
      <c r="H71" s="9" t="n"/>
      <c r="I71" s="34">
        <f>IF(B71="","",IF(G71=0,"AGOTADO",IF(G71&lt;=H71,"BAJO","NORMAL")))</f>
        <v/>
      </c>
      <c r="J71" s="35">
        <f>IFERROR(SUMPRODUCT((Ventas!C4:C203=A71)*Ventas!H4:H203),0)</f>
        <v/>
      </c>
    </row>
    <row r="72">
      <c r="A72" s="29">
        <f>IF(B72="","","PROD-"&amp;TEXT(ROW()-3,"0000"))</f>
        <v/>
      </c>
      <c r="B72" s="30" t="n"/>
      <c r="C72" s="31" t="n"/>
      <c r="D72" s="32" t="n"/>
      <c r="E72" s="32" t="n"/>
      <c r="F72" s="33">
        <f>IFERROR((E72-D72)/D72,0)</f>
        <v/>
      </c>
      <c r="G72" s="9" t="n"/>
      <c r="H72" s="9" t="n"/>
      <c r="I72" s="34">
        <f>IF(B72="","",IF(G72=0,"AGOTADO",IF(G72&lt;=H72,"BAJO","NORMAL")))</f>
        <v/>
      </c>
      <c r="J72" s="35">
        <f>IFERROR(SUMPRODUCT((Ventas!C4:C203=A72)*Ventas!H4:H203),0)</f>
        <v/>
      </c>
    </row>
    <row r="73">
      <c r="A73" s="29">
        <f>IF(B73="","","PROD-"&amp;TEXT(ROW()-3,"0000"))</f>
        <v/>
      </c>
      <c r="B73" s="30" t="n"/>
      <c r="C73" s="31" t="n"/>
      <c r="D73" s="32" t="n"/>
      <c r="E73" s="32" t="n"/>
      <c r="F73" s="33">
        <f>IFERROR((E73-D73)/D73,0)</f>
        <v/>
      </c>
      <c r="G73" s="9" t="n"/>
      <c r="H73" s="9" t="n"/>
      <c r="I73" s="34">
        <f>IF(B73="","",IF(G73=0,"AGOTADO",IF(G73&lt;=H73,"BAJO","NORMAL")))</f>
        <v/>
      </c>
      <c r="J73" s="35">
        <f>IFERROR(SUMPRODUCT((Ventas!C4:C203=A73)*Ventas!H4:H203),0)</f>
        <v/>
      </c>
    </row>
    <row r="74">
      <c r="A74" s="29">
        <f>IF(B74="","","PROD-"&amp;TEXT(ROW()-3,"0000"))</f>
        <v/>
      </c>
      <c r="B74" s="30" t="n"/>
      <c r="C74" s="31" t="n"/>
      <c r="D74" s="32" t="n"/>
      <c r="E74" s="32" t="n"/>
      <c r="F74" s="33">
        <f>IFERROR((E74-D74)/D74,0)</f>
        <v/>
      </c>
      <c r="G74" s="9" t="n"/>
      <c r="H74" s="9" t="n"/>
      <c r="I74" s="34">
        <f>IF(B74="","",IF(G74=0,"AGOTADO",IF(G74&lt;=H74,"BAJO","NORMAL")))</f>
        <v/>
      </c>
      <c r="J74" s="35">
        <f>IFERROR(SUMPRODUCT((Ventas!C4:C203=A74)*Ventas!H4:H203),0)</f>
        <v/>
      </c>
    </row>
    <row r="75">
      <c r="A75" s="29">
        <f>IF(B75="","","PROD-"&amp;TEXT(ROW()-3,"0000"))</f>
        <v/>
      </c>
      <c r="B75" s="30" t="n"/>
      <c r="C75" s="31" t="n"/>
      <c r="D75" s="32" t="n"/>
      <c r="E75" s="32" t="n"/>
      <c r="F75" s="33">
        <f>IFERROR((E75-D75)/D75,0)</f>
        <v/>
      </c>
      <c r="G75" s="9" t="n"/>
      <c r="H75" s="9" t="n"/>
      <c r="I75" s="34">
        <f>IF(B75="","",IF(G75=0,"AGOTADO",IF(G75&lt;=H75,"BAJO","NORMAL")))</f>
        <v/>
      </c>
      <c r="J75" s="35">
        <f>IFERROR(SUMPRODUCT((Ventas!C4:C203=A75)*Ventas!H4:H203),0)</f>
        <v/>
      </c>
    </row>
    <row r="76">
      <c r="A76" s="29">
        <f>IF(B76="","","PROD-"&amp;TEXT(ROW()-3,"0000"))</f>
        <v/>
      </c>
      <c r="B76" s="30" t="n"/>
      <c r="C76" s="31" t="n"/>
      <c r="D76" s="32" t="n"/>
      <c r="E76" s="32" t="n"/>
      <c r="F76" s="33">
        <f>IFERROR((E76-D76)/D76,0)</f>
        <v/>
      </c>
      <c r="G76" s="9" t="n"/>
      <c r="H76" s="9" t="n"/>
      <c r="I76" s="34">
        <f>IF(B76="","",IF(G76=0,"AGOTADO",IF(G76&lt;=H76,"BAJO","NORMAL")))</f>
        <v/>
      </c>
      <c r="J76" s="35">
        <f>IFERROR(SUMPRODUCT((Ventas!C4:C203=A76)*Ventas!H4:H203),0)</f>
        <v/>
      </c>
    </row>
    <row r="77">
      <c r="A77" s="29">
        <f>IF(B77="","","PROD-"&amp;TEXT(ROW()-3,"0000"))</f>
        <v/>
      </c>
      <c r="B77" s="30" t="n"/>
      <c r="C77" s="31" t="n"/>
      <c r="D77" s="32" t="n"/>
      <c r="E77" s="32" t="n"/>
      <c r="F77" s="33">
        <f>IFERROR((E77-D77)/D77,0)</f>
        <v/>
      </c>
      <c r="G77" s="9" t="n"/>
      <c r="H77" s="9" t="n"/>
      <c r="I77" s="34">
        <f>IF(B77="","",IF(G77=0,"AGOTADO",IF(G77&lt;=H77,"BAJO","NORMAL")))</f>
        <v/>
      </c>
      <c r="J77" s="35">
        <f>IFERROR(SUMPRODUCT((Ventas!C4:C203=A77)*Ventas!H4:H203),0)</f>
        <v/>
      </c>
    </row>
    <row r="78">
      <c r="A78" s="29">
        <f>IF(B78="","","PROD-"&amp;TEXT(ROW()-3,"0000"))</f>
        <v/>
      </c>
      <c r="B78" s="30" t="n"/>
      <c r="C78" s="31" t="n"/>
      <c r="D78" s="32" t="n"/>
      <c r="E78" s="32" t="n"/>
      <c r="F78" s="33">
        <f>IFERROR((E78-D78)/D78,0)</f>
        <v/>
      </c>
      <c r="G78" s="9" t="n"/>
      <c r="H78" s="9" t="n"/>
      <c r="I78" s="34">
        <f>IF(B78="","",IF(G78=0,"AGOTADO",IF(G78&lt;=H78,"BAJO","NORMAL")))</f>
        <v/>
      </c>
      <c r="J78" s="35">
        <f>IFERROR(SUMPRODUCT((Ventas!C4:C203=A78)*Ventas!H4:H203),0)</f>
        <v/>
      </c>
    </row>
    <row r="79">
      <c r="A79" s="29">
        <f>IF(B79="","","PROD-"&amp;TEXT(ROW()-3,"0000"))</f>
        <v/>
      </c>
      <c r="B79" s="30" t="n"/>
      <c r="C79" s="31" t="n"/>
      <c r="D79" s="32" t="n"/>
      <c r="E79" s="32" t="n"/>
      <c r="F79" s="33">
        <f>IFERROR((E79-D79)/D79,0)</f>
        <v/>
      </c>
      <c r="G79" s="9" t="n"/>
      <c r="H79" s="9" t="n"/>
      <c r="I79" s="34">
        <f>IF(B79="","",IF(G79=0,"AGOTADO",IF(G79&lt;=H79,"BAJO","NORMAL")))</f>
        <v/>
      </c>
      <c r="J79" s="35">
        <f>IFERROR(SUMPRODUCT((Ventas!C4:C203=A79)*Ventas!H4:H203),0)</f>
        <v/>
      </c>
    </row>
    <row r="80">
      <c r="A80" s="29">
        <f>IF(B80="","","PROD-"&amp;TEXT(ROW()-3,"0000"))</f>
        <v/>
      </c>
      <c r="B80" s="30" t="n"/>
      <c r="C80" s="31" t="n"/>
      <c r="D80" s="32" t="n"/>
      <c r="E80" s="32" t="n"/>
      <c r="F80" s="33">
        <f>IFERROR((E80-D80)/D80,0)</f>
        <v/>
      </c>
      <c r="G80" s="9" t="n"/>
      <c r="H80" s="9" t="n"/>
      <c r="I80" s="34">
        <f>IF(B80="","",IF(G80=0,"AGOTADO",IF(G80&lt;=H80,"BAJO","NORMAL")))</f>
        <v/>
      </c>
      <c r="J80" s="35">
        <f>IFERROR(SUMPRODUCT((Ventas!C4:C203=A80)*Ventas!H4:H203),0)</f>
        <v/>
      </c>
    </row>
    <row r="81">
      <c r="A81" s="29">
        <f>IF(B81="","","PROD-"&amp;TEXT(ROW()-3,"0000"))</f>
        <v/>
      </c>
      <c r="B81" s="30" t="n"/>
      <c r="C81" s="31" t="n"/>
      <c r="D81" s="32" t="n"/>
      <c r="E81" s="32" t="n"/>
      <c r="F81" s="33">
        <f>IFERROR((E81-D81)/D81,0)</f>
        <v/>
      </c>
      <c r="G81" s="9" t="n"/>
      <c r="H81" s="9" t="n"/>
      <c r="I81" s="34">
        <f>IF(B81="","",IF(G81=0,"AGOTADO",IF(G81&lt;=H81,"BAJO","NORMAL")))</f>
        <v/>
      </c>
      <c r="J81" s="35">
        <f>IFERROR(SUMPRODUCT((Ventas!C4:C203=A81)*Ventas!H4:H203),0)</f>
        <v/>
      </c>
    </row>
    <row r="82">
      <c r="A82" s="29">
        <f>IF(B82="","","PROD-"&amp;TEXT(ROW()-3,"0000"))</f>
        <v/>
      </c>
      <c r="B82" s="30" t="n"/>
      <c r="C82" s="31" t="n"/>
      <c r="D82" s="32" t="n"/>
      <c r="E82" s="32" t="n"/>
      <c r="F82" s="33">
        <f>IFERROR((E82-D82)/D82,0)</f>
        <v/>
      </c>
      <c r="G82" s="9" t="n"/>
      <c r="H82" s="9" t="n"/>
      <c r="I82" s="34">
        <f>IF(B82="","",IF(G82=0,"AGOTADO",IF(G82&lt;=H82,"BAJO","NORMAL")))</f>
        <v/>
      </c>
      <c r="J82" s="35">
        <f>IFERROR(SUMPRODUCT((Ventas!C4:C203=A82)*Ventas!H4:H203),0)</f>
        <v/>
      </c>
    </row>
    <row r="83">
      <c r="A83" s="29">
        <f>IF(B83="","","PROD-"&amp;TEXT(ROW()-3,"0000"))</f>
        <v/>
      </c>
      <c r="B83" s="30" t="n"/>
      <c r="C83" s="31" t="n"/>
      <c r="D83" s="32" t="n"/>
      <c r="E83" s="32" t="n"/>
      <c r="F83" s="33">
        <f>IFERROR((E83-D83)/D83,0)</f>
        <v/>
      </c>
      <c r="G83" s="9" t="n"/>
      <c r="H83" s="9" t="n"/>
      <c r="I83" s="34">
        <f>IF(B83="","",IF(G83=0,"AGOTADO",IF(G83&lt;=H83,"BAJO","NORMAL")))</f>
        <v/>
      </c>
      <c r="J83" s="35">
        <f>IFERROR(SUMPRODUCT((Ventas!C4:C203=A83)*Ventas!H4:H203),0)</f>
        <v/>
      </c>
    </row>
    <row r="84">
      <c r="A84" s="29">
        <f>IF(B84="","","PROD-"&amp;TEXT(ROW()-3,"0000"))</f>
        <v/>
      </c>
      <c r="B84" s="30" t="n"/>
      <c r="C84" s="31" t="n"/>
      <c r="D84" s="32" t="n"/>
      <c r="E84" s="32" t="n"/>
      <c r="F84" s="33">
        <f>IFERROR((E84-D84)/D84,0)</f>
        <v/>
      </c>
      <c r="G84" s="9" t="n"/>
      <c r="H84" s="9" t="n"/>
      <c r="I84" s="34">
        <f>IF(B84="","",IF(G84=0,"AGOTADO",IF(G84&lt;=H84,"BAJO","NORMAL")))</f>
        <v/>
      </c>
      <c r="J84" s="35">
        <f>IFERROR(SUMPRODUCT((Ventas!C4:C203=A84)*Ventas!H4:H203),0)</f>
        <v/>
      </c>
    </row>
    <row r="85">
      <c r="A85" s="29">
        <f>IF(B85="","","PROD-"&amp;TEXT(ROW()-3,"0000"))</f>
        <v/>
      </c>
      <c r="B85" s="30" t="n"/>
      <c r="C85" s="31" t="n"/>
      <c r="D85" s="32" t="n"/>
      <c r="E85" s="32" t="n"/>
      <c r="F85" s="33">
        <f>IFERROR((E85-D85)/D85,0)</f>
        <v/>
      </c>
      <c r="G85" s="9" t="n"/>
      <c r="H85" s="9" t="n"/>
      <c r="I85" s="34">
        <f>IF(B85="","",IF(G85=0,"AGOTADO",IF(G85&lt;=H85,"BAJO","NORMAL")))</f>
        <v/>
      </c>
      <c r="J85" s="35">
        <f>IFERROR(SUMPRODUCT((Ventas!C4:C203=A85)*Ventas!H4:H203),0)</f>
        <v/>
      </c>
    </row>
    <row r="86">
      <c r="A86" s="29">
        <f>IF(B86="","","PROD-"&amp;TEXT(ROW()-3,"0000"))</f>
        <v/>
      </c>
      <c r="B86" s="30" t="n"/>
      <c r="C86" s="31" t="n"/>
      <c r="D86" s="32" t="n"/>
      <c r="E86" s="32" t="n"/>
      <c r="F86" s="33">
        <f>IFERROR((E86-D86)/D86,0)</f>
        <v/>
      </c>
      <c r="G86" s="9" t="n"/>
      <c r="H86" s="9" t="n"/>
      <c r="I86" s="34">
        <f>IF(B86="","",IF(G86=0,"AGOTADO",IF(G86&lt;=H86,"BAJO","NORMAL")))</f>
        <v/>
      </c>
      <c r="J86" s="35">
        <f>IFERROR(SUMPRODUCT((Ventas!C4:C203=A86)*Ventas!H4:H203),0)</f>
        <v/>
      </c>
    </row>
    <row r="87">
      <c r="A87" s="29">
        <f>IF(B87="","","PROD-"&amp;TEXT(ROW()-3,"0000"))</f>
        <v/>
      </c>
      <c r="B87" s="30" t="n"/>
      <c r="C87" s="31" t="n"/>
      <c r="D87" s="32" t="n"/>
      <c r="E87" s="32" t="n"/>
      <c r="F87" s="33">
        <f>IFERROR((E87-D87)/D87,0)</f>
        <v/>
      </c>
      <c r="G87" s="9" t="n"/>
      <c r="H87" s="9" t="n"/>
      <c r="I87" s="34">
        <f>IF(B87="","",IF(G87=0,"AGOTADO",IF(G87&lt;=H87,"BAJO","NORMAL")))</f>
        <v/>
      </c>
      <c r="J87" s="35">
        <f>IFERROR(SUMPRODUCT((Ventas!C4:C203=A87)*Ventas!H4:H203),0)</f>
        <v/>
      </c>
    </row>
    <row r="88">
      <c r="A88" s="29">
        <f>IF(B88="","","PROD-"&amp;TEXT(ROW()-3,"0000"))</f>
        <v/>
      </c>
      <c r="B88" s="30" t="n"/>
      <c r="C88" s="31" t="n"/>
      <c r="D88" s="32" t="n"/>
      <c r="E88" s="32" t="n"/>
      <c r="F88" s="33">
        <f>IFERROR((E88-D88)/D88,0)</f>
        <v/>
      </c>
      <c r="G88" s="9" t="n"/>
      <c r="H88" s="9" t="n"/>
      <c r="I88" s="34">
        <f>IF(B88="","",IF(G88=0,"AGOTADO",IF(G88&lt;=H88,"BAJO","NORMAL")))</f>
        <v/>
      </c>
      <c r="J88" s="35">
        <f>IFERROR(SUMPRODUCT((Ventas!C4:C203=A88)*Ventas!H4:H203),0)</f>
        <v/>
      </c>
    </row>
    <row r="89">
      <c r="A89" s="29">
        <f>IF(B89="","","PROD-"&amp;TEXT(ROW()-3,"0000"))</f>
        <v/>
      </c>
      <c r="B89" s="30" t="n"/>
      <c r="C89" s="31" t="n"/>
      <c r="D89" s="32" t="n"/>
      <c r="E89" s="32" t="n"/>
      <c r="F89" s="33">
        <f>IFERROR((E89-D89)/D89,0)</f>
        <v/>
      </c>
      <c r="G89" s="9" t="n"/>
      <c r="H89" s="9" t="n"/>
      <c r="I89" s="34">
        <f>IF(B89="","",IF(G89=0,"AGOTADO",IF(G89&lt;=H89,"BAJO","NORMAL")))</f>
        <v/>
      </c>
      <c r="J89" s="35">
        <f>IFERROR(SUMPRODUCT((Ventas!C4:C203=A89)*Ventas!H4:H203),0)</f>
        <v/>
      </c>
    </row>
    <row r="90">
      <c r="A90" s="29">
        <f>IF(B90="","","PROD-"&amp;TEXT(ROW()-3,"0000"))</f>
        <v/>
      </c>
      <c r="B90" s="30" t="n"/>
      <c r="C90" s="31" t="n"/>
      <c r="D90" s="32" t="n"/>
      <c r="E90" s="32" t="n"/>
      <c r="F90" s="33">
        <f>IFERROR((E90-D90)/D90,0)</f>
        <v/>
      </c>
      <c r="G90" s="9" t="n"/>
      <c r="H90" s="9" t="n"/>
      <c r="I90" s="34">
        <f>IF(B90="","",IF(G90=0,"AGOTADO",IF(G90&lt;=H90,"BAJO","NORMAL")))</f>
        <v/>
      </c>
      <c r="J90" s="35">
        <f>IFERROR(SUMPRODUCT((Ventas!C4:C203=A90)*Ventas!H4:H203),0)</f>
        <v/>
      </c>
    </row>
    <row r="91">
      <c r="A91" s="29">
        <f>IF(B91="","","PROD-"&amp;TEXT(ROW()-3,"0000"))</f>
        <v/>
      </c>
      <c r="B91" s="30" t="n"/>
      <c r="C91" s="31" t="n"/>
      <c r="D91" s="32" t="n"/>
      <c r="E91" s="32" t="n"/>
      <c r="F91" s="33">
        <f>IFERROR((E91-D91)/D91,0)</f>
        <v/>
      </c>
      <c r="G91" s="9" t="n"/>
      <c r="H91" s="9" t="n"/>
      <c r="I91" s="34">
        <f>IF(B91="","",IF(G91=0,"AGOTADO",IF(G91&lt;=H91,"BAJO","NORMAL")))</f>
        <v/>
      </c>
      <c r="J91" s="35">
        <f>IFERROR(SUMPRODUCT((Ventas!C4:C203=A91)*Ventas!H4:H203),0)</f>
        <v/>
      </c>
    </row>
    <row r="92">
      <c r="A92" s="29">
        <f>IF(B92="","","PROD-"&amp;TEXT(ROW()-3,"0000"))</f>
        <v/>
      </c>
      <c r="B92" s="30" t="n"/>
      <c r="C92" s="31" t="n"/>
      <c r="D92" s="32" t="n"/>
      <c r="E92" s="32" t="n"/>
      <c r="F92" s="33">
        <f>IFERROR((E92-D92)/D92,0)</f>
        <v/>
      </c>
      <c r="G92" s="9" t="n"/>
      <c r="H92" s="9" t="n"/>
      <c r="I92" s="34">
        <f>IF(B92="","",IF(G92=0,"AGOTADO",IF(G92&lt;=H92,"BAJO","NORMAL")))</f>
        <v/>
      </c>
      <c r="J92" s="35">
        <f>IFERROR(SUMPRODUCT((Ventas!C4:C203=A92)*Ventas!H4:H203),0)</f>
        <v/>
      </c>
    </row>
    <row r="93">
      <c r="A93" s="29">
        <f>IF(B93="","","PROD-"&amp;TEXT(ROW()-3,"0000"))</f>
        <v/>
      </c>
      <c r="B93" s="30" t="n"/>
      <c r="C93" s="31" t="n"/>
      <c r="D93" s="32" t="n"/>
      <c r="E93" s="32" t="n"/>
      <c r="F93" s="33">
        <f>IFERROR((E93-D93)/D93,0)</f>
        <v/>
      </c>
      <c r="G93" s="9" t="n"/>
      <c r="H93" s="9" t="n"/>
      <c r="I93" s="34">
        <f>IF(B93="","",IF(G93=0,"AGOTADO",IF(G93&lt;=H93,"BAJO","NORMAL")))</f>
        <v/>
      </c>
      <c r="J93" s="35">
        <f>IFERROR(SUMPRODUCT((Ventas!C4:C203=A93)*Ventas!H4:H203),0)</f>
        <v/>
      </c>
    </row>
    <row r="94">
      <c r="A94" s="29">
        <f>IF(B94="","","PROD-"&amp;TEXT(ROW()-3,"0000"))</f>
        <v/>
      </c>
      <c r="B94" s="30" t="n"/>
      <c r="C94" s="31" t="n"/>
      <c r="D94" s="32" t="n"/>
      <c r="E94" s="32" t="n"/>
      <c r="F94" s="33">
        <f>IFERROR((E94-D94)/D94,0)</f>
        <v/>
      </c>
      <c r="G94" s="9" t="n"/>
      <c r="H94" s="9" t="n"/>
      <c r="I94" s="34">
        <f>IF(B94="","",IF(G94=0,"AGOTADO",IF(G94&lt;=H94,"BAJO","NORMAL")))</f>
        <v/>
      </c>
      <c r="J94" s="35">
        <f>IFERROR(SUMPRODUCT((Ventas!C4:C203=A94)*Ventas!H4:H203),0)</f>
        <v/>
      </c>
    </row>
    <row r="95">
      <c r="A95" s="29">
        <f>IF(B95="","","PROD-"&amp;TEXT(ROW()-3,"0000"))</f>
        <v/>
      </c>
      <c r="B95" s="30" t="n"/>
      <c r="C95" s="31" t="n"/>
      <c r="D95" s="32" t="n"/>
      <c r="E95" s="32" t="n"/>
      <c r="F95" s="33">
        <f>IFERROR((E95-D95)/D95,0)</f>
        <v/>
      </c>
      <c r="G95" s="9" t="n"/>
      <c r="H95" s="9" t="n"/>
      <c r="I95" s="34">
        <f>IF(B95="","",IF(G95=0,"AGOTADO",IF(G95&lt;=H95,"BAJO","NORMAL")))</f>
        <v/>
      </c>
      <c r="J95" s="35">
        <f>IFERROR(SUMPRODUCT((Ventas!C4:C203=A95)*Ventas!H4:H203),0)</f>
        <v/>
      </c>
    </row>
    <row r="96">
      <c r="A96" s="29">
        <f>IF(B96="","","PROD-"&amp;TEXT(ROW()-3,"0000"))</f>
        <v/>
      </c>
      <c r="B96" s="30" t="n"/>
      <c r="C96" s="31" t="n"/>
      <c r="D96" s="32" t="n"/>
      <c r="E96" s="32" t="n"/>
      <c r="F96" s="33">
        <f>IFERROR((E96-D96)/D96,0)</f>
        <v/>
      </c>
      <c r="G96" s="9" t="n"/>
      <c r="H96" s="9" t="n"/>
      <c r="I96" s="34">
        <f>IF(B96="","",IF(G96=0,"AGOTADO",IF(G96&lt;=H96,"BAJO","NORMAL")))</f>
        <v/>
      </c>
      <c r="J96" s="35">
        <f>IFERROR(SUMPRODUCT((Ventas!C4:C203=A96)*Ventas!H4:H203),0)</f>
        <v/>
      </c>
    </row>
    <row r="97">
      <c r="A97" s="29">
        <f>IF(B97="","","PROD-"&amp;TEXT(ROW()-3,"0000"))</f>
        <v/>
      </c>
      <c r="B97" s="30" t="n"/>
      <c r="C97" s="31" t="n"/>
      <c r="D97" s="32" t="n"/>
      <c r="E97" s="32" t="n"/>
      <c r="F97" s="33">
        <f>IFERROR((E97-D97)/D97,0)</f>
        <v/>
      </c>
      <c r="G97" s="9" t="n"/>
      <c r="H97" s="9" t="n"/>
      <c r="I97" s="34">
        <f>IF(B97="","",IF(G97=0,"AGOTADO",IF(G97&lt;=H97,"BAJO","NORMAL")))</f>
        <v/>
      </c>
      <c r="J97" s="35">
        <f>IFERROR(SUMPRODUCT((Ventas!C4:C203=A97)*Ventas!H4:H203),0)</f>
        <v/>
      </c>
    </row>
    <row r="98">
      <c r="A98" s="29">
        <f>IF(B98="","","PROD-"&amp;TEXT(ROW()-3,"0000"))</f>
        <v/>
      </c>
      <c r="B98" s="30" t="n"/>
      <c r="C98" s="31" t="n"/>
      <c r="D98" s="32" t="n"/>
      <c r="E98" s="32" t="n"/>
      <c r="F98" s="33">
        <f>IFERROR((E98-D98)/D98,0)</f>
        <v/>
      </c>
      <c r="G98" s="9" t="n"/>
      <c r="H98" s="9" t="n"/>
      <c r="I98" s="34">
        <f>IF(B98="","",IF(G98=0,"AGOTADO",IF(G98&lt;=H98,"BAJO","NORMAL")))</f>
        <v/>
      </c>
      <c r="J98" s="35">
        <f>IFERROR(SUMPRODUCT((Ventas!C4:C203=A98)*Ventas!H4:H203),0)</f>
        <v/>
      </c>
    </row>
    <row r="99">
      <c r="A99" s="29">
        <f>IF(B99="","","PROD-"&amp;TEXT(ROW()-3,"0000"))</f>
        <v/>
      </c>
      <c r="B99" s="30" t="n"/>
      <c r="C99" s="31" t="n"/>
      <c r="D99" s="32" t="n"/>
      <c r="E99" s="32" t="n"/>
      <c r="F99" s="33">
        <f>IFERROR((E99-D99)/D99,0)</f>
        <v/>
      </c>
      <c r="G99" s="9" t="n"/>
      <c r="H99" s="9" t="n"/>
      <c r="I99" s="34">
        <f>IF(B99="","",IF(G99=0,"AGOTADO",IF(G99&lt;=H99,"BAJO","NORMAL")))</f>
        <v/>
      </c>
      <c r="J99" s="35">
        <f>IFERROR(SUMPRODUCT((Ventas!C4:C203=A99)*Ventas!H4:H203),0)</f>
        <v/>
      </c>
    </row>
    <row r="100">
      <c r="A100" s="29">
        <f>IF(B100="","","PROD-"&amp;TEXT(ROW()-3,"0000"))</f>
        <v/>
      </c>
      <c r="B100" s="30" t="n"/>
      <c r="C100" s="31" t="n"/>
      <c r="D100" s="32" t="n"/>
      <c r="E100" s="32" t="n"/>
      <c r="F100" s="33">
        <f>IFERROR((E100-D100)/D100,0)</f>
        <v/>
      </c>
      <c r="G100" s="9" t="n"/>
      <c r="H100" s="9" t="n"/>
      <c r="I100" s="34">
        <f>IF(B100="","",IF(G100=0,"AGOTADO",IF(G100&lt;=H100,"BAJO","NORMAL")))</f>
        <v/>
      </c>
      <c r="J100" s="35">
        <f>IFERROR(SUMPRODUCT((Ventas!C4:C203=A100)*Ventas!H4:H203),0)</f>
        <v/>
      </c>
    </row>
    <row r="101">
      <c r="A101" s="29">
        <f>IF(B101="","","PROD-"&amp;TEXT(ROW()-3,"0000"))</f>
        <v/>
      </c>
      <c r="B101" s="30" t="n"/>
      <c r="C101" s="31" t="n"/>
      <c r="D101" s="32" t="n"/>
      <c r="E101" s="32" t="n"/>
      <c r="F101" s="33">
        <f>IFERROR((E101-D101)/D101,0)</f>
        <v/>
      </c>
      <c r="G101" s="9" t="n"/>
      <c r="H101" s="9" t="n"/>
      <c r="I101" s="34">
        <f>IF(B101="","",IF(G101=0,"AGOTADO",IF(G101&lt;=H101,"BAJO","NORMAL")))</f>
        <v/>
      </c>
      <c r="J101" s="35">
        <f>IFERROR(SUMPRODUCT((Ventas!C4:C203=A101)*Ventas!H4:H203),0)</f>
        <v/>
      </c>
    </row>
    <row r="102">
      <c r="A102" s="29">
        <f>IF(B102="","","PROD-"&amp;TEXT(ROW()-3,"0000"))</f>
        <v/>
      </c>
      <c r="B102" s="30" t="n"/>
      <c r="C102" s="31" t="n"/>
      <c r="D102" s="32" t="n"/>
      <c r="E102" s="32" t="n"/>
      <c r="F102" s="33">
        <f>IFERROR((E102-D102)/D102,0)</f>
        <v/>
      </c>
      <c r="G102" s="9" t="n"/>
      <c r="H102" s="9" t="n"/>
      <c r="I102" s="34">
        <f>IF(B102="","",IF(G102=0,"AGOTADO",IF(G102&lt;=H102,"BAJO","NORMAL")))</f>
        <v/>
      </c>
      <c r="J102" s="35">
        <f>IFERROR(SUMPRODUCT((Ventas!C4:C203=A102)*Ventas!H4:H203),0)</f>
        <v/>
      </c>
    </row>
    <row r="103">
      <c r="A103" s="29">
        <f>IF(B103="","","PROD-"&amp;TEXT(ROW()-3,"0000"))</f>
        <v/>
      </c>
      <c r="B103" s="30" t="n"/>
      <c r="C103" s="31" t="n"/>
      <c r="D103" s="32" t="n"/>
      <c r="E103" s="32" t="n"/>
      <c r="F103" s="33">
        <f>IFERROR((E103-D103)/D103,0)</f>
        <v/>
      </c>
      <c r="G103" s="9" t="n"/>
      <c r="H103" s="9" t="n"/>
      <c r="I103" s="34">
        <f>IF(B103="","",IF(G103=0,"AGOTADO",IF(G103&lt;=H103,"BAJO","NORMAL")))</f>
        <v/>
      </c>
      <c r="J103" s="35">
        <f>IFERROR(SUMPRODUCT((Ventas!C4:C203=A103)*Ventas!H4:H203),0)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1:J1"/>
    <mergeCell ref="A2:J2"/>
  </mergeCells>
  <conditionalFormatting sqref="I4:I103">
    <cfRule type="cellIs" priority="1" operator="equal" dxfId="0">
      <formula>"AGOTADO"</formula>
    </cfRule>
    <cfRule type="cellIs" priority="2" operator="equal" dxfId="1">
      <formula>"BAJO"</formula>
    </cfRule>
    <cfRule type="cellIs" priority="3" operator="equal" dxfId="2">
      <formula>"NORMAL"</formula>
    </cfRule>
  </conditionalFormatting>
  <conditionalFormatting sqref="F4:F103">
    <cfRule type="dataBar" priority="4">
      <dataBar>
        <cfvo type="min"/>
        <cfvo type="max"/>
        <color rgb="0027AE60"/>
      </dataBar>
    </cfRule>
  </conditionalFormatting>
  <dataValidations count="2">
    <dataValidation sqref="C4:C103" showDropDown="0" showInputMessage="0" showErrorMessage="0" allowBlank="1" errorTitle="Categoría inválida" error="Selecciona una categoría válida de la lista" promptTitle="Categoría" prompt="Selecciona la categoría del producto" type="list">
      <formula1>"Alimentos,Bebidas,Limpieza,Electrónica,Ropa,Otros"</formula1>
    </dataValidation>
    <dataValidation sqref="D4:D103 E4:E103 G4:G103 H4:H103" showDropDown="0" showInputMessage="0" showErrorMessage="0" allowBlank="1" errorTitle="Valor inválido" error="El valor no puede ser negativo" promptTitle="Dato requerido" prompt="Ingresa un valor mayor o igual a 0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J2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28" customWidth="1" min="4" max="4"/>
    <col width="10" customWidth="1" min="5" max="5"/>
    <col width="16" customWidth="1" min="6" max="6"/>
    <col width="10" customWidth="1" min="7" max="7"/>
    <col width="16" customWidth="1" min="8" max="8"/>
    <col width="16" customWidth="1" min="9" max="9"/>
    <col width="18" customWidth="1" min="10" max="10"/>
  </cols>
  <sheetData>
    <row r="1" ht="35" customHeight="1">
      <c r="A1" s="26" t="inlineStr">
        <is>
          <t>REGISTRO DE VENTAS</t>
        </is>
      </c>
    </row>
    <row r="2">
      <c r="A2" s="27" t="inlineStr">
        <is>
          <t>Ingresa el código del producto en la columna C. El nombre y precio se llenan automáticamente (VLOOKUP).</t>
        </is>
      </c>
    </row>
    <row r="3" ht="30" customHeight="1">
      <c r="A3" s="28" t="inlineStr">
        <is>
          <t>FECHA</t>
        </is>
      </c>
      <c r="B3" s="28" t="inlineStr">
        <is>
          <t># VENTA</t>
        </is>
      </c>
      <c r="C3" s="28" t="inlineStr">
        <is>
          <t>CÓDIGO PROD.</t>
        </is>
      </c>
      <c r="D3" s="28" t="inlineStr">
        <is>
          <t>PRODUCTO (auto)</t>
        </is>
      </c>
      <c r="E3" s="28" t="inlineStr">
        <is>
          <t>CANT.</t>
        </is>
      </c>
      <c r="F3" s="28" t="inlineStr">
        <is>
          <t>PRECIO UNIT. (auto)</t>
        </is>
      </c>
      <c r="G3" s="28" t="inlineStr">
        <is>
          <t>DESC. (%)</t>
        </is>
      </c>
      <c r="H3" s="28" t="inlineStr">
        <is>
          <t>TOTAL (Bs.)</t>
        </is>
      </c>
      <c r="I3" s="28" t="inlineStr">
        <is>
          <t>MÉTODO PAGO</t>
        </is>
      </c>
      <c r="J3" s="28" t="inlineStr">
        <is>
          <t>VENDEDOR</t>
        </is>
      </c>
    </row>
    <row r="4">
      <c r="A4" s="36" t="n">
        <v>45672</v>
      </c>
      <c r="B4" s="37">
        <f>IF(A4="","",ROW()-3)</f>
        <v/>
      </c>
      <c r="C4" s="31" t="inlineStr">
        <is>
          <t>PROD-0001</t>
        </is>
      </c>
      <c r="D4" s="38">
        <f>IFERROR(VLOOKUP(C4,Productos!A4:B103,2,FALSE),"")</f>
        <v/>
      </c>
      <c r="E4" s="9" t="n">
        <v>3</v>
      </c>
      <c r="F4" s="35">
        <f>IFERROR(VLOOKUP(C4,Productos!A4:E103,5,FALSE),0)</f>
        <v/>
      </c>
      <c r="G4" s="39" t="n">
        <v>0</v>
      </c>
      <c r="H4" s="40">
        <f>IFERROR(E4*F4*(1-G4),0)</f>
        <v/>
      </c>
      <c r="I4" s="31" t="inlineStr">
        <is>
          <t>Efectivo</t>
        </is>
      </c>
      <c r="J4" s="30" t="inlineStr">
        <is>
          <t>Ana</t>
        </is>
      </c>
    </row>
    <row r="5">
      <c r="A5" s="36" t="n">
        <v>45672</v>
      </c>
      <c r="B5" s="37">
        <f>IF(A5="","",ROW()-3)</f>
        <v/>
      </c>
      <c r="C5" s="31" t="inlineStr">
        <is>
          <t>PROD-0002</t>
        </is>
      </c>
      <c r="D5" s="38">
        <f>IFERROR(VLOOKUP(C5,Productos!A4:B103,2,FALSE),"")</f>
        <v/>
      </c>
      <c r="E5" s="9" t="n">
        <v>10</v>
      </c>
      <c r="F5" s="35">
        <f>IFERROR(VLOOKUP(C5,Productos!A4:E103,5,FALSE),0)</f>
        <v/>
      </c>
      <c r="G5" s="39" t="n">
        <v>0.05</v>
      </c>
      <c r="H5" s="40">
        <f>IFERROR(E5*F5*(1-G5),0)</f>
        <v/>
      </c>
      <c r="I5" s="31" t="inlineStr">
        <is>
          <t>QR</t>
        </is>
      </c>
      <c r="J5" s="30" t="inlineStr">
        <is>
          <t>Carlos</t>
        </is>
      </c>
    </row>
    <row r="6">
      <c r="A6" s="36" t="n">
        <v>45673</v>
      </c>
      <c r="B6" s="37">
        <f>IF(A6="","",ROW()-3)</f>
        <v/>
      </c>
      <c r="C6" s="31" t="inlineStr">
        <is>
          <t>PROD-0003</t>
        </is>
      </c>
      <c r="D6" s="38">
        <f>IFERROR(VLOOKUP(C6,Productos!A4:B103,2,FALSE),"")</f>
        <v/>
      </c>
      <c r="E6" s="9" t="n">
        <v>2</v>
      </c>
      <c r="F6" s="35">
        <f>IFERROR(VLOOKUP(C6,Productos!A4:E103,5,FALSE),0)</f>
        <v/>
      </c>
      <c r="G6" s="39" t="n">
        <v>0</v>
      </c>
      <c r="H6" s="40">
        <f>IFERROR(E6*F6*(1-G6),0)</f>
        <v/>
      </c>
      <c r="I6" s="31" t="inlineStr">
        <is>
          <t>Transferencia</t>
        </is>
      </c>
      <c r="J6" s="30" t="inlineStr">
        <is>
          <t>Ana</t>
        </is>
      </c>
    </row>
    <row r="7">
      <c r="A7" s="36" t="n">
        <v>45673</v>
      </c>
      <c r="B7" s="37">
        <f>IF(A7="","",ROW()-3)</f>
        <v/>
      </c>
      <c r="C7" s="31" t="inlineStr">
        <is>
          <t>PROD-0005</t>
        </is>
      </c>
      <c r="D7" s="38">
        <f>IFERROR(VLOOKUP(C7,Productos!A4:B103,2,FALSE),"")</f>
        <v/>
      </c>
      <c r="E7" s="9" t="n">
        <v>4</v>
      </c>
      <c r="F7" s="35">
        <f>IFERROR(VLOOKUP(C7,Productos!A4:E103,5,FALSE),0)</f>
        <v/>
      </c>
      <c r="G7" s="39" t="n">
        <v>0.1</v>
      </c>
      <c r="H7" s="40">
        <f>IFERROR(E7*F7*(1-G7),0)</f>
        <v/>
      </c>
      <c r="I7" s="31" t="inlineStr">
        <is>
          <t>Tarjeta</t>
        </is>
      </c>
      <c r="J7" s="30" t="inlineStr">
        <is>
          <t>María</t>
        </is>
      </c>
    </row>
    <row r="8">
      <c r="A8" s="36" t="n">
        <v>45674</v>
      </c>
      <c r="B8" s="37">
        <f>IF(A8="","",ROW()-3)</f>
        <v/>
      </c>
      <c r="C8" s="31" t="inlineStr">
        <is>
          <t>PROD-0001</t>
        </is>
      </c>
      <c r="D8" s="38">
        <f>IFERROR(VLOOKUP(C8,Productos!A4:B103,2,FALSE),"")</f>
        <v/>
      </c>
      <c r="E8" s="9" t="n">
        <v>5</v>
      </c>
      <c r="F8" s="35">
        <f>IFERROR(VLOOKUP(C8,Productos!A4:E103,5,FALSE),0)</f>
        <v/>
      </c>
      <c r="G8" s="39" t="n">
        <v>0</v>
      </c>
      <c r="H8" s="40">
        <f>IFERROR(E8*F8*(1-G8),0)</f>
        <v/>
      </c>
      <c r="I8" s="31" t="inlineStr">
        <is>
          <t>Efectivo</t>
        </is>
      </c>
      <c r="J8" s="30" t="inlineStr">
        <is>
          <t>Carlos</t>
        </is>
      </c>
    </row>
    <row r="9">
      <c r="A9" s="36" t="n">
        <v>45674</v>
      </c>
      <c r="B9" s="37">
        <f>IF(A9="","",ROW()-3)</f>
        <v/>
      </c>
      <c r="C9" s="31" t="inlineStr">
        <is>
          <t>PROD-0004</t>
        </is>
      </c>
      <c r="D9" s="38">
        <f>IFERROR(VLOOKUP(C9,Productos!A4:B103,2,FALSE),"")</f>
        <v/>
      </c>
      <c r="E9" s="9" t="n">
        <v>2</v>
      </c>
      <c r="F9" s="35">
        <f>IFERROR(VLOOKUP(C9,Productos!A4:E103,5,FALSE),0)</f>
        <v/>
      </c>
      <c r="G9" s="39" t="n">
        <v>0</v>
      </c>
      <c r="H9" s="40">
        <f>IFERROR(E9*F9*(1-G9),0)</f>
        <v/>
      </c>
      <c r="I9" s="31" t="inlineStr">
        <is>
          <t>QR</t>
        </is>
      </c>
      <c r="J9" s="30" t="inlineStr">
        <is>
          <t>Ana</t>
        </is>
      </c>
    </row>
    <row r="10">
      <c r="A10" s="36" t="n">
        <v>45675</v>
      </c>
      <c r="B10" s="37">
        <f>IF(A10="","",ROW()-3)</f>
        <v/>
      </c>
      <c r="C10" s="31" t="inlineStr">
        <is>
          <t>PROD-0002</t>
        </is>
      </c>
      <c r="D10" s="38">
        <f>IFERROR(VLOOKUP(C10,Productos!A4:B103,2,FALSE),"")</f>
        <v/>
      </c>
      <c r="E10" s="9" t="n">
        <v>8</v>
      </c>
      <c r="F10" s="35">
        <f>IFERROR(VLOOKUP(C10,Productos!A4:E103,5,FALSE),0)</f>
        <v/>
      </c>
      <c r="G10" s="39" t="n">
        <v>0</v>
      </c>
      <c r="H10" s="40">
        <f>IFERROR(E10*F10*(1-G10),0)</f>
        <v/>
      </c>
      <c r="I10" s="31" t="inlineStr">
        <is>
          <t>Transferencia</t>
        </is>
      </c>
      <c r="J10" s="30" t="inlineStr">
        <is>
          <t>María</t>
        </is>
      </c>
    </row>
    <row r="11">
      <c r="A11" s="36" t="n">
        <v>45675</v>
      </c>
      <c r="B11" s="37">
        <f>IF(A11="","",ROW()-3)</f>
        <v/>
      </c>
      <c r="C11" s="31" t="inlineStr">
        <is>
          <t>PROD-0005</t>
        </is>
      </c>
      <c r="D11" s="38">
        <f>IFERROR(VLOOKUP(C11,Productos!A4:B103,2,FALSE),"")</f>
        <v/>
      </c>
      <c r="E11" s="9" t="n">
        <v>3</v>
      </c>
      <c r="F11" s="35">
        <f>IFERROR(VLOOKUP(C11,Productos!A4:E103,5,FALSE),0)</f>
        <v/>
      </c>
      <c r="G11" s="39" t="n">
        <v>0.05</v>
      </c>
      <c r="H11" s="40">
        <f>IFERROR(E11*F11*(1-G11),0)</f>
        <v/>
      </c>
      <c r="I11" s="31" t="inlineStr">
        <is>
          <t>Efectivo</t>
        </is>
      </c>
      <c r="J11" s="30" t="inlineStr">
        <is>
          <t>Carlos</t>
        </is>
      </c>
    </row>
    <row r="12">
      <c r="A12" s="36" t="n"/>
      <c r="B12" s="37">
        <f>IF(A12="","",ROW()-3)</f>
        <v/>
      </c>
      <c r="C12" s="31" t="n"/>
      <c r="D12" s="38">
        <f>IFERROR(VLOOKUP(C12,Productos!A4:B103,2,FALSE),"")</f>
        <v/>
      </c>
      <c r="E12" s="9" t="n"/>
      <c r="F12" s="35">
        <f>IFERROR(VLOOKUP(C12,Productos!A4:E103,5,FALSE),0)</f>
        <v/>
      </c>
      <c r="G12" s="39" t="n"/>
      <c r="H12" s="40">
        <f>IFERROR(E12*F12*(1-G12),0)</f>
        <v/>
      </c>
      <c r="I12" s="31" t="n"/>
      <c r="J12" s="30" t="n"/>
    </row>
    <row r="13">
      <c r="A13" s="36" t="n"/>
      <c r="B13" s="37">
        <f>IF(A13="","",ROW()-3)</f>
        <v/>
      </c>
      <c r="C13" s="31" t="n"/>
      <c r="D13" s="38">
        <f>IFERROR(VLOOKUP(C13,Productos!A4:B103,2,FALSE),"")</f>
        <v/>
      </c>
      <c r="E13" s="9" t="n"/>
      <c r="F13" s="35">
        <f>IFERROR(VLOOKUP(C13,Productos!A4:E103,5,FALSE),0)</f>
        <v/>
      </c>
      <c r="G13" s="39" t="n"/>
      <c r="H13" s="40">
        <f>IFERROR(E13*F13*(1-G13),0)</f>
        <v/>
      </c>
      <c r="I13" s="31" t="n"/>
      <c r="J13" s="30" t="n"/>
    </row>
    <row r="14">
      <c r="A14" s="36" t="n"/>
      <c r="B14" s="37">
        <f>IF(A14="","",ROW()-3)</f>
        <v/>
      </c>
      <c r="C14" s="31" t="n"/>
      <c r="D14" s="38">
        <f>IFERROR(VLOOKUP(C14,Productos!A4:B103,2,FALSE),"")</f>
        <v/>
      </c>
      <c r="E14" s="9" t="n"/>
      <c r="F14" s="35">
        <f>IFERROR(VLOOKUP(C14,Productos!A4:E103,5,FALSE),0)</f>
        <v/>
      </c>
      <c r="G14" s="39" t="n"/>
      <c r="H14" s="40">
        <f>IFERROR(E14*F14*(1-G14),0)</f>
        <v/>
      </c>
      <c r="I14" s="31" t="n"/>
      <c r="J14" s="30" t="n"/>
    </row>
    <row r="15">
      <c r="A15" s="36" t="n"/>
      <c r="B15" s="37">
        <f>IF(A15="","",ROW()-3)</f>
        <v/>
      </c>
      <c r="C15" s="31" t="n"/>
      <c r="D15" s="38">
        <f>IFERROR(VLOOKUP(C15,Productos!A4:B103,2,FALSE),"")</f>
        <v/>
      </c>
      <c r="E15" s="9" t="n"/>
      <c r="F15" s="35">
        <f>IFERROR(VLOOKUP(C15,Productos!A4:E103,5,FALSE),0)</f>
        <v/>
      </c>
      <c r="G15" s="39" t="n"/>
      <c r="H15" s="40">
        <f>IFERROR(E15*F15*(1-G15),0)</f>
        <v/>
      </c>
      <c r="I15" s="31" t="n"/>
      <c r="J15" s="30" t="n"/>
    </row>
    <row r="16">
      <c r="A16" s="36" t="n"/>
      <c r="B16" s="37">
        <f>IF(A16="","",ROW()-3)</f>
        <v/>
      </c>
      <c r="C16" s="31" t="n"/>
      <c r="D16" s="38">
        <f>IFERROR(VLOOKUP(C16,Productos!A4:B103,2,FALSE),"")</f>
        <v/>
      </c>
      <c r="E16" s="9" t="n"/>
      <c r="F16" s="35">
        <f>IFERROR(VLOOKUP(C16,Productos!A4:E103,5,FALSE),0)</f>
        <v/>
      </c>
      <c r="G16" s="39" t="n"/>
      <c r="H16" s="40">
        <f>IFERROR(E16*F16*(1-G16),0)</f>
        <v/>
      </c>
      <c r="I16" s="31" t="n"/>
      <c r="J16" s="30" t="n"/>
    </row>
    <row r="17">
      <c r="A17" s="36" t="n"/>
      <c r="B17" s="37">
        <f>IF(A17="","",ROW()-3)</f>
        <v/>
      </c>
      <c r="C17" s="31" t="n"/>
      <c r="D17" s="38">
        <f>IFERROR(VLOOKUP(C17,Productos!A4:B103,2,FALSE),"")</f>
        <v/>
      </c>
      <c r="E17" s="9" t="n"/>
      <c r="F17" s="35">
        <f>IFERROR(VLOOKUP(C17,Productos!A4:E103,5,FALSE),0)</f>
        <v/>
      </c>
      <c r="G17" s="39" t="n"/>
      <c r="H17" s="40">
        <f>IFERROR(E17*F17*(1-G17),0)</f>
        <v/>
      </c>
      <c r="I17" s="31" t="n"/>
      <c r="J17" s="30" t="n"/>
    </row>
    <row r="18">
      <c r="A18" s="36" t="n"/>
      <c r="B18" s="37">
        <f>IF(A18="","",ROW()-3)</f>
        <v/>
      </c>
      <c r="C18" s="31" t="n"/>
      <c r="D18" s="38">
        <f>IFERROR(VLOOKUP(C18,Productos!A4:B103,2,FALSE),"")</f>
        <v/>
      </c>
      <c r="E18" s="9" t="n"/>
      <c r="F18" s="35">
        <f>IFERROR(VLOOKUP(C18,Productos!A4:E103,5,FALSE),0)</f>
        <v/>
      </c>
      <c r="G18" s="39" t="n"/>
      <c r="H18" s="40">
        <f>IFERROR(E18*F18*(1-G18),0)</f>
        <v/>
      </c>
      <c r="I18" s="31" t="n"/>
      <c r="J18" s="30" t="n"/>
    </row>
    <row r="19">
      <c r="A19" s="36" t="n"/>
      <c r="B19" s="37">
        <f>IF(A19="","",ROW()-3)</f>
        <v/>
      </c>
      <c r="C19" s="31" t="n"/>
      <c r="D19" s="38">
        <f>IFERROR(VLOOKUP(C19,Productos!A4:B103,2,FALSE),"")</f>
        <v/>
      </c>
      <c r="E19" s="9" t="n"/>
      <c r="F19" s="35">
        <f>IFERROR(VLOOKUP(C19,Productos!A4:E103,5,FALSE),0)</f>
        <v/>
      </c>
      <c r="G19" s="39" t="n"/>
      <c r="H19" s="40">
        <f>IFERROR(E19*F19*(1-G19),0)</f>
        <v/>
      </c>
      <c r="I19" s="31" t="n"/>
      <c r="J19" s="30" t="n"/>
    </row>
    <row r="20">
      <c r="A20" s="36" t="n"/>
      <c r="B20" s="37">
        <f>IF(A20="","",ROW()-3)</f>
        <v/>
      </c>
      <c r="C20" s="31" t="n"/>
      <c r="D20" s="38">
        <f>IFERROR(VLOOKUP(C20,Productos!A4:B103,2,FALSE),"")</f>
        <v/>
      </c>
      <c r="E20" s="9" t="n"/>
      <c r="F20" s="35">
        <f>IFERROR(VLOOKUP(C20,Productos!A4:E103,5,FALSE),0)</f>
        <v/>
      </c>
      <c r="G20" s="39" t="n"/>
      <c r="H20" s="40">
        <f>IFERROR(E20*F20*(1-G20),0)</f>
        <v/>
      </c>
      <c r="I20" s="31" t="n"/>
      <c r="J20" s="30" t="n"/>
    </row>
    <row r="21">
      <c r="A21" s="36" t="n"/>
      <c r="B21" s="37">
        <f>IF(A21="","",ROW()-3)</f>
        <v/>
      </c>
      <c r="C21" s="31" t="n"/>
      <c r="D21" s="38">
        <f>IFERROR(VLOOKUP(C21,Productos!A4:B103,2,FALSE),"")</f>
        <v/>
      </c>
      <c r="E21" s="9" t="n"/>
      <c r="F21" s="35">
        <f>IFERROR(VLOOKUP(C21,Productos!A4:E103,5,FALSE),0)</f>
        <v/>
      </c>
      <c r="G21" s="39" t="n"/>
      <c r="H21" s="40">
        <f>IFERROR(E21*F21*(1-G21),0)</f>
        <v/>
      </c>
      <c r="I21" s="31" t="n"/>
      <c r="J21" s="30" t="n"/>
    </row>
    <row r="22">
      <c r="A22" s="36" t="n"/>
      <c r="B22" s="37">
        <f>IF(A22="","",ROW()-3)</f>
        <v/>
      </c>
      <c r="C22" s="31" t="n"/>
      <c r="D22" s="38">
        <f>IFERROR(VLOOKUP(C22,Productos!A4:B103,2,FALSE),"")</f>
        <v/>
      </c>
      <c r="E22" s="9" t="n"/>
      <c r="F22" s="35">
        <f>IFERROR(VLOOKUP(C22,Productos!A4:E103,5,FALSE),0)</f>
        <v/>
      </c>
      <c r="G22" s="39" t="n"/>
      <c r="H22" s="40">
        <f>IFERROR(E22*F22*(1-G22),0)</f>
        <v/>
      </c>
      <c r="I22" s="31" t="n"/>
      <c r="J22" s="30" t="n"/>
    </row>
    <row r="23">
      <c r="A23" s="36" t="n"/>
      <c r="B23" s="37">
        <f>IF(A23="","",ROW()-3)</f>
        <v/>
      </c>
      <c r="C23" s="31" t="n"/>
      <c r="D23" s="38">
        <f>IFERROR(VLOOKUP(C23,Productos!A4:B103,2,FALSE),"")</f>
        <v/>
      </c>
      <c r="E23" s="9" t="n"/>
      <c r="F23" s="35">
        <f>IFERROR(VLOOKUP(C23,Productos!A4:E103,5,FALSE),0)</f>
        <v/>
      </c>
      <c r="G23" s="39" t="n"/>
      <c r="H23" s="40">
        <f>IFERROR(E23*F23*(1-G23),0)</f>
        <v/>
      </c>
      <c r="I23" s="31" t="n"/>
      <c r="J23" s="30" t="n"/>
    </row>
    <row r="24">
      <c r="A24" s="36" t="n"/>
      <c r="B24" s="37">
        <f>IF(A24="","",ROW()-3)</f>
        <v/>
      </c>
      <c r="C24" s="31" t="n"/>
      <c r="D24" s="38">
        <f>IFERROR(VLOOKUP(C24,Productos!A4:B103,2,FALSE),"")</f>
        <v/>
      </c>
      <c r="E24" s="9" t="n"/>
      <c r="F24" s="35">
        <f>IFERROR(VLOOKUP(C24,Productos!A4:E103,5,FALSE),0)</f>
        <v/>
      </c>
      <c r="G24" s="39" t="n"/>
      <c r="H24" s="40">
        <f>IFERROR(E24*F24*(1-G24),0)</f>
        <v/>
      </c>
      <c r="I24" s="31" t="n"/>
      <c r="J24" s="30" t="n"/>
    </row>
    <row r="25">
      <c r="A25" s="36" t="n"/>
      <c r="B25" s="37">
        <f>IF(A25="","",ROW()-3)</f>
        <v/>
      </c>
      <c r="C25" s="31" t="n"/>
      <c r="D25" s="38">
        <f>IFERROR(VLOOKUP(C25,Productos!A4:B103,2,FALSE),"")</f>
        <v/>
      </c>
      <c r="E25" s="9" t="n"/>
      <c r="F25" s="35">
        <f>IFERROR(VLOOKUP(C25,Productos!A4:E103,5,FALSE),0)</f>
        <v/>
      </c>
      <c r="G25" s="39" t="n"/>
      <c r="H25" s="40">
        <f>IFERROR(E25*F25*(1-G25),0)</f>
        <v/>
      </c>
      <c r="I25" s="31" t="n"/>
      <c r="J25" s="30" t="n"/>
    </row>
    <row r="26">
      <c r="A26" s="36" t="n"/>
      <c r="B26" s="37">
        <f>IF(A26="","",ROW()-3)</f>
        <v/>
      </c>
      <c r="C26" s="31" t="n"/>
      <c r="D26" s="38">
        <f>IFERROR(VLOOKUP(C26,Productos!A4:B103,2,FALSE),"")</f>
        <v/>
      </c>
      <c r="E26" s="9" t="n"/>
      <c r="F26" s="35">
        <f>IFERROR(VLOOKUP(C26,Productos!A4:E103,5,FALSE),0)</f>
        <v/>
      </c>
      <c r="G26" s="39" t="n"/>
      <c r="H26" s="40">
        <f>IFERROR(E26*F26*(1-G26),0)</f>
        <v/>
      </c>
      <c r="I26" s="31" t="n"/>
      <c r="J26" s="30" t="n"/>
    </row>
    <row r="27">
      <c r="A27" s="36" t="n"/>
      <c r="B27" s="37">
        <f>IF(A27="","",ROW()-3)</f>
        <v/>
      </c>
      <c r="C27" s="31" t="n"/>
      <c r="D27" s="38">
        <f>IFERROR(VLOOKUP(C27,Productos!A4:B103,2,FALSE),"")</f>
        <v/>
      </c>
      <c r="E27" s="9" t="n"/>
      <c r="F27" s="35">
        <f>IFERROR(VLOOKUP(C27,Productos!A4:E103,5,FALSE),0)</f>
        <v/>
      </c>
      <c r="G27" s="39" t="n"/>
      <c r="H27" s="40">
        <f>IFERROR(E27*F27*(1-G27),0)</f>
        <v/>
      </c>
      <c r="I27" s="31" t="n"/>
      <c r="J27" s="30" t="n"/>
    </row>
    <row r="28">
      <c r="A28" s="36" t="n"/>
      <c r="B28" s="37">
        <f>IF(A28="","",ROW()-3)</f>
        <v/>
      </c>
      <c r="C28" s="31" t="n"/>
      <c r="D28" s="38">
        <f>IFERROR(VLOOKUP(C28,Productos!A4:B103,2,FALSE),"")</f>
        <v/>
      </c>
      <c r="E28" s="9" t="n"/>
      <c r="F28" s="35">
        <f>IFERROR(VLOOKUP(C28,Productos!A4:E103,5,FALSE),0)</f>
        <v/>
      </c>
      <c r="G28" s="39" t="n"/>
      <c r="H28" s="40">
        <f>IFERROR(E28*F28*(1-G28),0)</f>
        <v/>
      </c>
      <c r="I28" s="31" t="n"/>
      <c r="J28" s="30" t="n"/>
    </row>
    <row r="29">
      <c r="A29" s="36" t="n"/>
      <c r="B29" s="37">
        <f>IF(A29="","",ROW()-3)</f>
        <v/>
      </c>
      <c r="C29" s="31" t="n"/>
      <c r="D29" s="38">
        <f>IFERROR(VLOOKUP(C29,Productos!A4:B103,2,FALSE),"")</f>
        <v/>
      </c>
      <c r="E29" s="9" t="n"/>
      <c r="F29" s="35">
        <f>IFERROR(VLOOKUP(C29,Productos!A4:E103,5,FALSE),0)</f>
        <v/>
      </c>
      <c r="G29" s="39" t="n"/>
      <c r="H29" s="40">
        <f>IFERROR(E29*F29*(1-G29),0)</f>
        <v/>
      </c>
      <c r="I29" s="31" t="n"/>
      <c r="J29" s="30" t="n"/>
    </row>
    <row r="30">
      <c r="A30" s="36" t="n"/>
      <c r="B30" s="37">
        <f>IF(A30="","",ROW()-3)</f>
        <v/>
      </c>
      <c r="C30" s="31" t="n"/>
      <c r="D30" s="38">
        <f>IFERROR(VLOOKUP(C30,Productos!A4:B103,2,FALSE),"")</f>
        <v/>
      </c>
      <c r="E30" s="9" t="n"/>
      <c r="F30" s="35">
        <f>IFERROR(VLOOKUP(C30,Productos!A4:E103,5,FALSE),0)</f>
        <v/>
      </c>
      <c r="G30" s="39" t="n"/>
      <c r="H30" s="40">
        <f>IFERROR(E30*F30*(1-G30),0)</f>
        <v/>
      </c>
      <c r="I30" s="31" t="n"/>
      <c r="J30" s="30" t="n"/>
    </row>
    <row r="31">
      <c r="A31" s="36" t="n"/>
      <c r="B31" s="37">
        <f>IF(A31="","",ROW()-3)</f>
        <v/>
      </c>
      <c r="C31" s="31" t="n"/>
      <c r="D31" s="38">
        <f>IFERROR(VLOOKUP(C31,Productos!A4:B103,2,FALSE),"")</f>
        <v/>
      </c>
      <c r="E31" s="9" t="n"/>
      <c r="F31" s="35">
        <f>IFERROR(VLOOKUP(C31,Productos!A4:E103,5,FALSE),0)</f>
        <v/>
      </c>
      <c r="G31" s="39" t="n"/>
      <c r="H31" s="40">
        <f>IFERROR(E31*F31*(1-G31),0)</f>
        <v/>
      </c>
      <c r="I31" s="31" t="n"/>
      <c r="J31" s="30" t="n"/>
    </row>
    <row r="32">
      <c r="A32" s="36" t="n"/>
      <c r="B32" s="37">
        <f>IF(A32="","",ROW()-3)</f>
        <v/>
      </c>
      <c r="C32" s="31" t="n"/>
      <c r="D32" s="38">
        <f>IFERROR(VLOOKUP(C32,Productos!A4:B103,2,FALSE),"")</f>
        <v/>
      </c>
      <c r="E32" s="9" t="n"/>
      <c r="F32" s="35">
        <f>IFERROR(VLOOKUP(C32,Productos!A4:E103,5,FALSE),0)</f>
        <v/>
      </c>
      <c r="G32" s="39" t="n"/>
      <c r="H32" s="40">
        <f>IFERROR(E32*F32*(1-G32),0)</f>
        <v/>
      </c>
      <c r="I32" s="31" t="n"/>
      <c r="J32" s="30" t="n"/>
    </row>
    <row r="33">
      <c r="A33" s="36" t="n"/>
      <c r="B33" s="37">
        <f>IF(A33="","",ROW()-3)</f>
        <v/>
      </c>
      <c r="C33" s="31" t="n"/>
      <c r="D33" s="38">
        <f>IFERROR(VLOOKUP(C33,Productos!A4:B103,2,FALSE),"")</f>
        <v/>
      </c>
      <c r="E33" s="9" t="n"/>
      <c r="F33" s="35">
        <f>IFERROR(VLOOKUP(C33,Productos!A4:E103,5,FALSE),0)</f>
        <v/>
      </c>
      <c r="G33" s="39" t="n"/>
      <c r="H33" s="40">
        <f>IFERROR(E33*F33*(1-G33),0)</f>
        <v/>
      </c>
      <c r="I33" s="31" t="n"/>
      <c r="J33" s="30" t="n"/>
    </row>
    <row r="34">
      <c r="A34" s="36" t="n"/>
      <c r="B34" s="37">
        <f>IF(A34="","",ROW()-3)</f>
        <v/>
      </c>
      <c r="C34" s="31" t="n"/>
      <c r="D34" s="38">
        <f>IFERROR(VLOOKUP(C34,Productos!A4:B103,2,FALSE),"")</f>
        <v/>
      </c>
      <c r="E34" s="9" t="n"/>
      <c r="F34" s="35">
        <f>IFERROR(VLOOKUP(C34,Productos!A4:E103,5,FALSE),0)</f>
        <v/>
      </c>
      <c r="G34" s="39" t="n"/>
      <c r="H34" s="40">
        <f>IFERROR(E34*F34*(1-G34),0)</f>
        <v/>
      </c>
      <c r="I34" s="31" t="n"/>
      <c r="J34" s="30" t="n"/>
    </row>
    <row r="35">
      <c r="A35" s="36" t="n"/>
      <c r="B35" s="37">
        <f>IF(A35="","",ROW()-3)</f>
        <v/>
      </c>
      <c r="C35" s="31" t="n"/>
      <c r="D35" s="38">
        <f>IFERROR(VLOOKUP(C35,Productos!A4:B103,2,FALSE),"")</f>
        <v/>
      </c>
      <c r="E35" s="9" t="n"/>
      <c r="F35" s="35">
        <f>IFERROR(VLOOKUP(C35,Productos!A4:E103,5,FALSE),0)</f>
        <v/>
      </c>
      <c r="G35" s="39" t="n"/>
      <c r="H35" s="40">
        <f>IFERROR(E35*F35*(1-G35),0)</f>
        <v/>
      </c>
      <c r="I35" s="31" t="n"/>
      <c r="J35" s="30" t="n"/>
    </row>
    <row r="36">
      <c r="A36" s="36" t="n"/>
      <c r="B36" s="37">
        <f>IF(A36="","",ROW()-3)</f>
        <v/>
      </c>
      <c r="C36" s="31" t="n"/>
      <c r="D36" s="38">
        <f>IFERROR(VLOOKUP(C36,Productos!A4:B103,2,FALSE),"")</f>
        <v/>
      </c>
      <c r="E36" s="9" t="n"/>
      <c r="F36" s="35">
        <f>IFERROR(VLOOKUP(C36,Productos!A4:E103,5,FALSE),0)</f>
        <v/>
      </c>
      <c r="G36" s="39" t="n"/>
      <c r="H36" s="40">
        <f>IFERROR(E36*F36*(1-G36),0)</f>
        <v/>
      </c>
      <c r="I36" s="31" t="n"/>
      <c r="J36" s="30" t="n"/>
    </row>
    <row r="37">
      <c r="A37" s="36" t="n"/>
      <c r="B37" s="37">
        <f>IF(A37="","",ROW()-3)</f>
        <v/>
      </c>
      <c r="C37" s="31" t="n"/>
      <c r="D37" s="38">
        <f>IFERROR(VLOOKUP(C37,Productos!A4:B103,2,FALSE),"")</f>
        <v/>
      </c>
      <c r="E37" s="9" t="n"/>
      <c r="F37" s="35">
        <f>IFERROR(VLOOKUP(C37,Productos!A4:E103,5,FALSE),0)</f>
        <v/>
      </c>
      <c r="G37" s="39" t="n"/>
      <c r="H37" s="40">
        <f>IFERROR(E37*F37*(1-G37),0)</f>
        <v/>
      </c>
      <c r="I37" s="31" t="n"/>
      <c r="J37" s="30" t="n"/>
    </row>
    <row r="38">
      <c r="A38" s="36" t="n"/>
      <c r="B38" s="37">
        <f>IF(A38="","",ROW()-3)</f>
        <v/>
      </c>
      <c r="C38" s="31" t="n"/>
      <c r="D38" s="38">
        <f>IFERROR(VLOOKUP(C38,Productos!A4:B103,2,FALSE),"")</f>
        <v/>
      </c>
      <c r="E38" s="9" t="n"/>
      <c r="F38" s="35">
        <f>IFERROR(VLOOKUP(C38,Productos!A4:E103,5,FALSE),0)</f>
        <v/>
      </c>
      <c r="G38" s="39" t="n"/>
      <c r="H38" s="40">
        <f>IFERROR(E38*F38*(1-G38),0)</f>
        <v/>
      </c>
      <c r="I38" s="31" t="n"/>
      <c r="J38" s="30" t="n"/>
    </row>
    <row r="39">
      <c r="A39" s="36" t="n"/>
      <c r="B39" s="37">
        <f>IF(A39="","",ROW()-3)</f>
        <v/>
      </c>
      <c r="C39" s="31" t="n"/>
      <c r="D39" s="38">
        <f>IFERROR(VLOOKUP(C39,Productos!A4:B103,2,FALSE),"")</f>
        <v/>
      </c>
      <c r="E39" s="9" t="n"/>
      <c r="F39" s="35">
        <f>IFERROR(VLOOKUP(C39,Productos!A4:E103,5,FALSE),0)</f>
        <v/>
      </c>
      <c r="G39" s="39" t="n"/>
      <c r="H39" s="40">
        <f>IFERROR(E39*F39*(1-G39),0)</f>
        <v/>
      </c>
      <c r="I39" s="31" t="n"/>
      <c r="J39" s="30" t="n"/>
    </row>
    <row r="40">
      <c r="A40" s="36" t="n"/>
      <c r="B40" s="37">
        <f>IF(A40="","",ROW()-3)</f>
        <v/>
      </c>
      <c r="C40" s="31" t="n"/>
      <c r="D40" s="38">
        <f>IFERROR(VLOOKUP(C40,Productos!A4:B103,2,FALSE),"")</f>
        <v/>
      </c>
      <c r="E40" s="9" t="n"/>
      <c r="F40" s="35">
        <f>IFERROR(VLOOKUP(C40,Productos!A4:E103,5,FALSE),0)</f>
        <v/>
      </c>
      <c r="G40" s="39" t="n"/>
      <c r="H40" s="40">
        <f>IFERROR(E40*F40*(1-G40),0)</f>
        <v/>
      </c>
      <c r="I40" s="31" t="n"/>
      <c r="J40" s="30" t="n"/>
    </row>
    <row r="41">
      <c r="A41" s="36" t="n"/>
      <c r="B41" s="37">
        <f>IF(A41="","",ROW()-3)</f>
        <v/>
      </c>
      <c r="C41" s="31" t="n"/>
      <c r="D41" s="38">
        <f>IFERROR(VLOOKUP(C41,Productos!A4:B103,2,FALSE),"")</f>
        <v/>
      </c>
      <c r="E41" s="9" t="n"/>
      <c r="F41" s="35">
        <f>IFERROR(VLOOKUP(C41,Productos!A4:E103,5,FALSE),0)</f>
        <v/>
      </c>
      <c r="G41" s="39" t="n"/>
      <c r="H41" s="40">
        <f>IFERROR(E41*F41*(1-G41),0)</f>
        <v/>
      </c>
      <c r="I41" s="31" t="n"/>
      <c r="J41" s="30" t="n"/>
    </row>
    <row r="42">
      <c r="A42" s="36" t="n"/>
      <c r="B42" s="37">
        <f>IF(A42="","",ROW()-3)</f>
        <v/>
      </c>
      <c r="C42" s="31" t="n"/>
      <c r="D42" s="38">
        <f>IFERROR(VLOOKUP(C42,Productos!A4:B103,2,FALSE),"")</f>
        <v/>
      </c>
      <c r="E42" s="9" t="n"/>
      <c r="F42" s="35">
        <f>IFERROR(VLOOKUP(C42,Productos!A4:E103,5,FALSE),0)</f>
        <v/>
      </c>
      <c r="G42" s="39" t="n"/>
      <c r="H42" s="40">
        <f>IFERROR(E42*F42*(1-G42),0)</f>
        <v/>
      </c>
      <c r="I42" s="31" t="n"/>
      <c r="J42" s="30" t="n"/>
    </row>
    <row r="43">
      <c r="A43" s="36" t="n"/>
      <c r="B43" s="37">
        <f>IF(A43="","",ROW()-3)</f>
        <v/>
      </c>
      <c r="C43" s="31" t="n"/>
      <c r="D43" s="38">
        <f>IFERROR(VLOOKUP(C43,Productos!A4:B103,2,FALSE),"")</f>
        <v/>
      </c>
      <c r="E43" s="9" t="n"/>
      <c r="F43" s="35">
        <f>IFERROR(VLOOKUP(C43,Productos!A4:E103,5,FALSE),0)</f>
        <v/>
      </c>
      <c r="G43" s="39" t="n"/>
      <c r="H43" s="40">
        <f>IFERROR(E43*F43*(1-G43),0)</f>
        <v/>
      </c>
      <c r="I43" s="31" t="n"/>
      <c r="J43" s="30" t="n"/>
    </row>
    <row r="44">
      <c r="A44" s="36" t="n"/>
      <c r="B44" s="37">
        <f>IF(A44="","",ROW()-3)</f>
        <v/>
      </c>
      <c r="C44" s="31" t="n"/>
      <c r="D44" s="38">
        <f>IFERROR(VLOOKUP(C44,Productos!A4:B103,2,FALSE),"")</f>
        <v/>
      </c>
      <c r="E44" s="9" t="n"/>
      <c r="F44" s="35">
        <f>IFERROR(VLOOKUP(C44,Productos!A4:E103,5,FALSE),0)</f>
        <v/>
      </c>
      <c r="G44" s="39" t="n"/>
      <c r="H44" s="40">
        <f>IFERROR(E44*F44*(1-G44),0)</f>
        <v/>
      </c>
      <c r="I44" s="31" t="n"/>
      <c r="J44" s="30" t="n"/>
    </row>
    <row r="45">
      <c r="A45" s="36" t="n"/>
      <c r="B45" s="37">
        <f>IF(A45="","",ROW()-3)</f>
        <v/>
      </c>
      <c r="C45" s="31" t="n"/>
      <c r="D45" s="38">
        <f>IFERROR(VLOOKUP(C45,Productos!A4:B103,2,FALSE),"")</f>
        <v/>
      </c>
      <c r="E45" s="9" t="n"/>
      <c r="F45" s="35">
        <f>IFERROR(VLOOKUP(C45,Productos!A4:E103,5,FALSE),0)</f>
        <v/>
      </c>
      <c r="G45" s="39" t="n"/>
      <c r="H45" s="40">
        <f>IFERROR(E45*F45*(1-G45),0)</f>
        <v/>
      </c>
      <c r="I45" s="31" t="n"/>
      <c r="J45" s="30" t="n"/>
    </row>
    <row r="46">
      <c r="A46" s="36" t="n"/>
      <c r="B46" s="37">
        <f>IF(A46="","",ROW()-3)</f>
        <v/>
      </c>
      <c r="C46" s="31" t="n"/>
      <c r="D46" s="38">
        <f>IFERROR(VLOOKUP(C46,Productos!A4:B103,2,FALSE),"")</f>
        <v/>
      </c>
      <c r="E46" s="9" t="n"/>
      <c r="F46" s="35">
        <f>IFERROR(VLOOKUP(C46,Productos!A4:E103,5,FALSE),0)</f>
        <v/>
      </c>
      <c r="G46" s="39" t="n"/>
      <c r="H46" s="40">
        <f>IFERROR(E46*F46*(1-G46),0)</f>
        <v/>
      </c>
      <c r="I46" s="31" t="n"/>
      <c r="J46" s="30" t="n"/>
    </row>
    <row r="47">
      <c r="A47" s="36" t="n"/>
      <c r="B47" s="37">
        <f>IF(A47="","",ROW()-3)</f>
        <v/>
      </c>
      <c r="C47" s="31" t="n"/>
      <c r="D47" s="38">
        <f>IFERROR(VLOOKUP(C47,Productos!A4:B103,2,FALSE),"")</f>
        <v/>
      </c>
      <c r="E47" s="9" t="n"/>
      <c r="F47" s="35">
        <f>IFERROR(VLOOKUP(C47,Productos!A4:E103,5,FALSE),0)</f>
        <v/>
      </c>
      <c r="G47" s="39" t="n"/>
      <c r="H47" s="40">
        <f>IFERROR(E47*F47*(1-G47),0)</f>
        <v/>
      </c>
      <c r="I47" s="31" t="n"/>
      <c r="J47" s="30" t="n"/>
    </row>
    <row r="48">
      <c r="A48" s="36" t="n"/>
      <c r="B48" s="37">
        <f>IF(A48="","",ROW()-3)</f>
        <v/>
      </c>
      <c r="C48" s="31" t="n"/>
      <c r="D48" s="38">
        <f>IFERROR(VLOOKUP(C48,Productos!A4:B103,2,FALSE),"")</f>
        <v/>
      </c>
      <c r="E48" s="9" t="n"/>
      <c r="F48" s="35">
        <f>IFERROR(VLOOKUP(C48,Productos!A4:E103,5,FALSE),0)</f>
        <v/>
      </c>
      <c r="G48" s="39" t="n"/>
      <c r="H48" s="40">
        <f>IFERROR(E48*F48*(1-G48),0)</f>
        <v/>
      </c>
      <c r="I48" s="31" t="n"/>
      <c r="J48" s="30" t="n"/>
    </row>
    <row r="49">
      <c r="A49" s="36" t="n"/>
      <c r="B49" s="37">
        <f>IF(A49="","",ROW()-3)</f>
        <v/>
      </c>
      <c r="C49" s="31" t="n"/>
      <c r="D49" s="38">
        <f>IFERROR(VLOOKUP(C49,Productos!A4:B103,2,FALSE),"")</f>
        <v/>
      </c>
      <c r="E49" s="9" t="n"/>
      <c r="F49" s="35">
        <f>IFERROR(VLOOKUP(C49,Productos!A4:E103,5,FALSE),0)</f>
        <v/>
      </c>
      <c r="G49" s="39" t="n"/>
      <c r="H49" s="40">
        <f>IFERROR(E49*F49*(1-G49),0)</f>
        <v/>
      </c>
      <c r="I49" s="31" t="n"/>
      <c r="J49" s="30" t="n"/>
    </row>
    <row r="50">
      <c r="A50" s="36" t="n"/>
      <c r="B50" s="37">
        <f>IF(A50="","",ROW()-3)</f>
        <v/>
      </c>
      <c r="C50" s="31" t="n"/>
      <c r="D50" s="38">
        <f>IFERROR(VLOOKUP(C50,Productos!A4:B103,2,FALSE),"")</f>
        <v/>
      </c>
      <c r="E50" s="9" t="n"/>
      <c r="F50" s="35">
        <f>IFERROR(VLOOKUP(C50,Productos!A4:E103,5,FALSE),0)</f>
        <v/>
      </c>
      <c r="G50" s="39" t="n"/>
      <c r="H50" s="40">
        <f>IFERROR(E50*F50*(1-G50),0)</f>
        <v/>
      </c>
      <c r="I50" s="31" t="n"/>
      <c r="J50" s="30" t="n"/>
    </row>
    <row r="51">
      <c r="A51" s="36" t="n"/>
      <c r="B51" s="37">
        <f>IF(A51="","",ROW()-3)</f>
        <v/>
      </c>
      <c r="C51" s="31" t="n"/>
      <c r="D51" s="38">
        <f>IFERROR(VLOOKUP(C51,Productos!A4:B103,2,FALSE),"")</f>
        <v/>
      </c>
      <c r="E51" s="9" t="n"/>
      <c r="F51" s="35">
        <f>IFERROR(VLOOKUP(C51,Productos!A4:E103,5,FALSE),0)</f>
        <v/>
      </c>
      <c r="G51" s="39" t="n"/>
      <c r="H51" s="40">
        <f>IFERROR(E51*F51*(1-G51),0)</f>
        <v/>
      </c>
      <c r="I51" s="31" t="n"/>
      <c r="J51" s="30" t="n"/>
    </row>
    <row r="52">
      <c r="A52" s="36" t="n"/>
      <c r="B52" s="37">
        <f>IF(A52="","",ROW()-3)</f>
        <v/>
      </c>
      <c r="C52" s="31" t="n"/>
      <c r="D52" s="38">
        <f>IFERROR(VLOOKUP(C52,Productos!A4:B103,2,FALSE),"")</f>
        <v/>
      </c>
      <c r="E52" s="9" t="n"/>
      <c r="F52" s="35">
        <f>IFERROR(VLOOKUP(C52,Productos!A4:E103,5,FALSE),0)</f>
        <v/>
      </c>
      <c r="G52" s="39" t="n"/>
      <c r="H52" s="40">
        <f>IFERROR(E52*F52*(1-G52),0)</f>
        <v/>
      </c>
      <c r="I52" s="31" t="n"/>
      <c r="J52" s="30" t="n"/>
    </row>
    <row r="53">
      <c r="A53" s="36" t="n"/>
      <c r="B53" s="37">
        <f>IF(A53="","",ROW()-3)</f>
        <v/>
      </c>
      <c r="C53" s="31" t="n"/>
      <c r="D53" s="38">
        <f>IFERROR(VLOOKUP(C53,Productos!A4:B103,2,FALSE),"")</f>
        <v/>
      </c>
      <c r="E53" s="9" t="n"/>
      <c r="F53" s="35">
        <f>IFERROR(VLOOKUP(C53,Productos!A4:E103,5,FALSE),0)</f>
        <v/>
      </c>
      <c r="G53" s="39" t="n"/>
      <c r="H53" s="40">
        <f>IFERROR(E53*F53*(1-G53),0)</f>
        <v/>
      </c>
      <c r="I53" s="31" t="n"/>
      <c r="J53" s="30" t="n"/>
    </row>
    <row r="54">
      <c r="A54" s="36" t="n"/>
      <c r="B54" s="37">
        <f>IF(A54="","",ROW()-3)</f>
        <v/>
      </c>
      <c r="C54" s="31" t="n"/>
      <c r="D54" s="38">
        <f>IFERROR(VLOOKUP(C54,Productos!A4:B103,2,FALSE),"")</f>
        <v/>
      </c>
      <c r="E54" s="9" t="n"/>
      <c r="F54" s="35">
        <f>IFERROR(VLOOKUP(C54,Productos!A4:E103,5,FALSE),0)</f>
        <v/>
      </c>
      <c r="G54" s="39" t="n"/>
      <c r="H54" s="40">
        <f>IFERROR(E54*F54*(1-G54),0)</f>
        <v/>
      </c>
      <c r="I54" s="31" t="n"/>
      <c r="J54" s="30" t="n"/>
    </row>
    <row r="55">
      <c r="A55" s="36" t="n"/>
      <c r="B55" s="37">
        <f>IF(A55="","",ROW()-3)</f>
        <v/>
      </c>
      <c r="C55" s="31" t="n"/>
      <c r="D55" s="38">
        <f>IFERROR(VLOOKUP(C55,Productos!A4:B103,2,FALSE),"")</f>
        <v/>
      </c>
      <c r="E55" s="9" t="n"/>
      <c r="F55" s="35">
        <f>IFERROR(VLOOKUP(C55,Productos!A4:E103,5,FALSE),0)</f>
        <v/>
      </c>
      <c r="G55" s="39" t="n"/>
      <c r="H55" s="40">
        <f>IFERROR(E55*F55*(1-G55),0)</f>
        <v/>
      </c>
      <c r="I55" s="31" t="n"/>
      <c r="J55" s="30" t="n"/>
    </row>
    <row r="56">
      <c r="A56" s="36" t="n"/>
      <c r="B56" s="37">
        <f>IF(A56="","",ROW()-3)</f>
        <v/>
      </c>
      <c r="C56" s="31" t="n"/>
      <c r="D56" s="38">
        <f>IFERROR(VLOOKUP(C56,Productos!A4:B103,2,FALSE),"")</f>
        <v/>
      </c>
      <c r="E56" s="9" t="n"/>
      <c r="F56" s="35">
        <f>IFERROR(VLOOKUP(C56,Productos!A4:E103,5,FALSE),0)</f>
        <v/>
      </c>
      <c r="G56" s="39" t="n"/>
      <c r="H56" s="40">
        <f>IFERROR(E56*F56*(1-G56),0)</f>
        <v/>
      </c>
      <c r="I56" s="31" t="n"/>
      <c r="J56" s="30" t="n"/>
    </row>
    <row r="57">
      <c r="A57" s="36" t="n"/>
      <c r="B57" s="37">
        <f>IF(A57="","",ROW()-3)</f>
        <v/>
      </c>
      <c r="C57" s="31" t="n"/>
      <c r="D57" s="38">
        <f>IFERROR(VLOOKUP(C57,Productos!A4:B103,2,FALSE),"")</f>
        <v/>
      </c>
      <c r="E57" s="9" t="n"/>
      <c r="F57" s="35">
        <f>IFERROR(VLOOKUP(C57,Productos!A4:E103,5,FALSE),0)</f>
        <v/>
      </c>
      <c r="G57" s="39" t="n"/>
      <c r="H57" s="40">
        <f>IFERROR(E57*F57*(1-G57),0)</f>
        <v/>
      </c>
      <c r="I57" s="31" t="n"/>
      <c r="J57" s="30" t="n"/>
    </row>
    <row r="58">
      <c r="A58" s="36" t="n"/>
      <c r="B58" s="37">
        <f>IF(A58="","",ROW()-3)</f>
        <v/>
      </c>
      <c r="C58" s="31" t="n"/>
      <c r="D58" s="38">
        <f>IFERROR(VLOOKUP(C58,Productos!A4:B103,2,FALSE),"")</f>
        <v/>
      </c>
      <c r="E58" s="9" t="n"/>
      <c r="F58" s="35">
        <f>IFERROR(VLOOKUP(C58,Productos!A4:E103,5,FALSE),0)</f>
        <v/>
      </c>
      <c r="G58" s="39" t="n"/>
      <c r="H58" s="40">
        <f>IFERROR(E58*F58*(1-G58),0)</f>
        <v/>
      </c>
      <c r="I58" s="31" t="n"/>
      <c r="J58" s="30" t="n"/>
    </row>
    <row r="59">
      <c r="A59" s="36" t="n"/>
      <c r="B59" s="37">
        <f>IF(A59="","",ROW()-3)</f>
        <v/>
      </c>
      <c r="C59" s="31" t="n"/>
      <c r="D59" s="38">
        <f>IFERROR(VLOOKUP(C59,Productos!A4:B103,2,FALSE),"")</f>
        <v/>
      </c>
      <c r="E59" s="9" t="n"/>
      <c r="F59" s="35">
        <f>IFERROR(VLOOKUP(C59,Productos!A4:E103,5,FALSE),0)</f>
        <v/>
      </c>
      <c r="G59" s="39" t="n"/>
      <c r="H59" s="40">
        <f>IFERROR(E59*F59*(1-G59),0)</f>
        <v/>
      </c>
      <c r="I59" s="31" t="n"/>
      <c r="J59" s="30" t="n"/>
    </row>
    <row r="60">
      <c r="A60" s="36" t="n"/>
      <c r="B60" s="37">
        <f>IF(A60="","",ROW()-3)</f>
        <v/>
      </c>
      <c r="C60" s="31" t="n"/>
      <c r="D60" s="38">
        <f>IFERROR(VLOOKUP(C60,Productos!A4:B103,2,FALSE),"")</f>
        <v/>
      </c>
      <c r="E60" s="9" t="n"/>
      <c r="F60" s="35">
        <f>IFERROR(VLOOKUP(C60,Productos!A4:E103,5,FALSE),0)</f>
        <v/>
      </c>
      <c r="G60" s="39" t="n"/>
      <c r="H60" s="40">
        <f>IFERROR(E60*F60*(1-G60),0)</f>
        <v/>
      </c>
      <c r="I60" s="31" t="n"/>
      <c r="J60" s="30" t="n"/>
    </row>
    <row r="61">
      <c r="A61" s="36" t="n"/>
      <c r="B61" s="37">
        <f>IF(A61="","",ROW()-3)</f>
        <v/>
      </c>
      <c r="C61" s="31" t="n"/>
      <c r="D61" s="38">
        <f>IFERROR(VLOOKUP(C61,Productos!A4:B103,2,FALSE),"")</f>
        <v/>
      </c>
      <c r="E61" s="9" t="n"/>
      <c r="F61" s="35">
        <f>IFERROR(VLOOKUP(C61,Productos!A4:E103,5,FALSE),0)</f>
        <v/>
      </c>
      <c r="G61" s="39" t="n"/>
      <c r="H61" s="40">
        <f>IFERROR(E61*F61*(1-G61),0)</f>
        <v/>
      </c>
      <c r="I61" s="31" t="n"/>
      <c r="J61" s="30" t="n"/>
    </row>
    <row r="62">
      <c r="A62" s="36" t="n"/>
      <c r="B62" s="37">
        <f>IF(A62="","",ROW()-3)</f>
        <v/>
      </c>
      <c r="C62" s="31" t="n"/>
      <c r="D62" s="38">
        <f>IFERROR(VLOOKUP(C62,Productos!A4:B103,2,FALSE),"")</f>
        <v/>
      </c>
      <c r="E62" s="9" t="n"/>
      <c r="F62" s="35">
        <f>IFERROR(VLOOKUP(C62,Productos!A4:E103,5,FALSE),0)</f>
        <v/>
      </c>
      <c r="G62" s="39" t="n"/>
      <c r="H62" s="40">
        <f>IFERROR(E62*F62*(1-G62),0)</f>
        <v/>
      </c>
      <c r="I62" s="31" t="n"/>
      <c r="J62" s="30" t="n"/>
    </row>
    <row r="63">
      <c r="A63" s="36" t="n"/>
      <c r="B63" s="37">
        <f>IF(A63="","",ROW()-3)</f>
        <v/>
      </c>
      <c r="C63" s="31" t="n"/>
      <c r="D63" s="38">
        <f>IFERROR(VLOOKUP(C63,Productos!A4:B103,2,FALSE),"")</f>
        <v/>
      </c>
      <c r="E63" s="9" t="n"/>
      <c r="F63" s="35">
        <f>IFERROR(VLOOKUP(C63,Productos!A4:E103,5,FALSE),0)</f>
        <v/>
      </c>
      <c r="G63" s="39" t="n"/>
      <c r="H63" s="40">
        <f>IFERROR(E63*F63*(1-G63),0)</f>
        <v/>
      </c>
      <c r="I63" s="31" t="n"/>
      <c r="J63" s="30" t="n"/>
    </row>
    <row r="64">
      <c r="A64" s="36" t="n"/>
      <c r="B64" s="37">
        <f>IF(A64="","",ROW()-3)</f>
        <v/>
      </c>
      <c r="C64" s="31" t="n"/>
      <c r="D64" s="38">
        <f>IFERROR(VLOOKUP(C64,Productos!A4:B103,2,FALSE),"")</f>
        <v/>
      </c>
      <c r="E64" s="9" t="n"/>
      <c r="F64" s="35">
        <f>IFERROR(VLOOKUP(C64,Productos!A4:E103,5,FALSE),0)</f>
        <v/>
      </c>
      <c r="G64" s="39" t="n"/>
      <c r="H64" s="40">
        <f>IFERROR(E64*F64*(1-G64),0)</f>
        <v/>
      </c>
      <c r="I64" s="31" t="n"/>
      <c r="J64" s="30" t="n"/>
    </row>
    <row r="65">
      <c r="A65" s="36" t="n"/>
      <c r="B65" s="37">
        <f>IF(A65="","",ROW()-3)</f>
        <v/>
      </c>
      <c r="C65" s="31" t="n"/>
      <c r="D65" s="38">
        <f>IFERROR(VLOOKUP(C65,Productos!A4:B103,2,FALSE),"")</f>
        <v/>
      </c>
      <c r="E65" s="9" t="n"/>
      <c r="F65" s="35">
        <f>IFERROR(VLOOKUP(C65,Productos!A4:E103,5,FALSE),0)</f>
        <v/>
      </c>
      <c r="G65" s="39" t="n"/>
      <c r="H65" s="40">
        <f>IFERROR(E65*F65*(1-G65),0)</f>
        <v/>
      </c>
      <c r="I65" s="31" t="n"/>
      <c r="J65" s="30" t="n"/>
    </row>
    <row r="66">
      <c r="A66" s="36" t="n"/>
      <c r="B66" s="37">
        <f>IF(A66="","",ROW()-3)</f>
        <v/>
      </c>
      <c r="C66" s="31" t="n"/>
      <c r="D66" s="38">
        <f>IFERROR(VLOOKUP(C66,Productos!A4:B103,2,FALSE),"")</f>
        <v/>
      </c>
      <c r="E66" s="9" t="n"/>
      <c r="F66" s="35">
        <f>IFERROR(VLOOKUP(C66,Productos!A4:E103,5,FALSE),0)</f>
        <v/>
      </c>
      <c r="G66" s="39" t="n"/>
      <c r="H66" s="40">
        <f>IFERROR(E66*F66*(1-G66),0)</f>
        <v/>
      </c>
      <c r="I66" s="31" t="n"/>
      <c r="J66" s="30" t="n"/>
    </row>
    <row r="67">
      <c r="A67" s="36" t="n"/>
      <c r="B67" s="37">
        <f>IF(A67="","",ROW()-3)</f>
        <v/>
      </c>
      <c r="C67" s="31" t="n"/>
      <c r="D67" s="38">
        <f>IFERROR(VLOOKUP(C67,Productos!A4:B103,2,FALSE),"")</f>
        <v/>
      </c>
      <c r="E67" s="9" t="n"/>
      <c r="F67" s="35">
        <f>IFERROR(VLOOKUP(C67,Productos!A4:E103,5,FALSE),0)</f>
        <v/>
      </c>
      <c r="G67" s="39" t="n"/>
      <c r="H67" s="40">
        <f>IFERROR(E67*F67*(1-G67),0)</f>
        <v/>
      </c>
      <c r="I67" s="31" t="n"/>
      <c r="J67" s="30" t="n"/>
    </row>
    <row r="68">
      <c r="A68" s="36" t="n"/>
      <c r="B68" s="37">
        <f>IF(A68="","",ROW()-3)</f>
        <v/>
      </c>
      <c r="C68" s="31" t="n"/>
      <c r="D68" s="38">
        <f>IFERROR(VLOOKUP(C68,Productos!A4:B103,2,FALSE),"")</f>
        <v/>
      </c>
      <c r="E68" s="9" t="n"/>
      <c r="F68" s="35">
        <f>IFERROR(VLOOKUP(C68,Productos!A4:E103,5,FALSE),0)</f>
        <v/>
      </c>
      <c r="G68" s="39" t="n"/>
      <c r="H68" s="40">
        <f>IFERROR(E68*F68*(1-G68),0)</f>
        <v/>
      </c>
      <c r="I68" s="31" t="n"/>
      <c r="J68" s="30" t="n"/>
    </row>
    <row r="69">
      <c r="A69" s="36" t="n"/>
      <c r="B69" s="37">
        <f>IF(A69="","",ROW()-3)</f>
        <v/>
      </c>
      <c r="C69" s="31" t="n"/>
      <c r="D69" s="38">
        <f>IFERROR(VLOOKUP(C69,Productos!A4:B103,2,FALSE),"")</f>
        <v/>
      </c>
      <c r="E69" s="9" t="n"/>
      <c r="F69" s="35">
        <f>IFERROR(VLOOKUP(C69,Productos!A4:E103,5,FALSE),0)</f>
        <v/>
      </c>
      <c r="G69" s="39" t="n"/>
      <c r="H69" s="40">
        <f>IFERROR(E69*F69*(1-G69),0)</f>
        <v/>
      </c>
      <c r="I69" s="31" t="n"/>
      <c r="J69" s="30" t="n"/>
    </row>
    <row r="70">
      <c r="A70" s="36" t="n"/>
      <c r="B70" s="37">
        <f>IF(A70="","",ROW()-3)</f>
        <v/>
      </c>
      <c r="C70" s="31" t="n"/>
      <c r="D70" s="38">
        <f>IFERROR(VLOOKUP(C70,Productos!A4:B103,2,FALSE),"")</f>
        <v/>
      </c>
      <c r="E70" s="9" t="n"/>
      <c r="F70" s="35">
        <f>IFERROR(VLOOKUP(C70,Productos!A4:E103,5,FALSE),0)</f>
        <v/>
      </c>
      <c r="G70" s="39" t="n"/>
      <c r="H70" s="40">
        <f>IFERROR(E70*F70*(1-G70),0)</f>
        <v/>
      </c>
      <c r="I70" s="31" t="n"/>
      <c r="J70" s="30" t="n"/>
    </row>
    <row r="71">
      <c r="A71" s="36" t="n"/>
      <c r="B71" s="37">
        <f>IF(A71="","",ROW()-3)</f>
        <v/>
      </c>
      <c r="C71" s="31" t="n"/>
      <c r="D71" s="38">
        <f>IFERROR(VLOOKUP(C71,Productos!A4:B103,2,FALSE),"")</f>
        <v/>
      </c>
      <c r="E71" s="9" t="n"/>
      <c r="F71" s="35">
        <f>IFERROR(VLOOKUP(C71,Productos!A4:E103,5,FALSE),0)</f>
        <v/>
      </c>
      <c r="G71" s="39" t="n"/>
      <c r="H71" s="40">
        <f>IFERROR(E71*F71*(1-G71),0)</f>
        <v/>
      </c>
      <c r="I71" s="31" t="n"/>
      <c r="J71" s="30" t="n"/>
    </row>
    <row r="72">
      <c r="A72" s="36" t="n"/>
      <c r="B72" s="37">
        <f>IF(A72="","",ROW()-3)</f>
        <v/>
      </c>
      <c r="C72" s="31" t="n"/>
      <c r="D72" s="38">
        <f>IFERROR(VLOOKUP(C72,Productos!A4:B103,2,FALSE),"")</f>
        <v/>
      </c>
      <c r="E72" s="9" t="n"/>
      <c r="F72" s="35">
        <f>IFERROR(VLOOKUP(C72,Productos!A4:E103,5,FALSE),0)</f>
        <v/>
      </c>
      <c r="G72" s="39" t="n"/>
      <c r="H72" s="40">
        <f>IFERROR(E72*F72*(1-G72),0)</f>
        <v/>
      </c>
      <c r="I72" s="31" t="n"/>
      <c r="J72" s="30" t="n"/>
    </row>
    <row r="73">
      <c r="A73" s="36" t="n"/>
      <c r="B73" s="37">
        <f>IF(A73="","",ROW()-3)</f>
        <v/>
      </c>
      <c r="C73" s="31" t="n"/>
      <c r="D73" s="38">
        <f>IFERROR(VLOOKUP(C73,Productos!A4:B103,2,FALSE),"")</f>
        <v/>
      </c>
      <c r="E73" s="9" t="n"/>
      <c r="F73" s="35">
        <f>IFERROR(VLOOKUP(C73,Productos!A4:E103,5,FALSE),0)</f>
        <v/>
      </c>
      <c r="G73" s="39" t="n"/>
      <c r="H73" s="40">
        <f>IFERROR(E73*F73*(1-G73),0)</f>
        <v/>
      </c>
      <c r="I73" s="31" t="n"/>
      <c r="J73" s="30" t="n"/>
    </row>
    <row r="74">
      <c r="A74" s="36" t="n"/>
      <c r="B74" s="37">
        <f>IF(A74="","",ROW()-3)</f>
        <v/>
      </c>
      <c r="C74" s="31" t="n"/>
      <c r="D74" s="38">
        <f>IFERROR(VLOOKUP(C74,Productos!A4:B103,2,FALSE),"")</f>
        <v/>
      </c>
      <c r="E74" s="9" t="n"/>
      <c r="F74" s="35">
        <f>IFERROR(VLOOKUP(C74,Productos!A4:E103,5,FALSE),0)</f>
        <v/>
      </c>
      <c r="G74" s="39" t="n"/>
      <c r="H74" s="40">
        <f>IFERROR(E74*F74*(1-G74),0)</f>
        <v/>
      </c>
      <c r="I74" s="31" t="n"/>
      <c r="J74" s="30" t="n"/>
    </row>
    <row r="75">
      <c r="A75" s="36" t="n"/>
      <c r="B75" s="37">
        <f>IF(A75="","",ROW()-3)</f>
        <v/>
      </c>
      <c r="C75" s="31" t="n"/>
      <c r="D75" s="38">
        <f>IFERROR(VLOOKUP(C75,Productos!A4:B103,2,FALSE),"")</f>
        <v/>
      </c>
      <c r="E75" s="9" t="n"/>
      <c r="F75" s="35">
        <f>IFERROR(VLOOKUP(C75,Productos!A4:E103,5,FALSE),0)</f>
        <v/>
      </c>
      <c r="G75" s="39" t="n"/>
      <c r="H75" s="40">
        <f>IFERROR(E75*F75*(1-G75),0)</f>
        <v/>
      </c>
      <c r="I75" s="31" t="n"/>
      <c r="J75" s="30" t="n"/>
    </row>
    <row r="76">
      <c r="A76" s="36" t="n"/>
      <c r="B76" s="37">
        <f>IF(A76="","",ROW()-3)</f>
        <v/>
      </c>
      <c r="C76" s="31" t="n"/>
      <c r="D76" s="38">
        <f>IFERROR(VLOOKUP(C76,Productos!A4:B103,2,FALSE),"")</f>
        <v/>
      </c>
      <c r="E76" s="9" t="n"/>
      <c r="F76" s="35">
        <f>IFERROR(VLOOKUP(C76,Productos!A4:E103,5,FALSE),0)</f>
        <v/>
      </c>
      <c r="G76" s="39" t="n"/>
      <c r="H76" s="40">
        <f>IFERROR(E76*F76*(1-G76),0)</f>
        <v/>
      </c>
      <c r="I76" s="31" t="n"/>
      <c r="J76" s="30" t="n"/>
    </row>
    <row r="77">
      <c r="A77" s="36" t="n"/>
      <c r="B77" s="37">
        <f>IF(A77="","",ROW()-3)</f>
        <v/>
      </c>
      <c r="C77" s="31" t="n"/>
      <c r="D77" s="38">
        <f>IFERROR(VLOOKUP(C77,Productos!A4:B103,2,FALSE),"")</f>
        <v/>
      </c>
      <c r="E77" s="9" t="n"/>
      <c r="F77" s="35">
        <f>IFERROR(VLOOKUP(C77,Productos!A4:E103,5,FALSE),0)</f>
        <v/>
      </c>
      <c r="G77" s="39" t="n"/>
      <c r="H77" s="40">
        <f>IFERROR(E77*F77*(1-G77),0)</f>
        <v/>
      </c>
      <c r="I77" s="31" t="n"/>
      <c r="J77" s="30" t="n"/>
    </row>
    <row r="78">
      <c r="A78" s="36" t="n"/>
      <c r="B78" s="37">
        <f>IF(A78="","",ROW()-3)</f>
        <v/>
      </c>
      <c r="C78" s="31" t="n"/>
      <c r="D78" s="38">
        <f>IFERROR(VLOOKUP(C78,Productos!A4:B103,2,FALSE),"")</f>
        <v/>
      </c>
      <c r="E78" s="9" t="n"/>
      <c r="F78" s="35">
        <f>IFERROR(VLOOKUP(C78,Productos!A4:E103,5,FALSE),0)</f>
        <v/>
      </c>
      <c r="G78" s="39" t="n"/>
      <c r="H78" s="40">
        <f>IFERROR(E78*F78*(1-G78),0)</f>
        <v/>
      </c>
      <c r="I78" s="31" t="n"/>
      <c r="J78" s="30" t="n"/>
    </row>
    <row r="79">
      <c r="A79" s="36" t="n"/>
      <c r="B79" s="37">
        <f>IF(A79="","",ROW()-3)</f>
        <v/>
      </c>
      <c r="C79" s="31" t="n"/>
      <c r="D79" s="38">
        <f>IFERROR(VLOOKUP(C79,Productos!A4:B103,2,FALSE),"")</f>
        <v/>
      </c>
      <c r="E79" s="9" t="n"/>
      <c r="F79" s="35">
        <f>IFERROR(VLOOKUP(C79,Productos!A4:E103,5,FALSE),0)</f>
        <v/>
      </c>
      <c r="G79" s="39" t="n"/>
      <c r="H79" s="40">
        <f>IFERROR(E79*F79*(1-G79),0)</f>
        <v/>
      </c>
      <c r="I79" s="31" t="n"/>
      <c r="J79" s="30" t="n"/>
    </row>
    <row r="80">
      <c r="A80" s="36" t="n"/>
      <c r="B80" s="37">
        <f>IF(A80="","",ROW()-3)</f>
        <v/>
      </c>
      <c r="C80" s="31" t="n"/>
      <c r="D80" s="38">
        <f>IFERROR(VLOOKUP(C80,Productos!A4:B103,2,FALSE),"")</f>
        <v/>
      </c>
      <c r="E80" s="9" t="n"/>
      <c r="F80" s="35">
        <f>IFERROR(VLOOKUP(C80,Productos!A4:E103,5,FALSE),0)</f>
        <v/>
      </c>
      <c r="G80" s="39" t="n"/>
      <c r="H80" s="40">
        <f>IFERROR(E80*F80*(1-G80),0)</f>
        <v/>
      </c>
      <c r="I80" s="31" t="n"/>
      <c r="J80" s="30" t="n"/>
    </row>
    <row r="81">
      <c r="A81" s="36" t="n"/>
      <c r="B81" s="37">
        <f>IF(A81="","",ROW()-3)</f>
        <v/>
      </c>
      <c r="C81" s="31" t="n"/>
      <c r="D81" s="38">
        <f>IFERROR(VLOOKUP(C81,Productos!A4:B103,2,FALSE),"")</f>
        <v/>
      </c>
      <c r="E81" s="9" t="n"/>
      <c r="F81" s="35">
        <f>IFERROR(VLOOKUP(C81,Productos!A4:E103,5,FALSE),0)</f>
        <v/>
      </c>
      <c r="G81" s="39" t="n"/>
      <c r="H81" s="40">
        <f>IFERROR(E81*F81*(1-G81),0)</f>
        <v/>
      </c>
      <c r="I81" s="31" t="n"/>
      <c r="J81" s="30" t="n"/>
    </row>
    <row r="82">
      <c r="A82" s="36" t="n"/>
      <c r="B82" s="37">
        <f>IF(A82="","",ROW()-3)</f>
        <v/>
      </c>
      <c r="C82" s="31" t="n"/>
      <c r="D82" s="38">
        <f>IFERROR(VLOOKUP(C82,Productos!A4:B103,2,FALSE),"")</f>
        <v/>
      </c>
      <c r="E82" s="9" t="n"/>
      <c r="F82" s="35">
        <f>IFERROR(VLOOKUP(C82,Productos!A4:E103,5,FALSE),0)</f>
        <v/>
      </c>
      <c r="G82" s="39" t="n"/>
      <c r="H82" s="40">
        <f>IFERROR(E82*F82*(1-G82),0)</f>
        <v/>
      </c>
      <c r="I82" s="31" t="n"/>
      <c r="J82" s="30" t="n"/>
    </row>
    <row r="83">
      <c r="A83" s="36" t="n"/>
      <c r="B83" s="37">
        <f>IF(A83="","",ROW()-3)</f>
        <v/>
      </c>
      <c r="C83" s="31" t="n"/>
      <c r="D83" s="38">
        <f>IFERROR(VLOOKUP(C83,Productos!A4:B103,2,FALSE),"")</f>
        <v/>
      </c>
      <c r="E83" s="9" t="n"/>
      <c r="F83" s="35">
        <f>IFERROR(VLOOKUP(C83,Productos!A4:E103,5,FALSE),0)</f>
        <v/>
      </c>
      <c r="G83" s="39" t="n"/>
      <c r="H83" s="40">
        <f>IFERROR(E83*F83*(1-G83),0)</f>
        <v/>
      </c>
      <c r="I83" s="31" t="n"/>
      <c r="J83" s="30" t="n"/>
    </row>
    <row r="84">
      <c r="A84" s="36" t="n"/>
      <c r="B84" s="37">
        <f>IF(A84="","",ROW()-3)</f>
        <v/>
      </c>
      <c r="C84" s="31" t="n"/>
      <c r="D84" s="38">
        <f>IFERROR(VLOOKUP(C84,Productos!A4:B103,2,FALSE),"")</f>
        <v/>
      </c>
      <c r="E84" s="9" t="n"/>
      <c r="F84" s="35">
        <f>IFERROR(VLOOKUP(C84,Productos!A4:E103,5,FALSE),0)</f>
        <v/>
      </c>
      <c r="G84" s="39" t="n"/>
      <c r="H84" s="40">
        <f>IFERROR(E84*F84*(1-G84),0)</f>
        <v/>
      </c>
      <c r="I84" s="31" t="n"/>
      <c r="J84" s="30" t="n"/>
    </row>
    <row r="85">
      <c r="A85" s="36" t="n"/>
      <c r="B85" s="37">
        <f>IF(A85="","",ROW()-3)</f>
        <v/>
      </c>
      <c r="C85" s="31" t="n"/>
      <c r="D85" s="38">
        <f>IFERROR(VLOOKUP(C85,Productos!A4:B103,2,FALSE),"")</f>
        <v/>
      </c>
      <c r="E85" s="9" t="n"/>
      <c r="F85" s="35">
        <f>IFERROR(VLOOKUP(C85,Productos!A4:E103,5,FALSE),0)</f>
        <v/>
      </c>
      <c r="G85" s="39" t="n"/>
      <c r="H85" s="40">
        <f>IFERROR(E85*F85*(1-G85),0)</f>
        <v/>
      </c>
      <c r="I85" s="31" t="n"/>
      <c r="J85" s="30" t="n"/>
    </row>
    <row r="86">
      <c r="A86" s="36" t="n"/>
      <c r="B86" s="37">
        <f>IF(A86="","",ROW()-3)</f>
        <v/>
      </c>
      <c r="C86" s="31" t="n"/>
      <c r="D86" s="38">
        <f>IFERROR(VLOOKUP(C86,Productos!A4:B103,2,FALSE),"")</f>
        <v/>
      </c>
      <c r="E86" s="9" t="n"/>
      <c r="F86" s="35">
        <f>IFERROR(VLOOKUP(C86,Productos!A4:E103,5,FALSE),0)</f>
        <v/>
      </c>
      <c r="G86" s="39" t="n"/>
      <c r="H86" s="40">
        <f>IFERROR(E86*F86*(1-G86),0)</f>
        <v/>
      </c>
      <c r="I86" s="31" t="n"/>
      <c r="J86" s="30" t="n"/>
    </row>
    <row r="87">
      <c r="A87" s="36" t="n"/>
      <c r="B87" s="37">
        <f>IF(A87="","",ROW()-3)</f>
        <v/>
      </c>
      <c r="C87" s="31" t="n"/>
      <c r="D87" s="38">
        <f>IFERROR(VLOOKUP(C87,Productos!A4:B103,2,FALSE),"")</f>
        <v/>
      </c>
      <c r="E87" s="9" t="n"/>
      <c r="F87" s="35">
        <f>IFERROR(VLOOKUP(C87,Productos!A4:E103,5,FALSE),0)</f>
        <v/>
      </c>
      <c r="G87" s="39" t="n"/>
      <c r="H87" s="40">
        <f>IFERROR(E87*F87*(1-G87),0)</f>
        <v/>
      </c>
      <c r="I87" s="31" t="n"/>
      <c r="J87" s="30" t="n"/>
    </row>
    <row r="88">
      <c r="A88" s="36" t="n"/>
      <c r="B88" s="37">
        <f>IF(A88="","",ROW()-3)</f>
        <v/>
      </c>
      <c r="C88" s="31" t="n"/>
      <c r="D88" s="38">
        <f>IFERROR(VLOOKUP(C88,Productos!A4:B103,2,FALSE),"")</f>
        <v/>
      </c>
      <c r="E88" s="9" t="n"/>
      <c r="F88" s="35">
        <f>IFERROR(VLOOKUP(C88,Productos!A4:E103,5,FALSE),0)</f>
        <v/>
      </c>
      <c r="G88" s="39" t="n"/>
      <c r="H88" s="40">
        <f>IFERROR(E88*F88*(1-G88),0)</f>
        <v/>
      </c>
      <c r="I88" s="31" t="n"/>
      <c r="J88" s="30" t="n"/>
    </row>
    <row r="89">
      <c r="A89" s="36" t="n"/>
      <c r="B89" s="37">
        <f>IF(A89="","",ROW()-3)</f>
        <v/>
      </c>
      <c r="C89" s="31" t="n"/>
      <c r="D89" s="38">
        <f>IFERROR(VLOOKUP(C89,Productos!A4:B103,2,FALSE),"")</f>
        <v/>
      </c>
      <c r="E89" s="9" t="n"/>
      <c r="F89" s="35">
        <f>IFERROR(VLOOKUP(C89,Productos!A4:E103,5,FALSE),0)</f>
        <v/>
      </c>
      <c r="G89" s="39" t="n"/>
      <c r="H89" s="40">
        <f>IFERROR(E89*F89*(1-G89),0)</f>
        <v/>
      </c>
      <c r="I89" s="31" t="n"/>
      <c r="J89" s="30" t="n"/>
    </row>
    <row r="90">
      <c r="A90" s="36" t="n"/>
      <c r="B90" s="37">
        <f>IF(A90="","",ROW()-3)</f>
        <v/>
      </c>
      <c r="C90" s="31" t="n"/>
      <c r="D90" s="38">
        <f>IFERROR(VLOOKUP(C90,Productos!A4:B103,2,FALSE),"")</f>
        <v/>
      </c>
      <c r="E90" s="9" t="n"/>
      <c r="F90" s="35">
        <f>IFERROR(VLOOKUP(C90,Productos!A4:E103,5,FALSE),0)</f>
        <v/>
      </c>
      <c r="G90" s="39" t="n"/>
      <c r="H90" s="40">
        <f>IFERROR(E90*F90*(1-G90),0)</f>
        <v/>
      </c>
      <c r="I90" s="31" t="n"/>
      <c r="J90" s="30" t="n"/>
    </row>
    <row r="91">
      <c r="A91" s="36" t="n"/>
      <c r="B91" s="37">
        <f>IF(A91="","",ROW()-3)</f>
        <v/>
      </c>
      <c r="C91" s="31" t="n"/>
      <c r="D91" s="38">
        <f>IFERROR(VLOOKUP(C91,Productos!A4:B103,2,FALSE),"")</f>
        <v/>
      </c>
      <c r="E91" s="9" t="n"/>
      <c r="F91" s="35">
        <f>IFERROR(VLOOKUP(C91,Productos!A4:E103,5,FALSE),0)</f>
        <v/>
      </c>
      <c r="G91" s="39" t="n"/>
      <c r="H91" s="40">
        <f>IFERROR(E91*F91*(1-G91),0)</f>
        <v/>
      </c>
      <c r="I91" s="31" t="n"/>
      <c r="J91" s="30" t="n"/>
    </row>
    <row r="92">
      <c r="A92" s="36" t="n"/>
      <c r="B92" s="37">
        <f>IF(A92="","",ROW()-3)</f>
        <v/>
      </c>
      <c r="C92" s="31" t="n"/>
      <c r="D92" s="38">
        <f>IFERROR(VLOOKUP(C92,Productos!A4:B103,2,FALSE),"")</f>
        <v/>
      </c>
      <c r="E92" s="9" t="n"/>
      <c r="F92" s="35">
        <f>IFERROR(VLOOKUP(C92,Productos!A4:E103,5,FALSE),0)</f>
        <v/>
      </c>
      <c r="G92" s="39" t="n"/>
      <c r="H92" s="40">
        <f>IFERROR(E92*F92*(1-G92),0)</f>
        <v/>
      </c>
      <c r="I92" s="31" t="n"/>
      <c r="J92" s="30" t="n"/>
    </row>
    <row r="93">
      <c r="A93" s="36" t="n"/>
      <c r="B93" s="37">
        <f>IF(A93="","",ROW()-3)</f>
        <v/>
      </c>
      <c r="C93" s="31" t="n"/>
      <c r="D93" s="38">
        <f>IFERROR(VLOOKUP(C93,Productos!A4:B103,2,FALSE),"")</f>
        <v/>
      </c>
      <c r="E93" s="9" t="n"/>
      <c r="F93" s="35">
        <f>IFERROR(VLOOKUP(C93,Productos!A4:E103,5,FALSE),0)</f>
        <v/>
      </c>
      <c r="G93" s="39" t="n"/>
      <c r="H93" s="40">
        <f>IFERROR(E93*F93*(1-G93),0)</f>
        <v/>
      </c>
      <c r="I93" s="31" t="n"/>
      <c r="J93" s="30" t="n"/>
    </row>
    <row r="94">
      <c r="A94" s="36" t="n"/>
      <c r="B94" s="37">
        <f>IF(A94="","",ROW()-3)</f>
        <v/>
      </c>
      <c r="C94" s="31" t="n"/>
      <c r="D94" s="38">
        <f>IFERROR(VLOOKUP(C94,Productos!A4:B103,2,FALSE),"")</f>
        <v/>
      </c>
      <c r="E94" s="9" t="n"/>
      <c r="F94" s="35">
        <f>IFERROR(VLOOKUP(C94,Productos!A4:E103,5,FALSE),0)</f>
        <v/>
      </c>
      <c r="G94" s="39" t="n"/>
      <c r="H94" s="40">
        <f>IFERROR(E94*F94*(1-G94),0)</f>
        <v/>
      </c>
      <c r="I94" s="31" t="n"/>
      <c r="J94" s="30" t="n"/>
    </row>
    <row r="95">
      <c r="A95" s="36" t="n"/>
      <c r="B95" s="37">
        <f>IF(A95="","",ROW()-3)</f>
        <v/>
      </c>
      <c r="C95" s="31" t="n"/>
      <c r="D95" s="38">
        <f>IFERROR(VLOOKUP(C95,Productos!A4:B103,2,FALSE),"")</f>
        <v/>
      </c>
      <c r="E95" s="9" t="n"/>
      <c r="F95" s="35">
        <f>IFERROR(VLOOKUP(C95,Productos!A4:E103,5,FALSE),0)</f>
        <v/>
      </c>
      <c r="G95" s="39" t="n"/>
      <c r="H95" s="40">
        <f>IFERROR(E95*F95*(1-G95),0)</f>
        <v/>
      </c>
      <c r="I95" s="31" t="n"/>
      <c r="J95" s="30" t="n"/>
    </row>
    <row r="96">
      <c r="A96" s="36" t="n"/>
      <c r="B96" s="37">
        <f>IF(A96="","",ROW()-3)</f>
        <v/>
      </c>
      <c r="C96" s="31" t="n"/>
      <c r="D96" s="38">
        <f>IFERROR(VLOOKUP(C96,Productos!A4:B103,2,FALSE),"")</f>
        <v/>
      </c>
      <c r="E96" s="9" t="n"/>
      <c r="F96" s="35">
        <f>IFERROR(VLOOKUP(C96,Productos!A4:E103,5,FALSE),0)</f>
        <v/>
      </c>
      <c r="G96" s="39" t="n"/>
      <c r="H96" s="40">
        <f>IFERROR(E96*F96*(1-G96),0)</f>
        <v/>
      </c>
      <c r="I96" s="31" t="n"/>
      <c r="J96" s="30" t="n"/>
    </row>
    <row r="97">
      <c r="A97" s="36" t="n"/>
      <c r="B97" s="37">
        <f>IF(A97="","",ROW()-3)</f>
        <v/>
      </c>
      <c r="C97" s="31" t="n"/>
      <c r="D97" s="38">
        <f>IFERROR(VLOOKUP(C97,Productos!A4:B103,2,FALSE),"")</f>
        <v/>
      </c>
      <c r="E97" s="9" t="n"/>
      <c r="F97" s="35">
        <f>IFERROR(VLOOKUP(C97,Productos!A4:E103,5,FALSE),0)</f>
        <v/>
      </c>
      <c r="G97" s="39" t="n"/>
      <c r="H97" s="40">
        <f>IFERROR(E97*F97*(1-G97),0)</f>
        <v/>
      </c>
      <c r="I97" s="31" t="n"/>
      <c r="J97" s="30" t="n"/>
    </row>
    <row r="98">
      <c r="A98" s="36" t="n"/>
      <c r="B98" s="37">
        <f>IF(A98="","",ROW()-3)</f>
        <v/>
      </c>
      <c r="C98" s="31" t="n"/>
      <c r="D98" s="38">
        <f>IFERROR(VLOOKUP(C98,Productos!A4:B103,2,FALSE),"")</f>
        <v/>
      </c>
      <c r="E98" s="9" t="n"/>
      <c r="F98" s="35">
        <f>IFERROR(VLOOKUP(C98,Productos!A4:E103,5,FALSE),0)</f>
        <v/>
      </c>
      <c r="G98" s="39" t="n"/>
      <c r="H98" s="40">
        <f>IFERROR(E98*F98*(1-G98),0)</f>
        <v/>
      </c>
      <c r="I98" s="31" t="n"/>
      <c r="J98" s="30" t="n"/>
    </row>
    <row r="99">
      <c r="A99" s="36" t="n"/>
      <c r="B99" s="37">
        <f>IF(A99="","",ROW()-3)</f>
        <v/>
      </c>
      <c r="C99" s="31" t="n"/>
      <c r="D99" s="38">
        <f>IFERROR(VLOOKUP(C99,Productos!A4:B103,2,FALSE),"")</f>
        <v/>
      </c>
      <c r="E99" s="9" t="n"/>
      <c r="F99" s="35">
        <f>IFERROR(VLOOKUP(C99,Productos!A4:E103,5,FALSE),0)</f>
        <v/>
      </c>
      <c r="G99" s="39" t="n"/>
      <c r="H99" s="40">
        <f>IFERROR(E99*F99*(1-G99),0)</f>
        <v/>
      </c>
      <c r="I99" s="31" t="n"/>
      <c r="J99" s="30" t="n"/>
    </row>
    <row r="100">
      <c r="A100" s="36" t="n"/>
      <c r="B100" s="37">
        <f>IF(A100="","",ROW()-3)</f>
        <v/>
      </c>
      <c r="C100" s="31" t="n"/>
      <c r="D100" s="38">
        <f>IFERROR(VLOOKUP(C100,Productos!A4:B103,2,FALSE),"")</f>
        <v/>
      </c>
      <c r="E100" s="9" t="n"/>
      <c r="F100" s="35">
        <f>IFERROR(VLOOKUP(C100,Productos!A4:E103,5,FALSE),0)</f>
        <v/>
      </c>
      <c r="G100" s="39" t="n"/>
      <c r="H100" s="40">
        <f>IFERROR(E100*F100*(1-G100),0)</f>
        <v/>
      </c>
      <c r="I100" s="31" t="n"/>
      <c r="J100" s="30" t="n"/>
    </row>
    <row r="101">
      <c r="A101" s="36" t="n"/>
      <c r="B101" s="37">
        <f>IF(A101="","",ROW()-3)</f>
        <v/>
      </c>
      <c r="C101" s="31" t="n"/>
      <c r="D101" s="38">
        <f>IFERROR(VLOOKUP(C101,Productos!A4:B103,2,FALSE),"")</f>
        <v/>
      </c>
      <c r="E101" s="9" t="n"/>
      <c r="F101" s="35">
        <f>IFERROR(VLOOKUP(C101,Productos!A4:E103,5,FALSE),0)</f>
        <v/>
      </c>
      <c r="G101" s="39" t="n"/>
      <c r="H101" s="40">
        <f>IFERROR(E101*F101*(1-G101),0)</f>
        <v/>
      </c>
      <c r="I101" s="31" t="n"/>
      <c r="J101" s="30" t="n"/>
    </row>
    <row r="102">
      <c r="A102" s="36" t="n"/>
      <c r="B102" s="37">
        <f>IF(A102="","",ROW()-3)</f>
        <v/>
      </c>
      <c r="C102" s="31" t="n"/>
      <c r="D102" s="38">
        <f>IFERROR(VLOOKUP(C102,Productos!A4:B103,2,FALSE),"")</f>
        <v/>
      </c>
      <c r="E102" s="9" t="n"/>
      <c r="F102" s="35">
        <f>IFERROR(VLOOKUP(C102,Productos!A4:E103,5,FALSE),0)</f>
        <v/>
      </c>
      <c r="G102" s="39" t="n"/>
      <c r="H102" s="40">
        <f>IFERROR(E102*F102*(1-G102),0)</f>
        <v/>
      </c>
      <c r="I102" s="31" t="n"/>
      <c r="J102" s="30" t="n"/>
    </row>
    <row r="103">
      <c r="A103" s="36" t="n"/>
      <c r="B103" s="37">
        <f>IF(A103="","",ROW()-3)</f>
        <v/>
      </c>
      <c r="C103" s="31" t="n"/>
      <c r="D103" s="38">
        <f>IFERROR(VLOOKUP(C103,Productos!A4:B103,2,FALSE),"")</f>
        <v/>
      </c>
      <c r="E103" s="9" t="n"/>
      <c r="F103" s="35">
        <f>IFERROR(VLOOKUP(C103,Productos!A4:E103,5,FALSE),0)</f>
        <v/>
      </c>
      <c r="G103" s="39" t="n"/>
      <c r="H103" s="40">
        <f>IFERROR(E103*F103*(1-G103),0)</f>
        <v/>
      </c>
      <c r="I103" s="31" t="n"/>
      <c r="J103" s="30" t="n"/>
    </row>
    <row r="104">
      <c r="A104" s="36" t="n"/>
      <c r="B104" s="37">
        <f>IF(A104="","",ROW()-3)</f>
        <v/>
      </c>
      <c r="C104" s="31" t="n"/>
      <c r="D104" s="38">
        <f>IFERROR(VLOOKUP(C104,Productos!A4:B103,2,FALSE),"")</f>
        <v/>
      </c>
      <c r="E104" s="9" t="n"/>
      <c r="F104" s="35">
        <f>IFERROR(VLOOKUP(C104,Productos!A4:E103,5,FALSE),0)</f>
        <v/>
      </c>
      <c r="G104" s="39" t="n"/>
      <c r="H104" s="40">
        <f>IFERROR(E104*F104*(1-G104),0)</f>
        <v/>
      </c>
      <c r="I104" s="31" t="n"/>
      <c r="J104" s="30" t="n"/>
    </row>
    <row r="105">
      <c r="A105" s="36" t="n"/>
      <c r="B105" s="37">
        <f>IF(A105="","",ROW()-3)</f>
        <v/>
      </c>
      <c r="C105" s="31" t="n"/>
      <c r="D105" s="38">
        <f>IFERROR(VLOOKUP(C105,Productos!A4:B103,2,FALSE),"")</f>
        <v/>
      </c>
      <c r="E105" s="9" t="n"/>
      <c r="F105" s="35">
        <f>IFERROR(VLOOKUP(C105,Productos!A4:E103,5,FALSE),0)</f>
        <v/>
      </c>
      <c r="G105" s="39" t="n"/>
      <c r="H105" s="40">
        <f>IFERROR(E105*F105*(1-G105),0)</f>
        <v/>
      </c>
      <c r="I105" s="31" t="n"/>
      <c r="J105" s="30" t="n"/>
    </row>
    <row r="106">
      <c r="A106" s="36" t="n"/>
      <c r="B106" s="37">
        <f>IF(A106="","",ROW()-3)</f>
        <v/>
      </c>
      <c r="C106" s="31" t="n"/>
      <c r="D106" s="38">
        <f>IFERROR(VLOOKUP(C106,Productos!A4:B103,2,FALSE),"")</f>
        <v/>
      </c>
      <c r="E106" s="9" t="n"/>
      <c r="F106" s="35">
        <f>IFERROR(VLOOKUP(C106,Productos!A4:E103,5,FALSE),0)</f>
        <v/>
      </c>
      <c r="G106" s="39" t="n"/>
      <c r="H106" s="40">
        <f>IFERROR(E106*F106*(1-G106),0)</f>
        <v/>
      </c>
      <c r="I106" s="31" t="n"/>
      <c r="J106" s="30" t="n"/>
    </row>
    <row r="107">
      <c r="A107" s="36" t="n"/>
      <c r="B107" s="37">
        <f>IF(A107="","",ROW()-3)</f>
        <v/>
      </c>
      <c r="C107" s="31" t="n"/>
      <c r="D107" s="38">
        <f>IFERROR(VLOOKUP(C107,Productos!A4:B103,2,FALSE),"")</f>
        <v/>
      </c>
      <c r="E107" s="9" t="n"/>
      <c r="F107" s="35">
        <f>IFERROR(VLOOKUP(C107,Productos!A4:E103,5,FALSE),0)</f>
        <v/>
      </c>
      <c r="G107" s="39" t="n"/>
      <c r="H107" s="40">
        <f>IFERROR(E107*F107*(1-G107),0)</f>
        <v/>
      </c>
      <c r="I107" s="31" t="n"/>
      <c r="J107" s="30" t="n"/>
    </row>
    <row r="108">
      <c r="A108" s="36" t="n"/>
      <c r="B108" s="37">
        <f>IF(A108="","",ROW()-3)</f>
        <v/>
      </c>
      <c r="C108" s="31" t="n"/>
      <c r="D108" s="38">
        <f>IFERROR(VLOOKUP(C108,Productos!A4:B103,2,FALSE),"")</f>
        <v/>
      </c>
      <c r="E108" s="9" t="n"/>
      <c r="F108" s="35">
        <f>IFERROR(VLOOKUP(C108,Productos!A4:E103,5,FALSE),0)</f>
        <v/>
      </c>
      <c r="G108" s="39" t="n"/>
      <c r="H108" s="40">
        <f>IFERROR(E108*F108*(1-G108),0)</f>
        <v/>
      </c>
      <c r="I108" s="31" t="n"/>
      <c r="J108" s="30" t="n"/>
    </row>
    <row r="109">
      <c r="A109" s="36" t="n"/>
      <c r="B109" s="37">
        <f>IF(A109="","",ROW()-3)</f>
        <v/>
      </c>
      <c r="C109" s="31" t="n"/>
      <c r="D109" s="38">
        <f>IFERROR(VLOOKUP(C109,Productos!A4:B103,2,FALSE),"")</f>
        <v/>
      </c>
      <c r="E109" s="9" t="n"/>
      <c r="F109" s="35">
        <f>IFERROR(VLOOKUP(C109,Productos!A4:E103,5,FALSE),0)</f>
        <v/>
      </c>
      <c r="G109" s="39" t="n"/>
      <c r="H109" s="40">
        <f>IFERROR(E109*F109*(1-G109),0)</f>
        <v/>
      </c>
      <c r="I109" s="31" t="n"/>
      <c r="J109" s="30" t="n"/>
    </row>
    <row r="110">
      <c r="A110" s="36" t="n"/>
      <c r="B110" s="37">
        <f>IF(A110="","",ROW()-3)</f>
        <v/>
      </c>
      <c r="C110" s="31" t="n"/>
      <c r="D110" s="38">
        <f>IFERROR(VLOOKUP(C110,Productos!A4:B103,2,FALSE),"")</f>
        <v/>
      </c>
      <c r="E110" s="9" t="n"/>
      <c r="F110" s="35">
        <f>IFERROR(VLOOKUP(C110,Productos!A4:E103,5,FALSE),0)</f>
        <v/>
      </c>
      <c r="G110" s="39" t="n"/>
      <c r="H110" s="40">
        <f>IFERROR(E110*F110*(1-G110),0)</f>
        <v/>
      </c>
      <c r="I110" s="31" t="n"/>
      <c r="J110" s="30" t="n"/>
    </row>
    <row r="111">
      <c r="A111" s="36" t="n"/>
      <c r="B111" s="37">
        <f>IF(A111="","",ROW()-3)</f>
        <v/>
      </c>
      <c r="C111" s="31" t="n"/>
      <c r="D111" s="38">
        <f>IFERROR(VLOOKUP(C111,Productos!A4:B103,2,FALSE),"")</f>
        <v/>
      </c>
      <c r="E111" s="9" t="n"/>
      <c r="F111" s="35">
        <f>IFERROR(VLOOKUP(C111,Productos!A4:E103,5,FALSE),0)</f>
        <v/>
      </c>
      <c r="G111" s="39" t="n"/>
      <c r="H111" s="40">
        <f>IFERROR(E111*F111*(1-G111),0)</f>
        <v/>
      </c>
      <c r="I111" s="31" t="n"/>
      <c r="J111" s="30" t="n"/>
    </row>
    <row r="112">
      <c r="A112" s="36" t="n"/>
      <c r="B112" s="37">
        <f>IF(A112="","",ROW()-3)</f>
        <v/>
      </c>
      <c r="C112" s="31" t="n"/>
      <c r="D112" s="38">
        <f>IFERROR(VLOOKUP(C112,Productos!A4:B103,2,FALSE),"")</f>
        <v/>
      </c>
      <c r="E112" s="9" t="n"/>
      <c r="F112" s="35">
        <f>IFERROR(VLOOKUP(C112,Productos!A4:E103,5,FALSE),0)</f>
        <v/>
      </c>
      <c r="G112" s="39" t="n"/>
      <c r="H112" s="40">
        <f>IFERROR(E112*F112*(1-G112),0)</f>
        <v/>
      </c>
      <c r="I112" s="31" t="n"/>
      <c r="J112" s="30" t="n"/>
    </row>
    <row r="113">
      <c r="A113" s="36" t="n"/>
      <c r="B113" s="37">
        <f>IF(A113="","",ROW()-3)</f>
        <v/>
      </c>
      <c r="C113" s="31" t="n"/>
      <c r="D113" s="38">
        <f>IFERROR(VLOOKUP(C113,Productos!A4:B103,2,FALSE),"")</f>
        <v/>
      </c>
      <c r="E113" s="9" t="n"/>
      <c r="F113" s="35">
        <f>IFERROR(VLOOKUP(C113,Productos!A4:E103,5,FALSE),0)</f>
        <v/>
      </c>
      <c r="G113" s="39" t="n"/>
      <c r="H113" s="40">
        <f>IFERROR(E113*F113*(1-G113),0)</f>
        <v/>
      </c>
      <c r="I113" s="31" t="n"/>
      <c r="J113" s="30" t="n"/>
    </row>
    <row r="114">
      <c r="A114" s="36" t="n"/>
      <c r="B114" s="37">
        <f>IF(A114="","",ROW()-3)</f>
        <v/>
      </c>
      <c r="C114" s="31" t="n"/>
      <c r="D114" s="38">
        <f>IFERROR(VLOOKUP(C114,Productos!A4:B103,2,FALSE),"")</f>
        <v/>
      </c>
      <c r="E114" s="9" t="n"/>
      <c r="F114" s="35">
        <f>IFERROR(VLOOKUP(C114,Productos!A4:E103,5,FALSE),0)</f>
        <v/>
      </c>
      <c r="G114" s="39" t="n"/>
      <c r="H114" s="40">
        <f>IFERROR(E114*F114*(1-G114),0)</f>
        <v/>
      </c>
      <c r="I114" s="31" t="n"/>
      <c r="J114" s="30" t="n"/>
    </row>
    <row r="115">
      <c r="A115" s="36" t="n"/>
      <c r="B115" s="37">
        <f>IF(A115="","",ROW()-3)</f>
        <v/>
      </c>
      <c r="C115" s="31" t="n"/>
      <c r="D115" s="38">
        <f>IFERROR(VLOOKUP(C115,Productos!A4:B103,2,FALSE),"")</f>
        <v/>
      </c>
      <c r="E115" s="9" t="n"/>
      <c r="F115" s="35">
        <f>IFERROR(VLOOKUP(C115,Productos!A4:E103,5,FALSE),0)</f>
        <v/>
      </c>
      <c r="G115" s="39" t="n"/>
      <c r="H115" s="40">
        <f>IFERROR(E115*F115*(1-G115),0)</f>
        <v/>
      </c>
      <c r="I115" s="31" t="n"/>
      <c r="J115" s="30" t="n"/>
    </row>
    <row r="116">
      <c r="A116" s="36" t="n"/>
      <c r="B116" s="37">
        <f>IF(A116="","",ROW()-3)</f>
        <v/>
      </c>
      <c r="C116" s="31" t="n"/>
      <c r="D116" s="38">
        <f>IFERROR(VLOOKUP(C116,Productos!A4:B103,2,FALSE),"")</f>
        <v/>
      </c>
      <c r="E116" s="9" t="n"/>
      <c r="F116" s="35">
        <f>IFERROR(VLOOKUP(C116,Productos!A4:E103,5,FALSE),0)</f>
        <v/>
      </c>
      <c r="G116" s="39" t="n"/>
      <c r="H116" s="40">
        <f>IFERROR(E116*F116*(1-G116),0)</f>
        <v/>
      </c>
      <c r="I116" s="31" t="n"/>
      <c r="J116" s="30" t="n"/>
    </row>
    <row r="117">
      <c r="A117" s="36" t="n"/>
      <c r="B117" s="37">
        <f>IF(A117="","",ROW()-3)</f>
        <v/>
      </c>
      <c r="C117" s="31" t="n"/>
      <c r="D117" s="38">
        <f>IFERROR(VLOOKUP(C117,Productos!A4:B103,2,FALSE),"")</f>
        <v/>
      </c>
      <c r="E117" s="9" t="n"/>
      <c r="F117" s="35">
        <f>IFERROR(VLOOKUP(C117,Productos!A4:E103,5,FALSE),0)</f>
        <v/>
      </c>
      <c r="G117" s="39" t="n"/>
      <c r="H117" s="40">
        <f>IFERROR(E117*F117*(1-G117),0)</f>
        <v/>
      </c>
      <c r="I117" s="31" t="n"/>
      <c r="J117" s="30" t="n"/>
    </row>
    <row r="118">
      <c r="A118" s="36" t="n"/>
      <c r="B118" s="37">
        <f>IF(A118="","",ROW()-3)</f>
        <v/>
      </c>
      <c r="C118" s="31" t="n"/>
      <c r="D118" s="38">
        <f>IFERROR(VLOOKUP(C118,Productos!A4:B103,2,FALSE),"")</f>
        <v/>
      </c>
      <c r="E118" s="9" t="n"/>
      <c r="F118" s="35">
        <f>IFERROR(VLOOKUP(C118,Productos!A4:E103,5,FALSE),0)</f>
        <v/>
      </c>
      <c r="G118" s="39" t="n"/>
      <c r="H118" s="40">
        <f>IFERROR(E118*F118*(1-G118),0)</f>
        <v/>
      </c>
      <c r="I118" s="31" t="n"/>
      <c r="J118" s="30" t="n"/>
    </row>
    <row r="119">
      <c r="A119" s="36" t="n"/>
      <c r="B119" s="37">
        <f>IF(A119="","",ROW()-3)</f>
        <v/>
      </c>
      <c r="C119" s="31" t="n"/>
      <c r="D119" s="38">
        <f>IFERROR(VLOOKUP(C119,Productos!A4:B103,2,FALSE),"")</f>
        <v/>
      </c>
      <c r="E119" s="9" t="n"/>
      <c r="F119" s="35">
        <f>IFERROR(VLOOKUP(C119,Productos!A4:E103,5,FALSE),0)</f>
        <v/>
      </c>
      <c r="G119" s="39" t="n"/>
      <c r="H119" s="40">
        <f>IFERROR(E119*F119*(1-G119),0)</f>
        <v/>
      </c>
      <c r="I119" s="31" t="n"/>
      <c r="J119" s="30" t="n"/>
    </row>
    <row r="120">
      <c r="A120" s="36" t="n"/>
      <c r="B120" s="37">
        <f>IF(A120="","",ROW()-3)</f>
        <v/>
      </c>
      <c r="C120" s="31" t="n"/>
      <c r="D120" s="38">
        <f>IFERROR(VLOOKUP(C120,Productos!A4:B103,2,FALSE),"")</f>
        <v/>
      </c>
      <c r="E120" s="9" t="n"/>
      <c r="F120" s="35">
        <f>IFERROR(VLOOKUP(C120,Productos!A4:E103,5,FALSE),0)</f>
        <v/>
      </c>
      <c r="G120" s="39" t="n"/>
      <c r="H120" s="40">
        <f>IFERROR(E120*F120*(1-G120),0)</f>
        <v/>
      </c>
      <c r="I120" s="31" t="n"/>
      <c r="J120" s="30" t="n"/>
    </row>
    <row r="121">
      <c r="A121" s="36" t="n"/>
      <c r="B121" s="37">
        <f>IF(A121="","",ROW()-3)</f>
        <v/>
      </c>
      <c r="C121" s="31" t="n"/>
      <c r="D121" s="38">
        <f>IFERROR(VLOOKUP(C121,Productos!A4:B103,2,FALSE),"")</f>
        <v/>
      </c>
      <c r="E121" s="9" t="n"/>
      <c r="F121" s="35">
        <f>IFERROR(VLOOKUP(C121,Productos!A4:E103,5,FALSE),0)</f>
        <v/>
      </c>
      <c r="G121" s="39" t="n"/>
      <c r="H121" s="40">
        <f>IFERROR(E121*F121*(1-G121),0)</f>
        <v/>
      </c>
      <c r="I121" s="31" t="n"/>
      <c r="J121" s="30" t="n"/>
    </row>
    <row r="122">
      <c r="A122" s="36" t="n"/>
      <c r="B122" s="37">
        <f>IF(A122="","",ROW()-3)</f>
        <v/>
      </c>
      <c r="C122" s="31" t="n"/>
      <c r="D122" s="38">
        <f>IFERROR(VLOOKUP(C122,Productos!A4:B103,2,FALSE),"")</f>
        <v/>
      </c>
      <c r="E122" s="9" t="n"/>
      <c r="F122" s="35">
        <f>IFERROR(VLOOKUP(C122,Productos!A4:E103,5,FALSE),0)</f>
        <v/>
      </c>
      <c r="G122" s="39" t="n"/>
      <c r="H122" s="40">
        <f>IFERROR(E122*F122*(1-G122),0)</f>
        <v/>
      </c>
      <c r="I122" s="31" t="n"/>
      <c r="J122" s="30" t="n"/>
    </row>
    <row r="123">
      <c r="A123" s="36" t="n"/>
      <c r="B123" s="37">
        <f>IF(A123="","",ROW()-3)</f>
        <v/>
      </c>
      <c r="C123" s="31" t="n"/>
      <c r="D123" s="38">
        <f>IFERROR(VLOOKUP(C123,Productos!A4:B103,2,FALSE),"")</f>
        <v/>
      </c>
      <c r="E123" s="9" t="n"/>
      <c r="F123" s="35">
        <f>IFERROR(VLOOKUP(C123,Productos!A4:E103,5,FALSE),0)</f>
        <v/>
      </c>
      <c r="G123" s="39" t="n"/>
      <c r="H123" s="40">
        <f>IFERROR(E123*F123*(1-G123),0)</f>
        <v/>
      </c>
      <c r="I123" s="31" t="n"/>
      <c r="J123" s="30" t="n"/>
    </row>
    <row r="124">
      <c r="A124" s="36" t="n"/>
      <c r="B124" s="37">
        <f>IF(A124="","",ROW()-3)</f>
        <v/>
      </c>
      <c r="C124" s="31" t="n"/>
      <c r="D124" s="38">
        <f>IFERROR(VLOOKUP(C124,Productos!A4:B103,2,FALSE),"")</f>
        <v/>
      </c>
      <c r="E124" s="9" t="n"/>
      <c r="F124" s="35">
        <f>IFERROR(VLOOKUP(C124,Productos!A4:E103,5,FALSE),0)</f>
        <v/>
      </c>
      <c r="G124" s="39" t="n"/>
      <c r="H124" s="40">
        <f>IFERROR(E124*F124*(1-G124),0)</f>
        <v/>
      </c>
      <c r="I124" s="31" t="n"/>
      <c r="J124" s="30" t="n"/>
    </row>
    <row r="125">
      <c r="A125" s="36" t="n"/>
      <c r="B125" s="37">
        <f>IF(A125="","",ROW()-3)</f>
        <v/>
      </c>
      <c r="C125" s="31" t="n"/>
      <c r="D125" s="38">
        <f>IFERROR(VLOOKUP(C125,Productos!A4:B103,2,FALSE),"")</f>
        <v/>
      </c>
      <c r="E125" s="9" t="n"/>
      <c r="F125" s="35">
        <f>IFERROR(VLOOKUP(C125,Productos!A4:E103,5,FALSE),0)</f>
        <v/>
      </c>
      <c r="G125" s="39" t="n"/>
      <c r="H125" s="40">
        <f>IFERROR(E125*F125*(1-G125),0)</f>
        <v/>
      </c>
      <c r="I125" s="31" t="n"/>
      <c r="J125" s="30" t="n"/>
    </row>
    <row r="126">
      <c r="A126" s="36" t="n"/>
      <c r="B126" s="37">
        <f>IF(A126="","",ROW()-3)</f>
        <v/>
      </c>
      <c r="C126" s="31" t="n"/>
      <c r="D126" s="38">
        <f>IFERROR(VLOOKUP(C126,Productos!A4:B103,2,FALSE),"")</f>
        <v/>
      </c>
      <c r="E126" s="9" t="n"/>
      <c r="F126" s="35">
        <f>IFERROR(VLOOKUP(C126,Productos!A4:E103,5,FALSE),0)</f>
        <v/>
      </c>
      <c r="G126" s="39" t="n"/>
      <c r="H126" s="40">
        <f>IFERROR(E126*F126*(1-G126),0)</f>
        <v/>
      </c>
      <c r="I126" s="31" t="n"/>
      <c r="J126" s="30" t="n"/>
    </row>
    <row r="127">
      <c r="A127" s="36" t="n"/>
      <c r="B127" s="37">
        <f>IF(A127="","",ROW()-3)</f>
        <v/>
      </c>
      <c r="C127" s="31" t="n"/>
      <c r="D127" s="38">
        <f>IFERROR(VLOOKUP(C127,Productos!A4:B103,2,FALSE),"")</f>
        <v/>
      </c>
      <c r="E127" s="9" t="n"/>
      <c r="F127" s="35">
        <f>IFERROR(VLOOKUP(C127,Productos!A4:E103,5,FALSE),0)</f>
        <v/>
      </c>
      <c r="G127" s="39" t="n"/>
      <c r="H127" s="40">
        <f>IFERROR(E127*F127*(1-G127),0)</f>
        <v/>
      </c>
      <c r="I127" s="31" t="n"/>
      <c r="J127" s="30" t="n"/>
    </row>
    <row r="128">
      <c r="A128" s="36" t="n"/>
      <c r="B128" s="37">
        <f>IF(A128="","",ROW()-3)</f>
        <v/>
      </c>
      <c r="C128" s="31" t="n"/>
      <c r="D128" s="38">
        <f>IFERROR(VLOOKUP(C128,Productos!A4:B103,2,FALSE),"")</f>
        <v/>
      </c>
      <c r="E128" s="9" t="n"/>
      <c r="F128" s="35">
        <f>IFERROR(VLOOKUP(C128,Productos!A4:E103,5,FALSE),0)</f>
        <v/>
      </c>
      <c r="G128" s="39" t="n"/>
      <c r="H128" s="40">
        <f>IFERROR(E128*F128*(1-G128),0)</f>
        <v/>
      </c>
      <c r="I128" s="31" t="n"/>
      <c r="J128" s="30" t="n"/>
    </row>
    <row r="129">
      <c r="A129" s="36" t="n"/>
      <c r="B129" s="37">
        <f>IF(A129="","",ROW()-3)</f>
        <v/>
      </c>
      <c r="C129" s="31" t="n"/>
      <c r="D129" s="38">
        <f>IFERROR(VLOOKUP(C129,Productos!A4:B103,2,FALSE),"")</f>
        <v/>
      </c>
      <c r="E129" s="9" t="n"/>
      <c r="F129" s="35">
        <f>IFERROR(VLOOKUP(C129,Productos!A4:E103,5,FALSE),0)</f>
        <v/>
      </c>
      <c r="G129" s="39" t="n"/>
      <c r="H129" s="40">
        <f>IFERROR(E129*F129*(1-G129),0)</f>
        <v/>
      </c>
      <c r="I129" s="31" t="n"/>
      <c r="J129" s="30" t="n"/>
    </row>
    <row r="130">
      <c r="A130" s="36" t="n"/>
      <c r="B130" s="37">
        <f>IF(A130="","",ROW()-3)</f>
        <v/>
      </c>
      <c r="C130" s="31" t="n"/>
      <c r="D130" s="38">
        <f>IFERROR(VLOOKUP(C130,Productos!A4:B103,2,FALSE),"")</f>
        <v/>
      </c>
      <c r="E130" s="9" t="n"/>
      <c r="F130" s="35">
        <f>IFERROR(VLOOKUP(C130,Productos!A4:E103,5,FALSE),0)</f>
        <v/>
      </c>
      <c r="G130" s="39" t="n"/>
      <c r="H130" s="40">
        <f>IFERROR(E130*F130*(1-G130),0)</f>
        <v/>
      </c>
      <c r="I130" s="31" t="n"/>
      <c r="J130" s="30" t="n"/>
    </row>
    <row r="131">
      <c r="A131" s="36" t="n"/>
      <c r="B131" s="37">
        <f>IF(A131="","",ROW()-3)</f>
        <v/>
      </c>
      <c r="C131" s="31" t="n"/>
      <c r="D131" s="38">
        <f>IFERROR(VLOOKUP(C131,Productos!A4:B103,2,FALSE),"")</f>
        <v/>
      </c>
      <c r="E131" s="9" t="n"/>
      <c r="F131" s="35">
        <f>IFERROR(VLOOKUP(C131,Productos!A4:E103,5,FALSE),0)</f>
        <v/>
      </c>
      <c r="G131" s="39" t="n"/>
      <c r="H131" s="40">
        <f>IFERROR(E131*F131*(1-G131),0)</f>
        <v/>
      </c>
      <c r="I131" s="31" t="n"/>
      <c r="J131" s="30" t="n"/>
    </row>
    <row r="132">
      <c r="A132" s="36" t="n"/>
      <c r="B132" s="37">
        <f>IF(A132="","",ROW()-3)</f>
        <v/>
      </c>
      <c r="C132" s="31" t="n"/>
      <c r="D132" s="38">
        <f>IFERROR(VLOOKUP(C132,Productos!A4:B103,2,FALSE),"")</f>
        <v/>
      </c>
      <c r="E132" s="9" t="n"/>
      <c r="F132" s="35">
        <f>IFERROR(VLOOKUP(C132,Productos!A4:E103,5,FALSE),0)</f>
        <v/>
      </c>
      <c r="G132" s="39" t="n"/>
      <c r="H132" s="40">
        <f>IFERROR(E132*F132*(1-G132),0)</f>
        <v/>
      </c>
      <c r="I132" s="31" t="n"/>
      <c r="J132" s="30" t="n"/>
    </row>
    <row r="133">
      <c r="A133" s="36" t="n"/>
      <c r="B133" s="37">
        <f>IF(A133="","",ROW()-3)</f>
        <v/>
      </c>
      <c r="C133" s="31" t="n"/>
      <c r="D133" s="38">
        <f>IFERROR(VLOOKUP(C133,Productos!A4:B103,2,FALSE),"")</f>
        <v/>
      </c>
      <c r="E133" s="9" t="n"/>
      <c r="F133" s="35">
        <f>IFERROR(VLOOKUP(C133,Productos!A4:E103,5,FALSE),0)</f>
        <v/>
      </c>
      <c r="G133" s="39" t="n"/>
      <c r="H133" s="40">
        <f>IFERROR(E133*F133*(1-G133),0)</f>
        <v/>
      </c>
      <c r="I133" s="31" t="n"/>
      <c r="J133" s="30" t="n"/>
    </row>
    <row r="134">
      <c r="A134" s="36" t="n"/>
      <c r="B134" s="37">
        <f>IF(A134="","",ROW()-3)</f>
        <v/>
      </c>
      <c r="C134" s="31" t="n"/>
      <c r="D134" s="38">
        <f>IFERROR(VLOOKUP(C134,Productos!A4:B103,2,FALSE),"")</f>
        <v/>
      </c>
      <c r="E134" s="9" t="n"/>
      <c r="F134" s="35">
        <f>IFERROR(VLOOKUP(C134,Productos!A4:E103,5,FALSE),0)</f>
        <v/>
      </c>
      <c r="G134" s="39" t="n"/>
      <c r="H134" s="40">
        <f>IFERROR(E134*F134*(1-G134),0)</f>
        <v/>
      </c>
      <c r="I134" s="31" t="n"/>
      <c r="J134" s="30" t="n"/>
    </row>
    <row r="135">
      <c r="A135" s="36" t="n"/>
      <c r="B135" s="37">
        <f>IF(A135="","",ROW()-3)</f>
        <v/>
      </c>
      <c r="C135" s="31" t="n"/>
      <c r="D135" s="38">
        <f>IFERROR(VLOOKUP(C135,Productos!A4:B103,2,FALSE),"")</f>
        <v/>
      </c>
      <c r="E135" s="9" t="n"/>
      <c r="F135" s="35">
        <f>IFERROR(VLOOKUP(C135,Productos!A4:E103,5,FALSE),0)</f>
        <v/>
      </c>
      <c r="G135" s="39" t="n"/>
      <c r="H135" s="40">
        <f>IFERROR(E135*F135*(1-G135),0)</f>
        <v/>
      </c>
      <c r="I135" s="31" t="n"/>
      <c r="J135" s="30" t="n"/>
    </row>
    <row r="136">
      <c r="A136" s="36" t="n"/>
      <c r="B136" s="37">
        <f>IF(A136="","",ROW()-3)</f>
        <v/>
      </c>
      <c r="C136" s="31" t="n"/>
      <c r="D136" s="38">
        <f>IFERROR(VLOOKUP(C136,Productos!A4:B103,2,FALSE),"")</f>
        <v/>
      </c>
      <c r="E136" s="9" t="n"/>
      <c r="F136" s="35">
        <f>IFERROR(VLOOKUP(C136,Productos!A4:E103,5,FALSE),0)</f>
        <v/>
      </c>
      <c r="G136" s="39" t="n"/>
      <c r="H136" s="40">
        <f>IFERROR(E136*F136*(1-G136),0)</f>
        <v/>
      </c>
      <c r="I136" s="31" t="n"/>
      <c r="J136" s="30" t="n"/>
    </row>
    <row r="137">
      <c r="A137" s="36" t="n"/>
      <c r="B137" s="37">
        <f>IF(A137="","",ROW()-3)</f>
        <v/>
      </c>
      <c r="C137" s="31" t="n"/>
      <c r="D137" s="38">
        <f>IFERROR(VLOOKUP(C137,Productos!A4:B103,2,FALSE),"")</f>
        <v/>
      </c>
      <c r="E137" s="9" t="n"/>
      <c r="F137" s="35">
        <f>IFERROR(VLOOKUP(C137,Productos!A4:E103,5,FALSE),0)</f>
        <v/>
      </c>
      <c r="G137" s="39" t="n"/>
      <c r="H137" s="40">
        <f>IFERROR(E137*F137*(1-G137),0)</f>
        <v/>
      </c>
      <c r="I137" s="31" t="n"/>
      <c r="J137" s="30" t="n"/>
    </row>
    <row r="138">
      <c r="A138" s="36" t="n"/>
      <c r="B138" s="37">
        <f>IF(A138="","",ROW()-3)</f>
        <v/>
      </c>
      <c r="C138" s="31" t="n"/>
      <c r="D138" s="38">
        <f>IFERROR(VLOOKUP(C138,Productos!A4:B103,2,FALSE),"")</f>
        <v/>
      </c>
      <c r="E138" s="9" t="n"/>
      <c r="F138" s="35">
        <f>IFERROR(VLOOKUP(C138,Productos!A4:E103,5,FALSE),0)</f>
        <v/>
      </c>
      <c r="G138" s="39" t="n"/>
      <c r="H138" s="40">
        <f>IFERROR(E138*F138*(1-G138),0)</f>
        <v/>
      </c>
      <c r="I138" s="31" t="n"/>
      <c r="J138" s="30" t="n"/>
    </row>
    <row r="139">
      <c r="A139" s="36" t="n"/>
      <c r="B139" s="37">
        <f>IF(A139="","",ROW()-3)</f>
        <v/>
      </c>
      <c r="C139" s="31" t="n"/>
      <c r="D139" s="38">
        <f>IFERROR(VLOOKUP(C139,Productos!A4:B103,2,FALSE),"")</f>
        <v/>
      </c>
      <c r="E139" s="9" t="n"/>
      <c r="F139" s="35">
        <f>IFERROR(VLOOKUP(C139,Productos!A4:E103,5,FALSE),0)</f>
        <v/>
      </c>
      <c r="G139" s="39" t="n"/>
      <c r="H139" s="40">
        <f>IFERROR(E139*F139*(1-G139),0)</f>
        <v/>
      </c>
      <c r="I139" s="31" t="n"/>
      <c r="J139" s="30" t="n"/>
    </row>
    <row r="140">
      <c r="A140" s="36" t="n"/>
      <c r="B140" s="37">
        <f>IF(A140="","",ROW()-3)</f>
        <v/>
      </c>
      <c r="C140" s="31" t="n"/>
      <c r="D140" s="38">
        <f>IFERROR(VLOOKUP(C140,Productos!A4:B103,2,FALSE),"")</f>
        <v/>
      </c>
      <c r="E140" s="9" t="n"/>
      <c r="F140" s="35">
        <f>IFERROR(VLOOKUP(C140,Productos!A4:E103,5,FALSE),0)</f>
        <v/>
      </c>
      <c r="G140" s="39" t="n"/>
      <c r="H140" s="40">
        <f>IFERROR(E140*F140*(1-G140),0)</f>
        <v/>
      </c>
      <c r="I140" s="31" t="n"/>
      <c r="J140" s="30" t="n"/>
    </row>
    <row r="141">
      <c r="A141" s="36" t="n"/>
      <c r="B141" s="37">
        <f>IF(A141="","",ROW()-3)</f>
        <v/>
      </c>
      <c r="C141" s="31" t="n"/>
      <c r="D141" s="38">
        <f>IFERROR(VLOOKUP(C141,Productos!A4:B103,2,FALSE),"")</f>
        <v/>
      </c>
      <c r="E141" s="9" t="n"/>
      <c r="F141" s="35">
        <f>IFERROR(VLOOKUP(C141,Productos!A4:E103,5,FALSE),0)</f>
        <v/>
      </c>
      <c r="G141" s="39" t="n"/>
      <c r="H141" s="40">
        <f>IFERROR(E141*F141*(1-G141),0)</f>
        <v/>
      </c>
      <c r="I141" s="31" t="n"/>
      <c r="J141" s="30" t="n"/>
    </row>
    <row r="142">
      <c r="A142" s="36" t="n"/>
      <c r="B142" s="37">
        <f>IF(A142="","",ROW()-3)</f>
        <v/>
      </c>
      <c r="C142" s="31" t="n"/>
      <c r="D142" s="38">
        <f>IFERROR(VLOOKUP(C142,Productos!A4:B103,2,FALSE),"")</f>
        <v/>
      </c>
      <c r="E142" s="9" t="n"/>
      <c r="F142" s="35">
        <f>IFERROR(VLOOKUP(C142,Productos!A4:E103,5,FALSE),0)</f>
        <v/>
      </c>
      <c r="G142" s="39" t="n"/>
      <c r="H142" s="40">
        <f>IFERROR(E142*F142*(1-G142),0)</f>
        <v/>
      </c>
      <c r="I142" s="31" t="n"/>
      <c r="J142" s="30" t="n"/>
    </row>
    <row r="143">
      <c r="A143" s="36" t="n"/>
      <c r="B143" s="37">
        <f>IF(A143="","",ROW()-3)</f>
        <v/>
      </c>
      <c r="C143" s="31" t="n"/>
      <c r="D143" s="38">
        <f>IFERROR(VLOOKUP(C143,Productos!A4:B103,2,FALSE),"")</f>
        <v/>
      </c>
      <c r="E143" s="9" t="n"/>
      <c r="F143" s="35">
        <f>IFERROR(VLOOKUP(C143,Productos!A4:E103,5,FALSE),0)</f>
        <v/>
      </c>
      <c r="G143" s="39" t="n"/>
      <c r="H143" s="40">
        <f>IFERROR(E143*F143*(1-G143),0)</f>
        <v/>
      </c>
      <c r="I143" s="31" t="n"/>
      <c r="J143" s="30" t="n"/>
    </row>
    <row r="144">
      <c r="A144" s="36" t="n"/>
      <c r="B144" s="37">
        <f>IF(A144="","",ROW()-3)</f>
        <v/>
      </c>
      <c r="C144" s="31" t="n"/>
      <c r="D144" s="38">
        <f>IFERROR(VLOOKUP(C144,Productos!A4:B103,2,FALSE),"")</f>
        <v/>
      </c>
      <c r="E144" s="9" t="n"/>
      <c r="F144" s="35">
        <f>IFERROR(VLOOKUP(C144,Productos!A4:E103,5,FALSE),0)</f>
        <v/>
      </c>
      <c r="G144" s="39" t="n"/>
      <c r="H144" s="40">
        <f>IFERROR(E144*F144*(1-G144),0)</f>
        <v/>
      </c>
      <c r="I144" s="31" t="n"/>
      <c r="J144" s="30" t="n"/>
    </row>
    <row r="145">
      <c r="A145" s="36" t="n"/>
      <c r="B145" s="37">
        <f>IF(A145="","",ROW()-3)</f>
        <v/>
      </c>
      <c r="C145" s="31" t="n"/>
      <c r="D145" s="38">
        <f>IFERROR(VLOOKUP(C145,Productos!A4:B103,2,FALSE),"")</f>
        <v/>
      </c>
      <c r="E145" s="9" t="n"/>
      <c r="F145" s="35">
        <f>IFERROR(VLOOKUP(C145,Productos!A4:E103,5,FALSE),0)</f>
        <v/>
      </c>
      <c r="G145" s="39" t="n"/>
      <c r="H145" s="40">
        <f>IFERROR(E145*F145*(1-G145),0)</f>
        <v/>
      </c>
      <c r="I145" s="31" t="n"/>
      <c r="J145" s="30" t="n"/>
    </row>
    <row r="146">
      <c r="A146" s="36" t="n"/>
      <c r="B146" s="37">
        <f>IF(A146="","",ROW()-3)</f>
        <v/>
      </c>
      <c r="C146" s="31" t="n"/>
      <c r="D146" s="38">
        <f>IFERROR(VLOOKUP(C146,Productos!A4:B103,2,FALSE),"")</f>
        <v/>
      </c>
      <c r="E146" s="9" t="n"/>
      <c r="F146" s="35">
        <f>IFERROR(VLOOKUP(C146,Productos!A4:E103,5,FALSE),0)</f>
        <v/>
      </c>
      <c r="G146" s="39" t="n"/>
      <c r="H146" s="40">
        <f>IFERROR(E146*F146*(1-G146),0)</f>
        <v/>
      </c>
      <c r="I146" s="31" t="n"/>
      <c r="J146" s="30" t="n"/>
    </row>
    <row r="147">
      <c r="A147" s="36" t="n"/>
      <c r="B147" s="37">
        <f>IF(A147="","",ROW()-3)</f>
        <v/>
      </c>
      <c r="C147" s="31" t="n"/>
      <c r="D147" s="38">
        <f>IFERROR(VLOOKUP(C147,Productos!A4:B103,2,FALSE),"")</f>
        <v/>
      </c>
      <c r="E147" s="9" t="n"/>
      <c r="F147" s="35">
        <f>IFERROR(VLOOKUP(C147,Productos!A4:E103,5,FALSE),0)</f>
        <v/>
      </c>
      <c r="G147" s="39" t="n"/>
      <c r="H147" s="40">
        <f>IFERROR(E147*F147*(1-G147),0)</f>
        <v/>
      </c>
      <c r="I147" s="31" t="n"/>
      <c r="J147" s="30" t="n"/>
    </row>
    <row r="148">
      <c r="A148" s="36" t="n"/>
      <c r="B148" s="37">
        <f>IF(A148="","",ROW()-3)</f>
        <v/>
      </c>
      <c r="C148" s="31" t="n"/>
      <c r="D148" s="38">
        <f>IFERROR(VLOOKUP(C148,Productos!A4:B103,2,FALSE),"")</f>
        <v/>
      </c>
      <c r="E148" s="9" t="n"/>
      <c r="F148" s="35">
        <f>IFERROR(VLOOKUP(C148,Productos!A4:E103,5,FALSE),0)</f>
        <v/>
      </c>
      <c r="G148" s="39" t="n"/>
      <c r="H148" s="40">
        <f>IFERROR(E148*F148*(1-G148),0)</f>
        <v/>
      </c>
      <c r="I148" s="31" t="n"/>
      <c r="J148" s="30" t="n"/>
    </row>
    <row r="149">
      <c r="A149" s="36" t="n"/>
      <c r="B149" s="37">
        <f>IF(A149="","",ROW()-3)</f>
        <v/>
      </c>
      <c r="C149" s="31" t="n"/>
      <c r="D149" s="38">
        <f>IFERROR(VLOOKUP(C149,Productos!A4:B103,2,FALSE),"")</f>
        <v/>
      </c>
      <c r="E149" s="9" t="n"/>
      <c r="F149" s="35">
        <f>IFERROR(VLOOKUP(C149,Productos!A4:E103,5,FALSE),0)</f>
        <v/>
      </c>
      <c r="G149" s="39" t="n"/>
      <c r="H149" s="40">
        <f>IFERROR(E149*F149*(1-G149),0)</f>
        <v/>
      </c>
      <c r="I149" s="31" t="n"/>
      <c r="J149" s="30" t="n"/>
    </row>
    <row r="150">
      <c r="A150" s="36" t="n"/>
      <c r="B150" s="37">
        <f>IF(A150="","",ROW()-3)</f>
        <v/>
      </c>
      <c r="C150" s="31" t="n"/>
      <c r="D150" s="38">
        <f>IFERROR(VLOOKUP(C150,Productos!A4:B103,2,FALSE),"")</f>
        <v/>
      </c>
      <c r="E150" s="9" t="n"/>
      <c r="F150" s="35">
        <f>IFERROR(VLOOKUP(C150,Productos!A4:E103,5,FALSE),0)</f>
        <v/>
      </c>
      <c r="G150" s="39" t="n"/>
      <c r="H150" s="40">
        <f>IFERROR(E150*F150*(1-G150),0)</f>
        <v/>
      </c>
      <c r="I150" s="31" t="n"/>
      <c r="J150" s="30" t="n"/>
    </row>
    <row r="151">
      <c r="A151" s="36" t="n"/>
      <c r="B151" s="37">
        <f>IF(A151="","",ROW()-3)</f>
        <v/>
      </c>
      <c r="C151" s="31" t="n"/>
      <c r="D151" s="38">
        <f>IFERROR(VLOOKUP(C151,Productos!A4:B103,2,FALSE),"")</f>
        <v/>
      </c>
      <c r="E151" s="9" t="n"/>
      <c r="F151" s="35">
        <f>IFERROR(VLOOKUP(C151,Productos!A4:E103,5,FALSE),0)</f>
        <v/>
      </c>
      <c r="G151" s="39" t="n"/>
      <c r="H151" s="40">
        <f>IFERROR(E151*F151*(1-G151),0)</f>
        <v/>
      </c>
      <c r="I151" s="31" t="n"/>
      <c r="J151" s="30" t="n"/>
    </row>
    <row r="152">
      <c r="A152" s="36" t="n"/>
      <c r="B152" s="37">
        <f>IF(A152="","",ROW()-3)</f>
        <v/>
      </c>
      <c r="C152" s="31" t="n"/>
      <c r="D152" s="38">
        <f>IFERROR(VLOOKUP(C152,Productos!A4:B103,2,FALSE),"")</f>
        <v/>
      </c>
      <c r="E152" s="9" t="n"/>
      <c r="F152" s="35">
        <f>IFERROR(VLOOKUP(C152,Productos!A4:E103,5,FALSE),0)</f>
        <v/>
      </c>
      <c r="G152" s="39" t="n"/>
      <c r="H152" s="40">
        <f>IFERROR(E152*F152*(1-G152),0)</f>
        <v/>
      </c>
      <c r="I152" s="31" t="n"/>
      <c r="J152" s="30" t="n"/>
    </row>
    <row r="153">
      <c r="A153" s="36" t="n"/>
      <c r="B153" s="37">
        <f>IF(A153="","",ROW()-3)</f>
        <v/>
      </c>
      <c r="C153" s="31" t="n"/>
      <c r="D153" s="38">
        <f>IFERROR(VLOOKUP(C153,Productos!A4:B103,2,FALSE),"")</f>
        <v/>
      </c>
      <c r="E153" s="9" t="n"/>
      <c r="F153" s="35">
        <f>IFERROR(VLOOKUP(C153,Productos!A4:E103,5,FALSE),0)</f>
        <v/>
      </c>
      <c r="G153" s="39" t="n"/>
      <c r="H153" s="40">
        <f>IFERROR(E153*F153*(1-G153),0)</f>
        <v/>
      </c>
      <c r="I153" s="31" t="n"/>
      <c r="J153" s="30" t="n"/>
    </row>
    <row r="154">
      <c r="A154" s="36" t="n"/>
      <c r="B154" s="37">
        <f>IF(A154="","",ROW()-3)</f>
        <v/>
      </c>
      <c r="C154" s="31" t="n"/>
      <c r="D154" s="38">
        <f>IFERROR(VLOOKUP(C154,Productos!A4:B103,2,FALSE),"")</f>
        <v/>
      </c>
      <c r="E154" s="9" t="n"/>
      <c r="F154" s="35">
        <f>IFERROR(VLOOKUP(C154,Productos!A4:E103,5,FALSE),0)</f>
        <v/>
      </c>
      <c r="G154" s="39" t="n"/>
      <c r="H154" s="40">
        <f>IFERROR(E154*F154*(1-G154),0)</f>
        <v/>
      </c>
      <c r="I154" s="31" t="n"/>
      <c r="J154" s="30" t="n"/>
    </row>
    <row r="155">
      <c r="A155" s="36" t="n"/>
      <c r="B155" s="37">
        <f>IF(A155="","",ROW()-3)</f>
        <v/>
      </c>
      <c r="C155" s="31" t="n"/>
      <c r="D155" s="38">
        <f>IFERROR(VLOOKUP(C155,Productos!A4:B103,2,FALSE),"")</f>
        <v/>
      </c>
      <c r="E155" s="9" t="n"/>
      <c r="F155" s="35">
        <f>IFERROR(VLOOKUP(C155,Productos!A4:E103,5,FALSE),0)</f>
        <v/>
      </c>
      <c r="G155" s="39" t="n"/>
      <c r="H155" s="40">
        <f>IFERROR(E155*F155*(1-G155),0)</f>
        <v/>
      </c>
      <c r="I155" s="31" t="n"/>
      <c r="J155" s="30" t="n"/>
    </row>
    <row r="156">
      <c r="A156" s="36" t="n"/>
      <c r="B156" s="37">
        <f>IF(A156="","",ROW()-3)</f>
        <v/>
      </c>
      <c r="C156" s="31" t="n"/>
      <c r="D156" s="38">
        <f>IFERROR(VLOOKUP(C156,Productos!A4:B103,2,FALSE),"")</f>
        <v/>
      </c>
      <c r="E156" s="9" t="n"/>
      <c r="F156" s="35">
        <f>IFERROR(VLOOKUP(C156,Productos!A4:E103,5,FALSE),0)</f>
        <v/>
      </c>
      <c r="G156" s="39" t="n"/>
      <c r="H156" s="40">
        <f>IFERROR(E156*F156*(1-G156),0)</f>
        <v/>
      </c>
      <c r="I156" s="31" t="n"/>
      <c r="J156" s="30" t="n"/>
    </row>
    <row r="157">
      <c r="A157" s="36" t="n"/>
      <c r="B157" s="37">
        <f>IF(A157="","",ROW()-3)</f>
        <v/>
      </c>
      <c r="C157" s="31" t="n"/>
      <c r="D157" s="38">
        <f>IFERROR(VLOOKUP(C157,Productos!A4:B103,2,FALSE),"")</f>
        <v/>
      </c>
      <c r="E157" s="9" t="n"/>
      <c r="F157" s="35">
        <f>IFERROR(VLOOKUP(C157,Productos!A4:E103,5,FALSE),0)</f>
        <v/>
      </c>
      <c r="G157" s="39" t="n"/>
      <c r="H157" s="40">
        <f>IFERROR(E157*F157*(1-G157),0)</f>
        <v/>
      </c>
      <c r="I157" s="31" t="n"/>
      <c r="J157" s="30" t="n"/>
    </row>
    <row r="158">
      <c r="A158" s="36" t="n"/>
      <c r="B158" s="37">
        <f>IF(A158="","",ROW()-3)</f>
        <v/>
      </c>
      <c r="C158" s="31" t="n"/>
      <c r="D158" s="38">
        <f>IFERROR(VLOOKUP(C158,Productos!A4:B103,2,FALSE),"")</f>
        <v/>
      </c>
      <c r="E158" s="9" t="n"/>
      <c r="F158" s="35">
        <f>IFERROR(VLOOKUP(C158,Productos!A4:E103,5,FALSE),0)</f>
        <v/>
      </c>
      <c r="G158" s="39" t="n"/>
      <c r="H158" s="40">
        <f>IFERROR(E158*F158*(1-G158),0)</f>
        <v/>
      </c>
      <c r="I158" s="31" t="n"/>
      <c r="J158" s="30" t="n"/>
    </row>
    <row r="159">
      <c r="A159" s="36" t="n"/>
      <c r="B159" s="37">
        <f>IF(A159="","",ROW()-3)</f>
        <v/>
      </c>
      <c r="C159" s="31" t="n"/>
      <c r="D159" s="38">
        <f>IFERROR(VLOOKUP(C159,Productos!A4:B103,2,FALSE),"")</f>
        <v/>
      </c>
      <c r="E159" s="9" t="n"/>
      <c r="F159" s="35">
        <f>IFERROR(VLOOKUP(C159,Productos!A4:E103,5,FALSE),0)</f>
        <v/>
      </c>
      <c r="G159" s="39" t="n"/>
      <c r="H159" s="40">
        <f>IFERROR(E159*F159*(1-G159),0)</f>
        <v/>
      </c>
      <c r="I159" s="31" t="n"/>
      <c r="J159" s="30" t="n"/>
    </row>
    <row r="160">
      <c r="A160" s="36" t="n"/>
      <c r="B160" s="37">
        <f>IF(A160="","",ROW()-3)</f>
        <v/>
      </c>
      <c r="C160" s="31" t="n"/>
      <c r="D160" s="38">
        <f>IFERROR(VLOOKUP(C160,Productos!A4:B103,2,FALSE),"")</f>
        <v/>
      </c>
      <c r="E160" s="9" t="n"/>
      <c r="F160" s="35">
        <f>IFERROR(VLOOKUP(C160,Productos!A4:E103,5,FALSE),0)</f>
        <v/>
      </c>
      <c r="G160" s="39" t="n"/>
      <c r="H160" s="40">
        <f>IFERROR(E160*F160*(1-G160),0)</f>
        <v/>
      </c>
      <c r="I160" s="31" t="n"/>
      <c r="J160" s="30" t="n"/>
    </row>
    <row r="161">
      <c r="A161" s="36" t="n"/>
      <c r="B161" s="37">
        <f>IF(A161="","",ROW()-3)</f>
        <v/>
      </c>
      <c r="C161" s="31" t="n"/>
      <c r="D161" s="38">
        <f>IFERROR(VLOOKUP(C161,Productos!A4:B103,2,FALSE),"")</f>
        <v/>
      </c>
      <c r="E161" s="9" t="n"/>
      <c r="F161" s="35">
        <f>IFERROR(VLOOKUP(C161,Productos!A4:E103,5,FALSE),0)</f>
        <v/>
      </c>
      <c r="G161" s="39" t="n"/>
      <c r="H161" s="40">
        <f>IFERROR(E161*F161*(1-G161),0)</f>
        <v/>
      </c>
      <c r="I161" s="31" t="n"/>
      <c r="J161" s="30" t="n"/>
    </row>
    <row r="162">
      <c r="A162" s="36" t="n"/>
      <c r="B162" s="37">
        <f>IF(A162="","",ROW()-3)</f>
        <v/>
      </c>
      <c r="C162" s="31" t="n"/>
      <c r="D162" s="38">
        <f>IFERROR(VLOOKUP(C162,Productos!A4:B103,2,FALSE),"")</f>
        <v/>
      </c>
      <c r="E162" s="9" t="n"/>
      <c r="F162" s="35">
        <f>IFERROR(VLOOKUP(C162,Productos!A4:E103,5,FALSE),0)</f>
        <v/>
      </c>
      <c r="G162" s="39" t="n"/>
      <c r="H162" s="40">
        <f>IFERROR(E162*F162*(1-G162),0)</f>
        <v/>
      </c>
      <c r="I162" s="31" t="n"/>
      <c r="J162" s="30" t="n"/>
    </row>
    <row r="163">
      <c r="A163" s="36" t="n"/>
      <c r="B163" s="37">
        <f>IF(A163="","",ROW()-3)</f>
        <v/>
      </c>
      <c r="C163" s="31" t="n"/>
      <c r="D163" s="38">
        <f>IFERROR(VLOOKUP(C163,Productos!A4:B103,2,FALSE),"")</f>
        <v/>
      </c>
      <c r="E163" s="9" t="n"/>
      <c r="F163" s="35">
        <f>IFERROR(VLOOKUP(C163,Productos!A4:E103,5,FALSE),0)</f>
        <v/>
      </c>
      <c r="G163" s="39" t="n"/>
      <c r="H163" s="40">
        <f>IFERROR(E163*F163*(1-G163),0)</f>
        <v/>
      </c>
      <c r="I163" s="31" t="n"/>
      <c r="J163" s="30" t="n"/>
    </row>
    <row r="164">
      <c r="A164" s="36" t="n"/>
      <c r="B164" s="37">
        <f>IF(A164="","",ROW()-3)</f>
        <v/>
      </c>
      <c r="C164" s="31" t="n"/>
      <c r="D164" s="38">
        <f>IFERROR(VLOOKUP(C164,Productos!A4:B103,2,FALSE),"")</f>
        <v/>
      </c>
      <c r="E164" s="9" t="n"/>
      <c r="F164" s="35">
        <f>IFERROR(VLOOKUP(C164,Productos!A4:E103,5,FALSE),0)</f>
        <v/>
      </c>
      <c r="G164" s="39" t="n"/>
      <c r="H164" s="40">
        <f>IFERROR(E164*F164*(1-G164),0)</f>
        <v/>
      </c>
      <c r="I164" s="31" t="n"/>
      <c r="J164" s="30" t="n"/>
    </row>
    <row r="165">
      <c r="A165" s="36" t="n"/>
      <c r="B165" s="37">
        <f>IF(A165="","",ROW()-3)</f>
        <v/>
      </c>
      <c r="C165" s="31" t="n"/>
      <c r="D165" s="38">
        <f>IFERROR(VLOOKUP(C165,Productos!A4:B103,2,FALSE),"")</f>
        <v/>
      </c>
      <c r="E165" s="9" t="n"/>
      <c r="F165" s="35">
        <f>IFERROR(VLOOKUP(C165,Productos!A4:E103,5,FALSE),0)</f>
        <v/>
      </c>
      <c r="G165" s="39" t="n"/>
      <c r="H165" s="40">
        <f>IFERROR(E165*F165*(1-G165),0)</f>
        <v/>
      </c>
      <c r="I165" s="31" t="n"/>
      <c r="J165" s="30" t="n"/>
    </row>
    <row r="166">
      <c r="A166" s="36" t="n"/>
      <c r="B166" s="37">
        <f>IF(A166="","",ROW()-3)</f>
        <v/>
      </c>
      <c r="C166" s="31" t="n"/>
      <c r="D166" s="38">
        <f>IFERROR(VLOOKUP(C166,Productos!A4:B103,2,FALSE),"")</f>
        <v/>
      </c>
      <c r="E166" s="9" t="n"/>
      <c r="F166" s="35">
        <f>IFERROR(VLOOKUP(C166,Productos!A4:E103,5,FALSE),0)</f>
        <v/>
      </c>
      <c r="G166" s="39" t="n"/>
      <c r="H166" s="40">
        <f>IFERROR(E166*F166*(1-G166),0)</f>
        <v/>
      </c>
      <c r="I166" s="31" t="n"/>
      <c r="J166" s="30" t="n"/>
    </row>
    <row r="167">
      <c r="A167" s="36" t="n"/>
      <c r="B167" s="37">
        <f>IF(A167="","",ROW()-3)</f>
        <v/>
      </c>
      <c r="C167" s="31" t="n"/>
      <c r="D167" s="38">
        <f>IFERROR(VLOOKUP(C167,Productos!A4:B103,2,FALSE),"")</f>
        <v/>
      </c>
      <c r="E167" s="9" t="n"/>
      <c r="F167" s="35">
        <f>IFERROR(VLOOKUP(C167,Productos!A4:E103,5,FALSE),0)</f>
        <v/>
      </c>
      <c r="G167" s="39" t="n"/>
      <c r="H167" s="40">
        <f>IFERROR(E167*F167*(1-G167),0)</f>
        <v/>
      </c>
      <c r="I167" s="31" t="n"/>
      <c r="J167" s="30" t="n"/>
    </row>
    <row r="168">
      <c r="A168" s="36" t="n"/>
      <c r="B168" s="37">
        <f>IF(A168="","",ROW()-3)</f>
        <v/>
      </c>
      <c r="C168" s="31" t="n"/>
      <c r="D168" s="38">
        <f>IFERROR(VLOOKUP(C168,Productos!A4:B103,2,FALSE),"")</f>
        <v/>
      </c>
      <c r="E168" s="9" t="n"/>
      <c r="F168" s="35">
        <f>IFERROR(VLOOKUP(C168,Productos!A4:E103,5,FALSE),0)</f>
        <v/>
      </c>
      <c r="G168" s="39" t="n"/>
      <c r="H168" s="40">
        <f>IFERROR(E168*F168*(1-G168),0)</f>
        <v/>
      </c>
      <c r="I168" s="31" t="n"/>
      <c r="J168" s="30" t="n"/>
    </row>
    <row r="169">
      <c r="A169" s="36" t="n"/>
      <c r="B169" s="37">
        <f>IF(A169="","",ROW()-3)</f>
        <v/>
      </c>
      <c r="C169" s="31" t="n"/>
      <c r="D169" s="38">
        <f>IFERROR(VLOOKUP(C169,Productos!A4:B103,2,FALSE),"")</f>
        <v/>
      </c>
      <c r="E169" s="9" t="n"/>
      <c r="F169" s="35">
        <f>IFERROR(VLOOKUP(C169,Productos!A4:E103,5,FALSE),0)</f>
        <v/>
      </c>
      <c r="G169" s="39" t="n"/>
      <c r="H169" s="40">
        <f>IFERROR(E169*F169*(1-G169),0)</f>
        <v/>
      </c>
      <c r="I169" s="31" t="n"/>
      <c r="J169" s="30" t="n"/>
    </row>
    <row r="170">
      <c r="A170" s="36" t="n"/>
      <c r="B170" s="37">
        <f>IF(A170="","",ROW()-3)</f>
        <v/>
      </c>
      <c r="C170" s="31" t="n"/>
      <c r="D170" s="38">
        <f>IFERROR(VLOOKUP(C170,Productos!A4:B103,2,FALSE),"")</f>
        <v/>
      </c>
      <c r="E170" s="9" t="n"/>
      <c r="F170" s="35">
        <f>IFERROR(VLOOKUP(C170,Productos!A4:E103,5,FALSE),0)</f>
        <v/>
      </c>
      <c r="G170" s="39" t="n"/>
      <c r="H170" s="40">
        <f>IFERROR(E170*F170*(1-G170),0)</f>
        <v/>
      </c>
      <c r="I170" s="31" t="n"/>
      <c r="J170" s="30" t="n"/>
    </row>
    <row r="171">
      <c r="A171" s="36" t="n"/>
      <c r="B171" s="37">
        <f>IF(A171="","",ROW()-3)</f>
        <v/>
      </c>
      <c r="C171" s="31" t="n"/>
      <c r="D171" s="38">
        <f>IFERROR(VLOOKUP(C171,Productos!A4:B103,2,FALSE),"")</f>
        <v/>
      </c>
      <c r="E171" s="9" t="n"/>
      <c r="F171" s="35">
        <f>IFERROR(VLOOKUP(C171,Productos!A4:E103,5,FALSE),0)</f>
        <v/>
      </c>
      <c r="G171" s="39" t="n"/>
      <c r="H171" s="40">
        <f>IFERROR(E171*F171*(1-G171),0)</f>
        <v/>
      </c>
      <c r="I171" s="31" t="n"/>
      <c r="J171" s="30" t="n"/>
    </row>
    <row r="172">
      <c r="A172" s="36" t="n"/>
      <c r="B172" s="37">
        <f>IF(A172="","",ROW()-3)</f>
        <v/>
      </c>
      <c r="C172" s="31" t="n"/>
      <c r="D172" s="38">
        <f>IFERROR(VLOOKUP(C172,Productos!A4:B103,2,FALSE),"")</f>
        <v/>
      </c>
      <c r="E172" s="9" t="n"/>
      <c r="F172" s="35">
        <f>IFERROR(VLOOKUP(C172,Productos!A4:E103,5,FALSE),0)</f>
        <v/>
      </c>
      <c r="G172" s="39" t="n"/>
      <c r="H172" s="40">
        <f>IFERROR(E172*F172*(1-G172),0)</f>
        <v/>
      </c>
      <c r="I172" s="31" t="n"/>
      <c r="J172" s="30" t="n"/>
    </row>
    <row r="173">
      <c r="A173" s="36" t="n"/>
      <c r="B173" s="37">
        <f>IF(A173="","",ROW()-3)</f>
        <v/>
      </c>
      <c r="C173" s="31" t="n"/>
      <c r="D173" s="38">
        <f>IFERROR(VLOOKUP(C173,Productos!A4:B103,2,FALSE),"")</f>
        <v/>
      </c>
      <c r="E173" s="9" t="n"/>
      <c r="F173" s="35">
        <f>IFERROR(VLOOKUP(C173,Productos!A4:E103,5,FALSE),0)</f>
        <v/>
      </c>
      <c r="G173" s="39" t="n"/>
      <c r="H173" s="40">
        <f>IFERROR(E173*F173*(1-G173),0)</f>
        <v/>
      </c>
      <c r="I173" s="31" t="n"/>
      <c r="J173" s="30" t="n"/>
    </row>
    <row r="174">
      <c r="A174" s="36" t="n"/>
      <c r="B174" s="37">
        <f>IF(A174="","",ROW()-3)</f>
        <v/>
      </c>
      <c r="C174" s="31" t="n"/>
      <c r="D174" s="38">
        <f>IFERROR(VLOOKUP(C174,Productos!A4:B103,2,FALSE),"")</f>
        <v/>
      </c>
      <c r="E174" s="9" t="n"/>
      <c r="F174" s="35">
        <f>IFERROR(VLOOKUP(C174,Productos!A4:E103,5,FALSE),0)</f>
        <v/>
      </c>
      <c r="G174" s="39" t="n"/>
      <c r="H174" s="40">
        <f>IFERROR(E174*F174*(1-G174),0)</f>
        <v/>
      </c>
      <c r="I174" s="31" t="n"/>
      <c r="J174" s="30" t="n"/>
    </row>
    <row r="175">
      <c r="A175" s="36" t="n"/>
      <c r="B175" s="37">
        <f>IF(A175="","",ROW()-3)</f>
        <v/>
      </c>
      <c r="C175" s="31" t="n"/>
      <c r="D175" s="38">
        <f>IFERROR(VLOOKUP(C175,Productos!A4:B103,2,FALSE),"")</f>
        <v/>
      </c>
      <c r="E175" s="9" t="n"/>
      <c r="F175" s="35">
        <f>IFERROR(VLOOKUP(C175,Productos!A4:E103,5,FALSE),0)</f>
        <v/>
      </c>
      <c r="G175" s="39" t="n"/>
      <c r="H175" s="40">
        <f>IFERROR(E175*F175*(1-G175),0)</f>
        <v/>
      </c>
      <c r="I175" s="31" t="n"/>
      <c r="J175" s="30" t="n"/>
    </row>
    <row r="176">
      <c r="A176" s="36" t="n"/>
      <c r="B176" s="37">
        <f>IF(A176="","",ROW()-3)</f>
        <v/>
      </c>
      <c r="C176" s="31" t="n"/>
      <c r="D176" s="38">
        <f>IFERROR(VLOOKUP(C176,Productos!A4:B103,2,FALSE),"")</f>
        <v/>
      </c>
      <c r="E176" s="9" t="n"/>
      <c r="F176" s="35">
        <f>IFERROR(VLOOKUP(C176,Productos!A4:E103,5,FALSE),0)</f>
        <v/>
      </c>
      <c r="G176" s="39" t="n"/>
      <c r="H176" s="40">
        <f>IFERROR(E176*F176*(1-G176),0)</f>
        <v/>
      </c>
      <c r="I176" s="31" t="n"/>
      <c r="J176" s="30" t="n"/>
    </row>
    <row r="177">
      <c r="A177" s="36" t="n"/>
      <c r="B177" s="37">
        <f>IF(A177="","",ROW()-3)</f>
        <v/>
      </c>
      <c r="C177" s="31" t="n"/>
      <c r="D177" s="38">
        <f>IFERROR(VLOOKUP(C177,Productos!A4:B103,2,FALSE),"")</f>
        <v/>
      </c>
      <c r="E177" s="9" t="n"/>
      <c r="F177" s="35">
        <f>IFERROR(VLOOKUP(C177,Productos!A4:E103,5,FALSE),0)</f>
        <v/>
      </c>
      <c r="G177" s="39" t="n"/>
      <c r="H177" s="40">
        <f>IFERROR(E177*F177*(1-G177),0)</f>
        <v/>
      </c>
      <c r="I177" s="31" t="n"/>
      <c r="J177" s="30" t="n"/>
    </row>
    <row r="178">
      <c r="A178" s="36" t="n"/>
      <c r="B178" s="37">
        <f>IF(A178="","",ROW()-3)</f>
        <v/>
      </c>
      <c r="C178" s="31" t="n"/>
      <c r="D178" s="38">
        <f>IFERROR(VLOOKUP(C178,Productos!A4:B103,2,FALSE),"")</f>
        <v/>
      </c>
      <c r="E178" s="9" t="n"/>
      <c r="F178" s="35">
        <f>IFERROR(VLOOKUP(C178,Productos!A4:E103,5,FALSE),0)</f>
        <v/>
      </c>
      <c r="G178" s="39" t="n"/>
      <c r="H178" s="40">
        <f>IFERROR(E178*F178*(1-G178),0)</f>
        <v/>
      </c>
      <c r="I178" s="31" t="n"/>
      <c r="J178" s="30" t="n"/>
    </row>
    <row r="179">
      <c r="A179" s="36" t="n"/>
      <c r="B179" s="37">
        <f>IF(A179="","",ROW()-3)</f>
        <v/>
      </c>
      <c r="C179" s="31" t="n"/>
      <c r="D179" s="38">
        <f>IFERROR(VLOOKUP(C179,Productos!A4:B103,2,FALSE),"")</f>
        <v/>
      </c>
      <c r="E179" s="9" t="n"/>
      <c r="F179" s="35">
        <f>IFERROR(VLOOKUP(C179,Productos!A4:E103,5,FALSE),0)</f>
        <v/>
      </c>
      <c r="G179" s="39" t="n"/>
      <c r="H179" s="40">
        <f>IFERROR(E179*F179*(1-G179),0)</f>
        <v/>
      </c>
      <c r="I179" s="31" t="n"/>
      <c r="J179" s="30" t="n"/>
    </row>
    <row r="180">
      <c r="A180" s="36" t="n"/>
      <c r="B180" s="37">
        <f>IF(A180="","",ROW()-3)</f>
        <v/>
      </c>
      <c r="C180" s="31" t="n"/>
      <c r="D180" s="38">
        <f>IFERROR(VLOOKUP(C180,Productos!A4:B103,2,FALSE),"")</f>
        <v/>
      </c>
      <c r="E180" s="9" t="n"/>
      <c r="F180" s="35">
        <f>IFERROR(VLOOKUP(C180,Productos!A4:E103,5,FALSE),0)</f>
        <v/>
      </c>
      <c r="G180" s="39" t="n"/>
      <c r="H180" s="40">
        <f>IFERROR(E180*F180*(1-G180),0)</f>
        <v/>
      </c>
      <c r="I180" s="31" t="n"/>
      <c r="J180" s="30" t="n"/>
    </row>
    <row r="181">
      <c r="A181" s="36" t="n"/>
      <c r="B181" s="37">
        <f>IF(A181="","",ROW()-3)</f>
        <v/>
      </c>
      <c r="C181" s="31" t="n"/>
      <c r="D181" s="38">
        <f>IFERROR(VLOOKUP(C181,Productos!A4:B103,2,FALSE),"")</f>
        <v/>
      </c>
      <c r="E181" s="9" t="n"/>
      <c r="F181" s="35">
        <f>IFERROR(VLOOKUP(C181,Productos!A4:E103,5,FALSE),0)</f>
        <v/>
      </c>
      <c r="G181" s="39" t="n"/>
      <c r="H181" s="40">
        <f>IFERROR(E181*F181*(1-G181),0)</f>
        <v/>
      </c>
      <c r="I181" s="31" t="n"/>
      <c r="J181" s="30" t="n"/>
    </row>
    <row r="182">
      <c r="A182" s="36" t="n"/>
      <c r="B182" s="37">
        <f>IF(A182="","",ROW()-3)</f>
        <v/>
      </c>
      <c r="C182" s="31" t="n"/>
      <c r="D182" s="38">
        <f>IFERROR(VLOOKUP(C182,Productos!A4:B103,2,FALSE),"")</f>
        <v/>
      </c>
      <c r="E182" s="9" t="n"/>
      <c r="F182" s="35">
        <f>IFERROR(VLOOKUP(C182,Productos!A4:E103,5,FALSE),0)</f>
        <v/>
      </c>
      <c r="G182" s="39" t="n"/>
      <c r="H182" s="40">
        <f>IFERROR(E182*F182*(1-G182),0)</f>
        <v/>
      </c>
      <c r="I182" s="31" t="n"/>
      <c r="J182" s="30" t="n"/>
    </row>
    <row r="183">
      <c r="A183" s="36" t="n"/>
      <c r="B183" s="37">
        <f>IF(A183="","",ROW()-3)</f>
        <v/>
      </c>
      <c r="C183" s="31" t="n"/>
      <c r="D183" s="38">
        <f>IFERROR(VLOOKUP(C183,Productos!A4:B103,2,FALSE),"")</f>
        <v/>
      </c>
      <c r="E183" s="9" t="n"/>
      <c r="F183" s="35">
        <f>IFERROR(VLOOKUP(C183,Productos!A4:E103,5,FALSE),0)</f>
        <v/>
      </c>
      <c r="G183" s="39" t="n"/>
      <c r="H183" s="40">
        <f>IFERROR(E183*F183*(1-G183),0)</f>
        <v/>
      </c>
      <c r="I183" s="31" t="n"/>
      <c r="J183" s="30" t="n"/>
    </row>
    <row r="184">
      <c r="A184" s="36" t="n"/>
      <c r="B184" s="37">
        <f>IF(A184="","",ROW()-3)</f>
        <v/>
      </c>
      <c r="C184" s="31" t="n"/>
      <c r="D184" s="38">
        <f>IFERROR(VLOOKUP(C184,Productos!A4:B103,2,FALSE),"")</f>
        <v/>
      </c>
      <c r="E184" s="9" t="n"/>
      <c r="F184" s="35">
        <f>IFERROR(VLOOKUP(C184,Productos!A4:E103,5,FALSE),0)</f>
        <v/>
      </c>
      <c r="G184" s="39" t="n"/>
      <c r="H184" s="40">
        <f>IFERROR(E184*F184*(1-G184),0)</f>
        <v/>
      </c>
      <c r="I184" s="31" t="n"/>
      <c r="J184" s="30" t="n"/>
    </row>
    <row r="185">
      <c r="A185" s="36" t="n"/>
      <c r="B185" s="37">
        <f>IF(A185="","",ROW()-3)</f>
        <v/>
      </c>
      <c r="C185" s="31" t="n"/>
      <c r="D185" s="38">
        <f>IFERROR(VLOOKUP(C185,Productos!A4:B103,2,FALSE),"")</f>
        <v/>
      </c>
      <c r="E185" s="9" t="n"/>
      <c r="F185" s="35">
        <f>IFERROR(VLOOKUP(C185,Productos!A4:E103,5,FALSE),0)</f>
        <v/>
      </c>
      <c r="G185" s="39" t="n"/>
      <c r="H185" s="40">
        <f>IFERROR(E185*F185*(1-G185),0)</f>
        <v/>
      </c>
      <c r="I185" s="31" t="n"/>
      <c r="J185" s="30" t="n"/>
    </row>
    <row r="186">
      <c r="A186" s="36" t="n"/>
      <c r="B186" s="37">
        <f>IF(A186="","",ROW()-3)</f>
        <v/>
      </c>
      <c r="C186" s="31" t="n"/>
      <c r="D186" s="38">
        <f>IFERROR(VLOOKUP(C186,Productos!A4:B103,2,FALSE),"")</f>
        <v/>
      </c>
      <c r="E186" s="9" t="n"/>
      <c r="F186" s="35">
        <f>IFERROR(VLOOKUP(C186,Productos!A4:E103,5,FALSE),0)</f>
        <v/>
      </c>
      <c r="G186" s="39" t="n"/>
      <c r="H186" s="40">
        <f>IFERROR(E186*F186*(1-G186),0)</f>
        <v/>
      </c>
      <c r="I186" s="31" t="n"/>
      <c r="J186" s="30" t="n"/>
    </row>
    <row r="187">
      <c r="A187" s="36" t="n"/>
      <c r="B187" s="37">
        <f>IF(A187="","",ROW()-3)</f>
        <v/>
      </c>
      <c r="C187" s="31" t="n"/>
      <c r="D187" s="38">
        <f>IFERROR(VLOOKUP(C187,Productos!A4:B103,2,FALSE),"")</f>
        <v/>
      </c>
      <c r="E187" s="9" t="n"/>
      <c r="F187" s="35">
        <f>IFERROR(VLOOKUP(C187,Productos!A4:E103,5,FALSE),0)</f>
        <v/>
      </c>
      <c r="G187" s="39" t="n"/>
      <c r="H187" s="40">
        <f>IFERROR(E187*F187*(1-G187),0)</f>
        <v/>
      </c>
      <c r="I187" s="31" t="n"/>
      <c r="J187" s="30" t="n"/>
    </row>
    <row r="188">
      <c r="A188" s="36" t="n"/>
      <c r="B188" s="37">
        <f>IF(A188="","",ROW()-3)</f>
        <v/>
      </c>
      <c r="C188" s="31" t="n"/>
      <c r="D188" s="38">
        <f>IFERROR(VLOOKUP(C188,Productos!A4:B103,2,FALSE),"")</f>
        <v/>
      </c>
      <c r="E188" s="9" t="n"/>
      <c r="F188" s="35">
        <f>IFERROR(VLOOKUP(C188,Productos!A4:E103,5,FALSE),0)</f>
        <v/>
      </c>
      <c r="G188" s="39" t="n"/>
      <c r="H188" s="40">
        <f>IFERROR(E188*F188*(1-G188),0)</f>
        <v/>
      </c>
      <c r="I188" s="31" t="n"/>
      <c r="J188" s="30" t="n"/>
    </row>
    <row r="189">
      <c r="A189" s="36" t="n"/>
      <c r="B189" s="37">
        <f>IF(A189="","",ROW()-3)</f>
        <v/>
      </c>
      <c r="C189" s="31" t="n"/>
      <c r="D189" s="38">
        <f>IFERROR(VLOOKUP(C189,Productos!A4:B103,2,FALSE),"")</f>
        <v/>
      </c>
      <c r="E189" s="9" t="n"/>
      <c r="F189" s="35">
        <f>IFERROR(VLOOKUP(C189,Productos!A4:E103,5,FALSE),0)</f>
        <v/>
      </c>
      <c r="G189" s="39" t="n"/>
      <c r="H189" s="40">
        <f>IFERROR(E189*F189*(1-G189),0)</f>
        <v/>
      </c>
      <c r="I189" s="31" t="n"/>
      <c r="J189" s="30" t="n"/>
    </row>
    <row r="190">
      <c r="A190" s="36" t="n"/>
      <c r="B190" s="37">
        <f>IF(A190="","",ROW()-3)</f>
        <v/>
      </c>
      <c r="C190" s="31" t="n"/>
      <c r="D190" s="38">
        <f>IFERROR(VLOOKUP(C190,Productos!A4:B103,2,FALSE),"")</f>
        <v/>
      </c>
      <c r="E190" s="9" t="n"/>
      <c r="F190" s="35">
        <f>IFERROR(VLOOKUP(C190,Productos!A4:E103,5,FALSE),0)</f>
        <v/>
      </c>
      <c r="G190" s="39" t="n"/>
      <c r="H190" s="40">
        <f>IFERROR(E190*F190*(1-G190),0)</f>
        <v/>
      </c>
      <c r="I190" s="31" t="n"/>
      <c r="J190" s="30" t="n"/>
    </row>
    <row r="191">
      <c r="A191" s="36" t="n"/>
      <c r="B191" s="37">
        <f>IF(A191="","",ROW()-3)</f>
        <v/>
      </c>
      <c r="C191" s="31" t="n"/>
      <c r="D191" s="38">
        <f>IFERROR(VLOOKUP(C191,Productos!A4:B103,2,FALSE),"")</f>
        <v/>
      </c>
      <c r="E191" s="9" t="n"/>
      <c r="F191" s="35">
        <f>IFERROR(VLOOKUP(C191,Productos!A4:E103,5,FALSE),0)</f>
        <v/>
      </c>
      <c r="G191" s="39" t="n"/>
      <c r="H191" s="40">
        <f>IFERROR(E191*F191*(1-G191),0)</f>
        <v/>
      </c>
      <c r="I191" s="31" t="n"/>
      <c r="J191" s="30" t="n"/>
    </row>
    <row r="192">
      <c r="A192" s="36" t="n"/>
      <c r="B192" s="37">
        <f>IF(A192="","",ROW()-3)</f>
        <v/>
      </c>
      <c r="C192" s="31" t="n"/>
      <c r="D192" s="38">
        <f>IFERROR(VLOOKUP(C192,Productos!A4:B103,2,FALSE),"")</f>
        <v/>
      </c>
      <c r="E192" s="9" t="n"/>
      <c r="F192" s="35">
        <f>IFERROR(VLOOKUP(C192,Productos!A4:E103,5,FALSE),0)</f>
        <v/>
      </c>
      <c r="G192" s="39" t="n"/>
      <c r="H192" s="40">
        <f>IFERROR(E192*F192*(1-G192),0)</f>
        <v/>
      </c>
      <c r="I192" s="31" t="n"/>
      <c r="J192" s="30" t="n"/>
    </row>
    <row r="193">
      <c r="A193" s="36" t="n"/>
      <c r="B193" s="37">
        <f>IF(A193="","",ROW()-3)</f>
        <v/>
      </c>
      <c r="C193" s="31" t="n"/>
      <c r="D193" s="38">
        <f>IFERROR(VLOOKUP(C193,Productos!A4:B103,2,FALSE),"")</f>
        <v/>
      </c>
      <c r="E193" s="9" t="n"/>
      <c r="F193" s="35">
        <f>IFERROR(VLOOKUP(C193,Productos!A4:E103,5,FALSE),0)</f>
        <v/>
      </c>
      <c r="G193" s="39" t="n"/>
      <c r="H193" s="40">
        <f>IFERROR(E193*F193*(1-G193),0)</f>
        <v/>
      </c>
      <c r="I193" s="31" t="n"/>
      <c r="J193" s="30" t="n"/>
    </row>
    <row r="194">
      <c r="A194" s="36" t="n"/>
      <c r="B194" s="37">
        <f>IF(A194="","",ROW()-3)</f>
        <v/>
      </c>
      <c r="C194" s="31" t="n"/>
      <c r="D194" s="38">
        <f>IFERROR(VLOOKUP(C194,Productos!A4:B103,2,FALSE),"")</f>
        <v/>
      </c>
      <c r="E194" s="9" t="n"/>
      <c r="F194" s="35">
        <f>IFERROR(VLOOKUP(C194,Productos!A4:E103,5,FALSE),0)</f>
        <v/>
      </c>
      <c r="G194" s="39" t="n"/>
      <c r="H194" s="40">
        <f>IFERROR(E194*F194*(1-G194),0)</f>
        <v/>
      </c>
      <c r="I194" s="31" t="n"/>
      <c r="J194" s="30" t="n"/>
    </row>
    <row r="195">
      <c r="A195" s="36" t="n"/>
      <c r="B195" s="37">
        <f>IF(A195="","",ROW()-3)</f>
        <v/>
      </c>
      <c r="C195" s="31" t="n"/>
      <c r="D195" s="38">
        <f>IFERROR(VLOOKUP(C195,Productos!A4:B103,2,FALSE),"")</f>
        <v/>
      </c>
      <c r="E195" s="9" t="n"/>
      <c r="F195" s="35">
        <f>IFERROR(VLOOKUP(C195,Productos!A4:E103,5,FALSE),0)</f>
        <v/>
      </c>
      <c r="G195" s="39" t="n"/>
      <c r="H195" s="40">
        <f>IFERROR(E195*F195*(1-G195),0)</f>
        <v/>
      </c>
      <c r="I195" s="31" t="n"/>
      <c r="J195" s="30" t="n"/>
    </row>
    <row r="196">
      <c r="A196" s="36" t="n"/>
      <c r="B196" s="37">
        <f>IF(A196="","",ROW()-3)</f>
        <v/>
      </c>
      <c r="C196" s="31" t="n"/>
      <c r="D196" s="38">
        <f>IFERROR(VLOOKUP(C196,Productos!A4:B103,2,FALSE),"")</f>
        <v/>
      </c>
      <c r="E196" s="9" t="n"/>
      <c r="F196" s="35">
        <f>IFERROR(VLOOKUP(C196,Productos!A4:E103,5,FALSE),0)</f>
        <v/>
      </c>
      <c r="G196" s="39" t="n"/>
      <c r="H196" s="40">
        <f>IFERROR(E196*F196*(1-G196),0)</f>
        <v/>
      </c>
      <c r="I196" s="31" t="n"/>
      <c r="J196" s="30" t="n"/>
    </row>
    <row r="197">
      <c r="A197" s="36" t="n"/>
      <c r="B197" s="37">
        <f>IF(A197="","",ROW()-3)</f>
        <v/>
      </c>
      <c r="C197" s="31" t="n"/>
      <c r="D197" s="38">
        <f>IFERROR(VLOOKUP(C197,Productos!A4:B103,2,FALSE),"")</f>
        <v/>
      </c>
      <c r="E197" s="9" t="n"/>
      <c r="F197" s="35">
        <f>IFERROR(VLOOKUP(C197,Productos!A4:E103,5,FALSE),0)</f>
        <v/>
      </c>
      <c r="G197" s="39" t="n"/>
      <c r="H197" s="40">
        <f>IFERROR(E197*F197*(1-G197),0)</f>
        <v/>
      </c>
      <c r="I197" s="31" t="n"/>
      <c r="J197" s="30" t="n"/>
    </row>
    <row r="198">
      <c r="A198" s="36" t="n"/>
      <c r="B198" s="37">
        <f>IF(A198="","",ROW()-3)</f>
        <v/>
      </c>
      <c r="C198" s="31" t="n"/>
      <c r="D198" s="38">
        <f>IFERROR(VLOOKUP(C198,Productos!A4:B103,2,FALSE),"")</f>
        <v/>
      </c>
      <c r="E198" s="9" t="n"/>
      <c r="F198" s="35">
        <f>IFERROR(VLOOKUP(C198,Productos!A4:E103,5,FALSE),0)</f>
        <v/>
      </c>
      <c r="G198" s="39" t="n"/>
      <c r="H198" s="40">
        <f>IFERROR(E198*F198*(1-G198),0)</f>
        <v/>
      </c>
      <c r="I198" s="31" t="n"/>
      <c r="J198" s="30" t="n"/>
    </row>
    <row r="199">
      <c r="A199" s="36" t="n"/>
      <c r="B199" s="37">
        <f>IF(A199="","",ROW()-3)</f>
        <v/>
      </c>
      <c r="C199" s="31" t="n"/>
      <c r="D199" s="38">
        <f>IFERROR(VLOOKUP(C199,Productos!A4:B103,2,FALSE),"")</f>
        <v/>
      </c>
      <c r="E199" s="9" t="n"/>
      <c r="F199" s="35">
        <f>IFERROR(VLOOKUP(C199,Productos!A4:E103,5,FALSE),0)</f>
        <v/>
      </c>
      <c r="G199" s="39" t="n"/>
      <c r="H199" s="40">
        <f>IFERROR(E199*F199*(1-G199),0)</f>
        <v/>
      </c>
      <c r="I199" s="31" t="n"/>
      <c r="J199" s="30" t="n"/>
    </row>
    <row r="200">
      <c r="A200" s="36" t="n"/>
      <c r="B200" s="37">
        <f>IF(A200="","",ROW()-3)</f>
        <v/>
      </c>
      <c r="C200" s="31" t="n"/>
      <c r="D200" s="38">
        <f>IFERROR(VLOOKUP(C200,Productos!A4:B103,2,FALSE),"")</f>
        <v/>
      </c>
      <c r="E200" s="9" t="n"/>
      <c r="F200" s="35">
        <f>IFERROR(VLOOKUP(C200,Productos!A4:E103,5,FALSE),0)</f>
        <v/>
      </c>
      <c r="G200" s="39" t="n"/>
      <c r="H200" s="40">
        <f>IFERROR(E200*F200*(1-G200),0)</f>
        <v/>
      </c>
      <c r="I200" s="31" t="n"/>
      <c r="J200" s="30" t="n"/>
    </row>
    <row r="201">
      <c r="A201" s="36" t="n"/>
      <c r="B201" s="37">
        <f>IF(A201="","",ROW()-3)</f>
        <v/>
      </c>
      <c r="C201" s="31" t="n"/>
      <c r="D201" s="38">
        <f>IFERROR(VLOOKUP(C201,Productos!A4:B103,2,FALSE),"")</f>
        <v/>
      </c>
      <c r="E201" s="9" t="n"/>
      <c r="F201" s="35">
        <f>IFERROR(VLOOKUP(C201,Productos!A4:E103,5,FALSE),0)</f>
        <v/>
      </c>
      <c r="G201" s="39" t="n"/>
      <c r="H201" s="40">
        <f>IFERROR(E201*F201*(1-G201),0)</f>
        <v/>
      </c>
      <c r="I201" s="31" t="n"/>
      <c r="J201" s="30" t="n"/>
    </row>
    <row r="202">
      <c r="A202" s="36" t="n"/>
      <c r="B202" s="37">
        <f>IF(A202="","",ROW()-3)</f>
        <v/>
      </c>
      <c r="C202" s="31" t="n"/>
      <c r="D202" s="38">
        <f>IFERROR(VLOOKUP(C202,Productos!A4:B103,2,FALSE),"")</f>
        <v/>
      </c>
      <c r="E202" s="9" t="n"/>
      <c r="F202" s="35">
        <f>IFERROR(VLOOKUP(C202,Productos!A4:E103,5,FALSE),0)</f>
        <v/>
      </c>
      <c r="G202" s="39" t="n"/>
      <c r="H202" s="40">
        <f>IFERROR(E202*F202*(1-G202),0)</f>
        <v/>
      </c>
      <c r="I202" s="31" t="n"/>
      <c r="J202" s="30" t="n"/>
    </row>
    <row r="203">
      <c r="A203" s="36" t="n"/>
      <c r="B203" s="37">
        <f>IF(A203="","",ROW()-3)</f>
        <v/>
      </c>
      <c r="C203" s="31" t="n"/>
      <c r="D203" s="38">
        <f>IFERROR(VLOOKUP(C203,Productos!A4:B103,2,FALSE),"")</f>
        <v/>
      </c>
      <c r="E203" s="9" t="n"/>
      <c r="F203" s="35">
        <f>IFERROR(VLOOKUP(C203,Productos!A4:E103,5,FALSE),0)</f>
        <v/>
      </c>
      <c r="G203" s="39" t="n"/>
      <c r="H203" s="40">
        <f>IFERROR(E203*F203*(1-G203),0)</f>
        <v/>
      </c>
      <c r="I203" s="31" t="n"/>
      <c r="J203" s="3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1:J1"/>
    <mergeCell ref="A2:J2"/>
  </mergeCells>
  <dataValidations count="3">
    <dataValidation sqref="I4:I203" showDropDown="0" showInputMessage="0" showErrorMessage="0" allowBlank="1" promptTitle="Método de Pago" prompt="Selecciona el método de pago" type="list">
      <formula1>"Efectivo,Transferencia,QR,Tarjeta"</formula1>
    </dataValidation>
    <dataValidation sqref="E4:E203" showDropDown="0" showInputMessage="0" showErrorMessage="0" allowBlank="1" errorTitle="Cantidad inválida" error="La cantidad debe ser al menos 1" promptTitle="Cantidad" prompt="Ingresa la cantidad (mínimo 1)" type="whole" operator="greaterThanOrEqual">
      <formula1>1</formula1>
    </dataValidation>
    <dataValidation sqref="G4:G203" showDropDown="0" showInputMessage="0" showErrorMessage="0" allowBlank="1" errorTitle="Descuento inválido" error="El descuento debe estar entre 0% y 100%" promptTitle="Descuento" prompt="Ingresa el descuento (0% a 100%)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H20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35" customHeight="1">
      <c r="A1" s="26" t="inlineStr">
        <is>
          <t>MOVIMIENTOS DE INVENTARIO</t>
        </is>
      </c>
    </row>
    <row r="2">
      <c r="A2" s="27" t="inlineStr">
        <is>
          <t>Registra entradas y salidas de inventario. Tipo: ENTRADA = compras/reposición, SALIDA = ajustes/pérdidas.</t>
        </is>
      </c>
    </row>
    <row r="3" ht="30" customHeight="1">
      <c r="A3" s="28" t="inlineStr">
        <is>
          <t>FECHA</t>
        </is>
      </c>
      <c r="B3" s="28" t="inlineStr">
        <is>
          <t>CÓDIGO PROD.</t>
        </is>
      </c>
      <c r="C3" s="28" t="inlineStr">
        <is>
          <t>PRODUCTO (auto)</t>
        </is>
      </c>
      <c r="D3" s="28" t="inlineStr">
        <is>
          <t>TIPO</t>
        </is>
      </c>
      <c r="E3" s="28" t="inlineStr">
        <is>
          <t>CANTIDAD</t>
        </is>
      </c>
      <c r="F3" s="28" t="inlineStr">
        <is>
          <t>COSTO UNIT.</t>
        </is>
      </c>
      <c r="G3" s="28" t="inlineStr">
        <is>
          <t>TOTAL MOVIMIENTO</t>
        </is>
      </c>
      <c r="H3" s="28" t="inlineStr">
        <is>
          <t>OBSERVACIÓN</t>
        </is>
      </c>
    </row>
    <row r="4">
      <c r="A4" s="36" t="n"/>
      <c r="B4" s="31" t="n"/>
      <c r="C4" s="41">
        <f>IFERROR(VLOOKUP(B4,Productos!A4:B103,2,FALSE),"")</f>
        <v/>
      </c>
      <c r="D4" s="31" t="n"/>
      <c r="E4" s="9" t="n"/>
      <c r="F4" s="32" t="n"/>
      <c r="G4" s="35">
        <f>IFERROR(E4*F4,0)</f>
        <v/>
      </c>
      <c r="H4" s="30" t="n"/>
    </row>
    <row r="5">
      <c r="A5" s="36" t="n"/>
      <c r="B5" s="31" t="n"/>
      <c r="C5" s="41">
        <f>IFERROR(VLOOKUP(B5,Productos!A4:B103,2,FALSE),"")</f>
        <v/>
      </c>
      <c r="D5" s="31" t="n"/>
      <c r="E5" s="9" t="n"/>
      <c r="F5" s="32" t="n"/>
      <c r="G5" s="35">
        <f>IFERROR(E5*F5,0)</f>
        <v/>
      </c>
      <c r="H5" s="30" t="n"/>
    </row>
    <row r="6">
      <c r="A6" s="36" t="n"/>
      <c r="B6" s="31" t="n"/>
      <c r="C6" s="41">
        <f>IFERROR(VLOOKUP(B6,Productos!A4:B103,2,FALSE),"")</f>
        <v/>
      </c>
      <c r="D6" s="31" t="n"/>
      <c r="E6" s="9" t="n"/>
      <c r="F6" s="32" t="n"/>
      <c r="G6" s="35">
        <f>IFERROR(E6*F6,0)</f>
        <v/>
      </c>
      <c r="H6" s="30" t="n"/>
    </row>
    <row r="7">
      <c r="A7" s="36" t="n"/>
      <c r="B7" s="31" t="n"/>
      <c r="C7" s="41">
        <f>IFERROR(VLOOKUP(B7,Productos!A4:B103,2,FALSE),"")</f>
        <v/>
      </c>
      <c r="D7" s="31" t="n"/>
      <c r="E7" s="9" t="n"/>
      <c r="F7" s="32" t="n"/>
      <c r="G7" s="35">
        <f>IFERROR(E7*F7,0)</f>
        <v/>
      </c>
      <c r="H7" s="30" t="n"/>
    </row>
    <row r="8">
      <c r="A8" s="36" t="n"/>
      <c r="B8" s="31" t="n"/>
      <c r="C8" s="41">
        <f>IFERROR(VLOOKUP(B8,Productos!A4:B103,2,FALSE),"")</f>
        <v/>
      </c>
      <c r="D8" s="31" t="n"/>
      <c r="E8" s="9" t="n"/>
      <c r="F8" s="32" t="n"/>
      <c r="G8" s="35">
        <f>IFERROR(E8*F8,0)</f>
        <v/>
      </c>
      <c r="H8" s="30" t="n"/>
    </row>
    <row r="9">
      <c r="A9" s="36" t="n"/>
      <c r="B9" s="31" t="n"/>
      <c r="C9" s="41">
        <f>IFERROR(VLOOKUP(B9,Productos!A4:B103,2,FALSE),"")</f>
        <v/>
      </c>
      <c r="D9" s="31" t="n"/>
      <c r="E9" s="9" t="n"/>
      <c r="F9" s="32" t="n"/>
      <c r="G9" s="35">
        <f>IFERROR(E9*F9,0)</f>
        <v/>
      </c>
      <c r="H9" s="30" t="n"/>
    </row>
    <row r="10">
      <c r="A10" s="36" t="n"/>
      <c r="B10" s="31" t="n"/>
      <c r="C10" s="41">
        <f>IFERROR(VLOOKUP(B10,Productos!A4:B103,2,FALSE),"")</f>
        <v/>
      </c>
      <c r="D10" s="31" t="n"/>
      <c r="E10" s="9" t="n"/>
      <c r="F10" s="32" t="n"/>
      <c r="G10" s="35">
        <f>IFERROR(E10*F10,0)</f>
        <v/>
      </c>
      <c r="H10" s="30" t="n"/>
    </row>
    <row r="11">
      <c r="A11" s="36" t="n"/>
      <c r="B11" s="31" t="n"/>
      <c r="C11" s="41">
        <f>IFERROR(VLOOKUP(B11,Productos!A4:B103,2,FALSE),"")</f>
        <v/>
      </c>
      <c r="D11" s="31" t="n"/>
      <c r="E11" s="9" t="n"/>
      <c r="F11" s="32" t="n"/>
      <c r="G11" s="35">
        <f>IFERROR(E11*F11,0)</f>
        <v/>
      </c>
      <c r="H11" s="30" t="n"/>
    </row>
    <row r="12">
      <c r="A12" s="36" t="n"/>
      <c r="B12" s="31" t="n"/>
      <c r="C12" s="41">
        <f>IFERROR(VLOOKUP(B12,Productos!A4:B103,2,FALSE),"")</f>
        <v/>
      </c>
      <c r="D12" s="31" t="n"/>
      <c r="E12" s="9" t="n"/>
      <c r="F12" s="32" t="n"/>
      <c r="G12" s="35">
        <f>IFERROR(E12*F12,0)</f>
        <v/>
      </c>
      <c r="H12" s="30" t="n"/>
    </row>
    <row r="13">
      <c r="A13" s="36" t="n"/>
      <c r="B13" s="31" t="n"/>
      <c r="C13" s="41">
        <f>IFERROR(VLOOKUP(B13,Productos!A4:B103,2,FALSE),"")</f>
        <v/>
      </c>
      <c r="D13" s="31" t="n"/>
      <c r="E13" s="9" t="n"/>
      <c r="F13" s="32" t="n"/>
      <c r="G13" s="35">
        <f>IFERROR(E13*F13,0)</f>
        <v/>
      </c>
      <c r="H13" s="30" t="n"/>
    </row>
    <row r="14">
      <c r="A14" s="36" t="n"/>
      <c r="B14" s="31" t="n"/>
      <c r="C14" s="41">
        <f>IFERROR(VLOOKUP(B14,Productos!A4:B103,2,FALSE),"")</f>
        <v/>
      </c>
      <c r="D14" s="31" t="n"/>
      <c r="E14" s="9" t="n"/>
      <c r="F14" s="32" t="n"/>
      <c r="G14" s="35">
        <f>IFERROR(E14*F14,0)</f>
        <v/>
      </c>
      <c r="H14" s="30" t="n"/>
    </row>
    <row r="15">
      <c r="A15" s="36" t="n"/>
      <c r="B15" s="31" t="n"/>
      <c r="C15" s="41">
        <f>IFERROR(VLOOKUP(B15,Productos!A4:B103,2,FALSE),"")</f>
        <v/>
      </c>
      <c r="D15" s="31" t="n"/>
      <c r="E15" s="9" t="n"/>
      <c r="F15" s="32" t="n"/>
      <c r="G15" s="35">
        <f>IFERROR(E15*F15,0)</f>
        <v/>
      </c>
      <c r="H15" s="30" t="n"/>
    </row>
    <row r="16">
      <c r="A16" s="36" t="n"/>
      <c r="B16" s="31" t="n"/>
      <c r="C16" s="41">
        <f>IFERROR(VLOOKUP(B16,Productos!A4:B103,2,FALSE),"")</f>
        <v/>
      </c>
      <c r="D16" s="31" t="n"/>
      <c r="E16" s="9" t="n"/>
      <c r="F16" s="32" t="n"/>
      <c r="G16" s="35">
        <f>IFERROR(E16*F16,0)</f>
        <v/>
      </c>
      <c r="H16" s="30" t="n"/>
    </row>
    <row r="17">
      <c r="A17" s="36" t="n"/>
      <c r="B17" s="31" t="n"/>
      <c r="C17" s="41">
        <f>IFERROR(VLOOKUP(B17,Productos!A4:B103,2,FALSE),"")</f>
        <v/>
      </c>
      <c r="D17" s="31" t="n"/>
      <c r="E17" s="9" t="n"/>
      <c r="F17" s="32" t="n"/>
      <c r="G17" s="35">
        <f>IFERROR(E17*F17,0)</f>
        <v/>
      </c>
      <c r="H17" s="30" t="n"/>
    </row>
    <row r="18">
      <c r="A18" s="36" t="n"/>
      <c r="B18" s="31" t="n"/>
      <c r="C18" s="41">
        <f>IFERROR(VLOOKUP(B18,Productos!A4:B103,2,FALSE),"")</f>
        <v/>
      </c>
      <c r="D18" s="31" t="n"/>
      <c r="E18" s="9" t="n"/>
      <c r="F18" s="32" t="n"/>
      <c r="G18" s="35">
        <f>IFERROR(E18*F18,0)</f>
        <v/>
      </c>
      <c r="H18" s="30" t="n"/>
    </row>
    <row r="19">
      <c r="A19" s="36" t="n"/>
      <c r="B19" s="31" t="n"/>
      <c r="C19" s="41">
        <f>IFERROR(VLOOKUP(B19,Productos!A4:B103,2,FALSE),"")</f>
        <v/>
      </c>
      <c r="D19" s="31" t="n"/>
      <c r="E19" s="9" t="n"/>
      <c r="F19" s="32" t="n"/>
      <c r="G19" s="35">
        <f>IFERROR(E19*F19,0)</f>
        <v/>
      </c>
      <c r="H19" s="30" t="n"/>
    </row>
    <row r="20">
      <c r="A20" s="36" t="n"/>
      <c r="B20" s="31" t="n"/>
      <c r="C20" s="41">
        <f>IFERROR(VLOOKUP(B20,Productos!A4:B103,2,FALSE),"")</f>
        <v/>
      </c>
      <c r="D20" s="31" t="n"/>
      <c r="E20" s="9" t="n"/>
      <c r="F20" s="32" t="n"/>
      <c r="G20" s="35">
        <f>IFERROR(E20*F20,0)</f>
        <v/>
      </c>
      <c r="H20" s="30" t="n"/>
    </row>
    <row r="21">
      <c r="A21" s="36" t="n"/>
      <c r="B21" s="31" t="n"/>
      <c r="C21" s="41">
        <f>IFERROR(VLOOKUP(B21,Productos!A4:B103,2,FALSE),"")</f>
        <v/>
      </c>
      <c r="D21" s="31" t="n"/>
      <c r="E21" s="9" t="n"/>
      <c r="F21" s="32" t="n"/>
      <c r="G21" s="35">
        <f>IFERROR(E21*F21,0)</f>
        <v/>
      </c>
      <c r="H21" s="30" t="n"/>
    </row>
    <row r="22">
      <c r="A22" s="36" t="n"/>
      <c r="B22" s="31" t="n"/>
      <c r="C22" s="41">
        <f>IFERROR(VLOOKUP(B22,Productos!A4:B103,2,FALSE),"")</f>
        <v/>
      </c>
      <c r="D22" s="31" t="n"/>
      <c r="E22" s="9" t="n"/>
      <c r="F22" s="32" t="n"/>
      <c r="G22" s="35">
        <f>IFERROR(E22*F22,0)</f>
        <v/>
      </c>
      <c r="H22" s="30" t="n"/>
    </row>
    <row r="23">
      <c r="A23" s="36" t="n"/>
      <c r="B23" s="31" t="n"/>
      <c r="C23" s="41">
        <f>IFERROR(VLOOKUP(B23,Productos!A4:B103,2,FALSE),"")</f>
        <v/>
      </c>
      <c r="D23" s="31" t="n"/>
      <c r="E23" s="9" t="n"/>
      <c r="F23" s="32" t="n"/>
      <c r="G23" s="35">
        <f>IFERROR(E23*F23,0)</f>
        <v/>
      </c>
      <c r="H23" s="30" t="n"/>
    </row>
    <row r="24">
      <c r="A24" s="36" t="n"/>
      <c r="B24" s="31" t="n"/>
      <c r="C24" s="41">
        <f>IFERROR(VLOOKUP(B24,Productos!A4:B103,2,FALSE),"")</f>
        <v/>
      </c>
      <c r="D24" s="31" t="n"/>
      <c r="E24" s="9" t="n"/>
      <c r="F24" s="32" t="n"/>
      <c r="G24" s="35">
        <f>IFERROR(E24*F24,0)</f>
        <v/>
      </c>
      <c r="H24" s="30" t="n"/>
    </row>
    <row r="25">
      <c r="A25" s="36" t="n"/>
      <c r="B25" s="31" t="n"/>
      <c r="C25" s="41">
        <f>IFERROR(VLOOKUP(B25,Productos!A4:B103,2,FALSE),"")</f>
        <v/>
      </c>
      <c r="D25" s="31" t="n"/>
      <c r="E25" s="9" t="n"/>
      <c r="F25" s="32" t="n"/>
      <c r="G25" s="35">
        <f>IFERROR(E25*F25,0)</f>
        <v/>
      </c>
      <c r="H25" s="30" t="n"/>
    </row>
    <row r="26">
      <c r="A26" s="36" t="n"/>
      <c r="B26" s="31" t="n"/>
      <c r="C26" s="41">
        <f>IFERROR(VLOOKUP(B26,Productos!A4:B103,2,FALSE),"")</f>
        <v/>
      </c>
      <c r="D26" s="31" t="n"/>
      <c r="E26" s="9" t="n"/>
      <c r="F26" s="32" t="n"/>
      <c r="G26" s="35">
        <f>IFERROR(E26*F26,0)</f>
        <v/>
      </c>
      <c r="H26" s="30" t="n"/>
    </row>
    <row r="27">
      <c r="A27" s="36" t="n"/>
      <c r="B27" s="31" t="n"/>
      <c r="C27" s="41">
        <f>IFERROR(VLOOKUP(B27,Productos!A4:B103,2,FALSE),"")</f>
        <v/>
      </c>
      <c r="D27" s="31" t="n"/>
      <c r="E27" s="9" t="n"/>
      <c r="F27" s="32" t="n"/>
      <c r="G27" s="35">
        <f>IFERROR(E27*F27,0)</f>
        <v/>
      </c>
      <c r="H27" s="30" t="n"/>
    </row>
    <row r="28">
      <c r="A28" s="36" t="n"/>
      <c r="B28" s="31" t="n"/>
      <c r="C28" s="41">
        <f>IFERROR(VLOOKUP(B28,Productos!A4:B103,2,FALSE),"")</f>
        <v/>
      </c>
      <c r="D28" s="31" t="n"/>
      <c r="E28" s="9" t="n"/>
      <c r="F28" s="32" t="n"/>
      <c r="G28" s="35">
        <f>IFERROR(E28*F28,0)</f>
        <v/>
      </c>
      <c r="H28" s="30" t="n"/>
    </row>
    <row r="29">
      <c r="A29" s="36" t="n"/>
      <c r="B29" s="31" t="n"/>
      <c r="C29" s="41">
        <f>IFERROR(VLOOKUP(B29,Productos!A4:B103,2,FALSE),"")</f>
        <v/>
      </c>
      <c r="D29" s="31" t="n"/>
      <c r="E29" s="9" t="n"/>
      <c r="F29" s="32" t="n"/>
      <c r="G29" s="35">
        <f>IFERROR(E29*F29,0)</f>
        <v/>
      </c>
      <c r="H29" s="30" t="n"/>
    </row>
    <row r="30">
      <c r="A30" s="36" t="n"/>
      <c r="B30" s="31" t="n"/>
      <c r="C30" s="41">
        <f>IFERROR(VLOOKUP(B30,Productos!A4:B103,2,FALSE),"")</f>
        <v/>
      </c>
      <c r="D30" s="31" t="n"/>
      <c r="E30" s="9" t="n"/>
      <c r="F30" s="32" t="n"/>
      <c r="G30" s="35">
        <f>IFERROR(E30*F30,0)</f>
        <v/>
      </c>
      <c r="H30" s="30" t="n"/>
    </row>
    <row r="31">
      <c r="A31" s="36" t="n"/>
      <c r="B31" s="31" t="n"/>
      <c r="C31" s="41">
        <f>IFERROR(VLOOKUP(B31,Productos!A4:B103,2,FALSE),"")</f>
        <v/>
      </c>
      <c r="D31" s="31" t="n"/>
      <c r="E31" s="9" t="n"/>
      <c r="F31" s="32" t="n"/>
      <c r="G31" s="35">
        <f>IFERROR(E31*F31,0)</f>
        <v/>
      </c>
      <c r="H31" s="30" t="n"/>
    </row>
    <row r="32">
      <c r="A32" s="36" t="n"/>
      <c r="B32" s="31" t="n"/>
      <c r="C32" s="41">
        <f>IFERROR(VLOOKUP(B32,Productos!A4:B103,2,FALSE),"")</f>
        <v/>
      </c>
      <c r="D32" s="31" t="n"/>
      <c r="E32" s="9" t="n"/>
      <c r="F32" s="32" t="n"/>
      <c r="G32" s="35">
        <f>IFERROR(E32*F32,0)</f>
        <v/>
      </c>
      <c r="H32" s="30" t="n"/>
    </row>
    <row r="33">
      <c r="A33" s="36" t="n"/>
      <c r="B33" s="31" t="n"/>
      <c r="C33" s="41">
        <f>IFERROR(VLOOKUP(B33,Productos!A4:B103,2,FALSE),"")</f>
        <v/>
      </c>
      <c r="D33" s="31" t="n"/>
      <c r="E33" s="9" t="n"/>
      <c r="F33" s="32" t="n"/>
      <c r="G33" s="35">
        <f>IFERROR(E33*F33,0)</f>
        <v/>
      </c>
      <c r="H33" s="30" t="n"/>
    </row>
    <row r="34">
      <c r="A34" s="36" t="n"/>
      <c r="B34" s="31" t="n"/>
      <c r="C34" s="41">
        <f>IFERROR(VLOOKUP(B34,Productos!A4:B103,2,FALSE),"")</f>
        <v/>
      </c>
      <c r="D34" s="31" t="n"/>
      <c r="E34" s="9" t="n"/>
      <c r="F34" s="32" t="n"/>
      <c r="G34" s="35">
        <f>IFERROR(E34*F34,0)</f>
        <v/>
      </c>
      <c r="H34" s="30" t="n"/>
    </row>
    <row r="35">
      <c r="A35" s="36" t="n"/>
      <c r="B35" s="31" t="n"/>
      <c r="C35" s="41">
        <f>IFERROR(VLOOKUP(B35,Productos!A4:B103,2,FALSE),"")</f>
        <v/>
      </c>
      <c r="D35" s="31" t="n"/>
      <c r="E35" s="9" t="n"/>
      <c r="F35" s="32" t="n"/>
      <c r="G35" s="35">
        <f>IFERROR(E35*F35,0)</f>
        <v/>
      </c>
      <c r="H35" s="30" t="n"/>
    </row>
    <row r="36">
      <c r="A36" s="36" t="n"/>
      <c r="B36" s="31" t="n"/>
      <c r="C36" s="41">
        <f>IFERROR(VLOOKUP(B36,Productos!A4:B103,2,FALSE),"")</f>
        <v/>
      </c>
      <c r="D36" s="31" t="n"/>
      <c r="E36" s="9" t="n"/>
      <c r="F36" s="32" t="n"/>
      <c r="G36" s="35">
        <f>IFERROR(E36*F36,0)</f>
        <v/>
      </c>
      <c r="H36" s="30" t="n"/>
    </row>
    <row r="37">
      <c r="A37" s="36" t="n"/>
      <c r="B37" s="31" t="n"/>
      <c r="C37" s="41">
        <f>IFERROR(VLOOKUP(B37,Productos!A4:B103,2,FALSE),"")</f>
        <v/>
      </c>
      <c r="D37" s="31" t="n"/>
      <c r="E37" s="9" t="n"/>
      <c r="F37" s="32" t="n"/>
      <c r="G37" s="35">
        <f>IFERROR(E37*F37,0)</f>
        <v/>
      </c>
      <c r="H37" s="30" t="n"/>
    </row>
    <row r="38">
      <c r="A38" s="36" t="n"/>
      <c r="B38" s="31" t="n"/>
      <c r="C38" s="41">
        <f>IFERROR(VLOOKUP(B38,Productos!A4:B103,2,FALSE),"")</f>
        <v/>
      </c>
      <c r="D38" s="31" t="n"/>
      <c r="E38" s="9" t="n"/>
      <c r="F38" s="32" t="n"/>
      <c r="G38" s="35">
        <f>IFERROR(E38*F38,0)</f>
        <v/>
      </c>
      <c r="H38" s="30" t="n"/>
    </row>
    <row r="39">
      <c r="A39" s="36" t="n"/>
      <c r="B39" s="31" t="n"/>
      <c r="C39" s="41">
        <f>IFERROR(VLOOKUP(B39,Productos!A4:B103,2,FALSE),"")</f>
        <v/>
      </c>
      <c r="D39" s="31" t="n"/>
      <c r="E39" s="9" t="n"/>
      <c r="F39" s="32" t="n"/>
      <c r="G39" s="35">
        <f>IFERROR(E39*F39,0)</f>
        <v/>
      </c>
      <c r="H39" s="30" t="n"/>
    </row>
    <row r="40">
      <c r="A40" s="36" t="n"/>
      <c r="B40" s="31" t="n"/>
      <c r="C40" s="41">
        <f>IFERROR(VLOOKUP(B40,Productos!A4:B103,2,FALSE),"")</f>
        <v/>
      </c>
      <c r="D40" s="31" t="n"/>
      <c r="E40" s="9" t="n"/>
      <c r="F40" s="32" t="n"/>
      <c r="G40" s="35">
        <f>IFERROR(E40*F40,0)</f>
        <v/>
      </c>
      <c r="H40" s="30" t="n"/>
    </row>
    <row r="41">
      <c r="A41" s="36" t="n"/>
      <c r="B41" s="31" t="n"/>
      <c r="C41" s="41">
        <f>IFERROR(VLOOKUP(B41,Productos!A4:B103,2,FALSE),"")</f>
        <v/>
      </c>
      <c r="D41" s="31" t="n"/>
      <c r="E41" s="9" t="n"/>
      <c r="F41" s="32" t="n"/>
      <c r="G41" s="35">
        <f>IFERROR(E41*F41,0)</f>
        <v/>
      </c>
      <c r="H41" s="30" t="n"/>
    </row>
    <row r="42">
      <c r="A42" s="36" t="n"/>
      <c r="B42" s="31" t="n"/>
      <c r="C42" s="41">
        <f>IFERROR(VLOOKUP(B42,Productos!A4:B103,2,FALSE),"")</f>
        <v/>
      </c>
      <c r="D42" s="31" t="n"/>
      <c r="E42" s="9" t="n"/>
      <c r="F42" s="32" t="n"/>
      <c r="G42" s="35">
        <f>IFERROR(E42*F42,0)</f>
        <v/>
      </c>
      <c r="H42" s="30" t="n"/>
    </row>
    <row r="43">
      <c r="A43" s="36" t="n"/>
      <c r="B43" s="31" t="n"/>
      <c r="C43" s="41">
        <f>IFERROR(VLOOKUP(B43,Productos!A4:B103,2,FALSE),"")</f>
        <v/>
      </c>
      <c r="D43" s="31" t="n"/>
      <c r="E43" s="9" t="n"/>
      <c r="F43" s="32" t="n"/>
      <c r="G43" s="35">
        <f>IFERROR(E43*F43,0)</f>
        <v/>
      </c>
      <c r="H43" s="30" t="n"/>
    </row>
    <row r="44">
      <c r="A44" s="36" t="n"/>
      <c r="B44" s="31" t="n"/>
      <c r="C44" s="41">
        <f>IFERROR(VLOOKUP(B44,Productos!A4:B103,2,FALSE),"")</f>
        <v/>
      </c>
      <c r="D44" s="31" t="n"/>
      <c r="E44" s="9" t="n"/>
      <c r="F44" s="32" t="n"/>
      <c r="G44" s="35">
        <f>IFERROR(E44*F44,0)</f>
        <v/>
      </c>
      <c r="H44" s="30" t="n"/>
    </row>
    <row r="45">
      <c r="A45" s="36" t="n"/>
      <c r="B45" s="31" t="n"/>
      <c r="C45" s="41">
        <f>IFERROR(VLOOKUP(B45,Productos!A4:B103,2,FALSE),"")</f>
        <v/>
      </c>
      <c r="D45" s="31" t="n"/>
      <c r="E45" s="9" t="n"/>
      <c r="F45" s="32" t="n"/>
      <c r="G45" s="35">
        <f>IFERROR(E45*F45,0)</f>
        <v/>
      </c>
      <c r="H45" s="30" t="n"/>
    </row>
    <row r="46">
      <c r="A46" s="36" t="n"/>
      <c r="B46" s="31" t="n"/>
      <c r="C46" s="41">
        <f>IFERROR(VLOOKUP(B46,Productos!A4:B103,2,FALSE),"")</f>
        <v/>
      </c>
      <c r="D46" s="31" t="n"/>
      <c r="E46" s="9" t="n"/>
      <c r="F46" s="32" t="n"/>
      <c r="G46" s="35">
        <f>IFERROR(E46*F46,0)</f>
        <v/>
      </c>
      <c r="H46" s="30" t="n"/>
    </row>
    <row r="47">
      <c r="A47" s="36" t="n"/>
      <c r="B47" s="31" t="n"/>
      <c r="C47" s="41">
        <f>IFERROR(VLOOKUP(B47,Productos!A4:B103,2,FALSE),"")</f>
        <v/>
      </c>
      <c r="D47" s="31" t="n"/>
      <c r="E47" s="9" t="n"/>
      <c r="F47" s="32" t="n"/>
      <c r="G47" s="35">
        <f>IFERROR(E47*F47,0)</f>
        <v/>
      </c>
      <c r="H47" s="30" t="n"/>
    </row>
    <row r="48">
      <c r="A48" s="36" t="n"/>
      <c r="B48" s="31" t="n"/>
      <c r="C48" s="41">
        <f>IFERROR(VLOOKUP(B48,Productos!A4:B103,2,FALSE),"")</f>
        <v/>
      </c>
      <c r="D48" s="31" t="n"/>
      <c r="E48" s="9" t="n"/>
      <c r="F48" s="32" t="n"/>
      <c r="G48" s="35">
        <f>IFERROR(E48*F48,0)</f>
        <v/>
      </c>
      <c r="H48" s="30" t="n"/>
    </row>
    <row r="49">
      <c r="A49" s="36" t="n"/>
      <c r="B49" s="31" t="n"/>
      <c r="C49" s="41">
        <f>IFERROR(VLOOKUP(B49,Productos!A4:B103,2,FALSE),"")</f>
        <v/>
      </c>
      <c r="D49" s="31" t="n"/>
      <c r="E49" s="9" t="n"/>
      <c r="F49" s="32" t="n"/>
      <c r="G49" s="35">
        <f>IFERROR(E49*F49,0)</f>
        <v/>
      </c>
      <c r="H49" s="30" t="n"/>
    </row>
    <row r="50">
      <c r="A50" s="36" t="n"/>
      <c r="B50" s="31" t="n"/>
      <c r="C50" s="41">
        <f>IFERROR(VLOOKUP(B50,Productos!A4:B103,2,FALSE),"")</f>
        <v/>
      </c>
      <c r="D50" s="31" t="n"/>
      <c r="E50" s="9" t="n"/>
      <c r="F50" s="32" t="n"/>
      <c r="G50" s="35">
        <f>IFERROR(E50*F50,0)</f>
        <v/>
      </c>
      <c r="H50" s="30" t="n"/>
    </row>
    <row r="51">
      <c r="A51" s="36" t="n"/>
      <c r="B51" s="31" t="n"/>
      <c r="C51" s="41">
        <f>IFERROR(VLOOKUP(B51,Productos!A4:B103,2,FALSE),"")</f>
        <v/>
      </c>
      <c r="D51" s="31" t="n"/>
      <c r="E51" s="9" t="n"/>
      <c r="F51" s="32" t="n"/>
      <c r="G51" s="35">
        <f>IFERROR(E51*F51,0)</f>
        <v/>
      </c>
      <c r="H51" s="30" t="n"/>
    </row>
    <row r="52">
      <c r="A52" s="36" t="n"/>
      <c r="B52" s="31" t="n"/>
      <c r="C52" s="41">
        <f>IFERROR(VLOOKUP(B52,Productos!A4:B103,2,FALSE),"")</f>
        <v/>
      </c>
      <c r="D52" s="31" t="n"/>
      <c r="E52" s="9" t="n"/>
      <c r="F52" s="32" t="n"/>
      <c r="G52" s="35">
        <f>IFERROR(E52*F52,0)</f>
        <v/>
      </c>
      <c r="H52" s="30" t="n"/>
    </row>
    <row r="53">
      <c r="A53" s="36" t="n"/>
      <c r="B53" s="31" t="n"/>
      <c r="C53" s="41">
        <f>IFERROR(VLOOKUP(B53,Productos!A4:B103,2,FALSE),"")</f>
        <v/>
      </c>
      <c r="D53" s="31" t="n"/>
      <c r="E53" s="9" t="n"/>
      <c r="F53" s="32" t="n"/>
      <c r="G53" s="35">
        <f>IFERROR(E53*F53,0)</f>
        <v/>
      </c>
      <c r="H53" s="30" t="n"/>
    </row>
    <row r="54">
      <c r="A54" s="36" t="n"/>
      <c r="B54" s="31" t="n"/>
      <c r="C54" s="41">
        <f>IFERROR(VLOOKUP(B54,Productos!A4:B103,2,FALSE),"")</f>
        <v/>
      </c>
      <c r="D54" s="31" t="n"/>
      <c r="E54" s="9" t="n"/>
      <c r="F54" s="32" t="n"/>
      <c r="G54" s="35">
        <f>IFERROR(E54*F54,0)</f>
        <v/>
      </c>
      <c r="H54" s="30" t="n"/>
    </row>
    <row r="55">
      <c r="A55" s="36" t="n"/>
      <c r="B55" s="31" t="n"/>
      <c r="C55" s="41">
        <f>IFERROR(VLOOKUP(B55,Productos!A4:B103,2,FALSE),"")</f>
        <v/>
      </c>
      <c r="D55" s="31" t="n"/>
      <c r="E55" s="9" t="n"/>
      <c r="F55" s="32" t="n"/>
      <c r="G55" s="35">
        <f>IFERROR(E55*F55,0)</f>
        <v/>
      </c>
      <c r="H55" s="30" t="n"/>
    </row>
    <row r="56">
      <c r="A56" s="36" t="n"/>
      <c r="B56" s="31" t="n"/>
      <c r="C56" s="41">
        <f>IFERROR(VLOOKUP(B56,Productos!A4:B103,2,FALSE),"")</f>
        <v/>
      </c>
      <c r="D56" s="31" t="n"/>
      <c r="E56" s="9" t="n"/>
      <c r="F56" s="32" t="n"/>
      <c r="G56" s="35">
        <f>IFERROR(E56*F56,0)</f>
        <v/>
      </c>
      <c r="H56" s="30" t="n"/>
    </row>
    <row r="57">
      <c r="A57" s="36" t="n"/>
      <c r="B57" s="31" t="n"/>
      <c r="C57" s="41">
        <f>IFERROR(VLOOKUP(B57,Productos!A4:B103,2,FALSE),"")</f>
        <v/>
      </c>
      <c r="D57" s="31" t="n"/>
      <c r="E57" s="9" t="n"/>
      <c r="F57" s="32" t="n"/>
      <c r="G57" s="35">
        <f>IFERROR(E57*F57,0)</f>
        <v/>
      </c>
      <c r="H57" s="30" t="n"/>
    </row>
    <row r="58">
      <c r="A58" s="36" t="n"/>
      <c r="B58" s="31" t="n"/>
      <c r="C58" s="41">
        <f>IFERROR(VLOOKUP(B58,Productos!A4:B103,2,FALSE),"")</f>
        <v/>
      </c>
      <c r="D58" s="31" t="n"/>
      <c r="E58" s="9" t="n"/>
      <c r="F58" s="32" t="n"/>
      <c r="G58" s="35">
        <f>IFERROR(E58*F58,0)</f>
        <v/>
      </c>
      <c r="H58" s="30" t="n"/>
    </row>
    <row r="59">
      <c r="A59" s="36" t="n"/>
      <c r="B59" s="31" t="n"/>
      <c r="C59" s="41">
        <f>IFERROR(VLOOKUP(B59,Productos!A4:B103,2,FALSE),"")</f>
        <v/>
      </c>
      <c r="D59" s="31" t="n"/>
      <c r="E59" s="9" t="n"/>
      <c r="F59" s="32" t="n"/>
      <c r="G59" s="35">
        <f>IFERROR(E59*F59,0)</f>
        <v/>
      </c>
      <c r="H59" s="30" t="n"/>
    </row>
    <row r="60">
      <c r="A60" s="36" t="n"/>
      <c r="B60" s="31" t="n"/>
      <c r="C60" s="41">
        <f>IFERROR(VLOOKUP(B60,Productos!A4:B103,2,FALSE),"")</f>
        <v/>
      </c>
      <c r="D60" s="31" t="n"/>
      <c r="E60" s="9" t="n"/>
      <c r="F60" s="32" t="n"/>
      <c r="G60" s="35">
        <f>IFERROR(E60*F60,0)</f>
        <v/>
      </c>
      <c r="H60" s="30" t="n"/>
    </row>
    <row r="61">
      <c r="A61" s="36" t="n"/>
      <c r="B61" s="31" t="n"/>
      <c r="C61" s="41">
        <f>IFERROR(VLOOKUP(B61,Productos!A4:B103,2,FALSE),"")</f>
        <v/>
      </c>
      <c r="D61" s="31" t="n"/>
      <c r="E61" s="9" t="n"/>
      <c r="F61" s="32" t="n"/>
      <c r="G61" s="35">
        <f>IFERROR(E61*F61,0)</f>
        <v/>
      </c>
      <c r="H61" s="30" t="n"/>
    </row>
    <row r="62">
      <c r="A62" s="36" t="n"/>
      <c r="B62" s="31" t="n"/>
      <c r="C62" s="41">
        <f>IFERROR(VLOOKUP(B62,Productos!A4:B103,2,FALSE),"")</f>
        <v/>
      </c>
      <c r="D62" s="31" t="n"/>
      <c r="E62" s="9" t="n"/>
      <c r="F62" s="32" t="n"/>
      <c r="G62" s="35">
        <f>IFERROR(E62*F62,0)</f>
        <v/>
      </c>
      <c r="H62" s="30" t="n"/>
    </row>
    <row r="63">
      <c r="A63" s="36" t="n"/>
      <c r="B63" s="31" t="n"/>
      <c r="C63" s="41">
        <f>IFERROR(VLOOKUP(B63,Productos!A4:B103,2,FALSE),"")</f>
        <v/>
      </c>
      <c r="D63" s="31" t="n"/>
      <c r="E63" s="9" t="n"/>
      <c r="F63" s="32" t="n"/>
      <c r="G63" s="35">
        <f>IFERROR(E63*F63,0)</f>
        <v/>
      </c>
      <c r="H63" s="30" t="n"/>
    </row>
    <row r="64">
      <c r="A64" s="36" t="n"/>
      <c r="B64" s="31" t="n"/>
      <c r="C64" s="41">
        <f>IFERROR(VLOOKUP(B64,Productos!A4:B103,2,FALSE),"")</f>
        <v/>
      </c>
      <c r="D64" s="31" t="n"/>
      <c r="E64" s="9" t="n"/>
      <c r="F64" s="32" t="n"/>
      <c r="G64" s="35">
        <f>IFERROR(E64*F64,0)</f>
        <v/>
      </c>
      <c r="H64" s="30" t="n"/>
    </row>
    <row r="65">
      <c r="A65" s="36" t="n"/>
      <c r="B65" s="31" t="n"/>
      <c r="C65" s="41">
        <f>IFERROR(VLOOKUP(B65,Productos!A4:B103,2,FALSE),"")</f>
        <v/>
      </c>
      <c r="D65" s="31" t="n"/>
      <c r="E65" s="9" t="n"/>
      <c r="F65" s="32" t="n"/>
      <c r="G65" s="35">
        <f>IFERROR(E65*F65,0)</f>
        <v/>
      </c>
      <c r="H65" s="30" t="n"/>
    </row>
    <row r="66">
      <c r="A66" s="36" t="n"/>
      <c r="B66" s="31" t="n"/>
      <c r="C66" s="41">
        <f>IFERROR(VLOOKUP(B66,Productos!A4:B103,2,FALSE),"")</f>
        <v/>
      </c>
      <c r="D66" s="31" t="n"/>
      <c r="E66" s="9" t="n"/>
      <c r="F66" s="32" t="n"/>
      <c r="G66" s="35">
        <f>IFERROR(E66*F66,0)</f>
        <v/>
      </c>
      <c r="H66" s="30" t="n"/>
    </row>
    <row r="67">
      <c r="A67" s="36" t="n"/>
      <c r="B67" s="31" t="n"/>
      <c r="C67" s="41">
        <f>IFERROR(VLOOKUP(B67,Productos!A4:B103,2,FALSE),"")</f>
        <v/>
      </c>
      <c r="D67" s="31" t="n"/>
      <c r="E67" s="9" t="n"/>
      <c r="F67" s="32" t="n"/>
      <c r="G67" s="35">
        <f>IFERROR(E67*F67,0)</f>
        <v/>
      </c>
      <c r="H67" s="30" t="n"/>
    </row>
    <row r="68">
      <c r="A68" s="36" t="n"/>
      <c r="B68" s="31" t="n"/>
      <c r="C68" s="41">
        <f>IFERROR(VLOOKUP(B68,Productos!A4:B103,2,FALSE),"")</f>
        <v/>
      </c>
      <c r="D68" s="31" t="n"/>
      <c r="E68" s="9" t="n"/>
      <c r="F68" s="32" t="n"/>
      <c r="G68" s="35">
        <f>IFERROR(E68*F68,0)</f>
        <v/>
      </c>
      <c r="H68" s="30" t="n"/>
    </row>
    <row r="69">
      <c r="A69" s="36" t="n"/>
      <c r="B69" s="31" t="n"/>
      <c r="C69" s="41">
        <f>IFERROR(VLOOKUP(B69,Productos!A4:B103,2,FALSE),"")</f>
        <v/>
      </c>
      <c r="D69" s="31" t="n"/>
      <c r="E69" s="9" t="n"/>
      <c r="F69" s="32" t="n"/>
      <c r="G69" s="35">
        <f>IFERROR(E69*F69,0)</f>
        <v/>
      </c>
      <c r="H69" s="30" t="n"/>
    </row>
    <row r="70">
      <c r="A70" s="36" t="n"/>
      <c r="B70" s="31" t="n"/>
      <c r="C70" s="41">
        <f>IFERROR(VLOOKUP(B70,Productos!A4:B103,2,FALSE),"")</f>
        <v/>
      </c>
      <c r="D70" s="31" t="n"/>
      <c r="E70" s="9" t="n"/>
      <c r="F70" s="32" t="n"/>
      <c r="G70" s="35">
        <f>IFERROR(E70*F70,0)</f>
        <v/>
      </c>
      <c r="H70" s="30" t="n"/>
    </row>
    <row r="71">
      <c r="A71" s="36" t="n"/>
      <c r="B71" s="31" t="n"/>
      <c r="C71" s="41">
        <f>IFERROR(VLOOKUP(B71,Productos!A4:B103,2,FALSE),"")</f>
        <v/>
      </c>
      <c r="D71" s="31" t="n"/>
      <c r="E71" s="9" t="n"/>
      <c r="F71" s="32" t="n"/>
      <c r="G71" s="35">
        <f>IFERROR(E71*F71,0)</f>
        <v/>
      </c>
      <c r="H71" s="30" t="n"/>
    </row>
    <row r="72">
      <c r="A72" s="36" t="n"/>
      <c r="B72" s="31" t="n"/>
      <c r="C72" s="41">
        <f>IFERROR(VLOOKUP(B72,Productos!A4:B103,2,FALSE),"")</f>
        <v/>
      </c>
      <c r="D72" s="31" t="n"/>
      <c r="E72" s="9" t="n"/>
      <c r="F72" s="32" t="n"/>
      <c r="G72" s="35">
        <f>IFERROR(E72*F72,0)</f>
        <v/>
      </c>
      <c r="H72" s="30" t="n"/>
    </row>
    <row r="73">
      <c r="A73" s="36" t="n"/>
      <c r="B73" s="31" t="n"/>
      <c r="C73" s="41">
        <f>IFERROR(VLOOKUP(B73,Productos!A4:B103,2,FALSE),"")</f>
        <v/>
      </c>
      <c r="D73" s="31" t="n"/>
      <c r="E73" s="9" t="n"/>
      <c r="F73" s="32" t="n"/>
      <c r="G73" s="35">
        <f>IFERROR(E73*F73,0)</f>
        <v/>
      </c>
      <c r="H73" s="30" t="n"/>
    </row>
    <row r="74">
      <c r="A74" s="36" t="n"/>
      <c r="B74" s="31" t="n"/>
      <c r="C74" s="41">
        <f>IFERROR(VLOOKUP(B74,Productos!A4:B103,2,FALSE),"")</f>
        <v/>
      </c>
      <c r="D74" s="31" t="n"/>
      <c r="E74" s="9" t="n"/>
      <c r="F74" s="32" t="n"/>
      <c r="G74" s="35">
        <f>IFERROR(E74*F74,0)</f>
        <v/>
      </c>
      <c r="H74" s="30" t="n"/>
    </row>
    <row r="75">
      <c r="A75" s="36" t="n"/>
      <c r="B75" s="31" t="n"/>
      <c r="C75" s="41">
        <f>IFERROR(VLOOKUP(B75,Productos!A4:B103,2,FALSE),"")</f>
        <v/>
      </c>
      <c r="D75" s="31" t="n"/>
      <c r="E75" s="9" t="n"/>
      <c r="F75" s="32" t="n"/>
      <c r="G75" s="35">
        <f>IFERROR(E75*F75,0)</f>
        <v/>
      </c>
      <c r="H75" s="30" t="n"/>
    </row>
    <row r="76">
      <c r="A76" s="36" t="n"/>
      <c r="B76" s="31" t="n"/>
      <c r="C76" s="41">
        <f>IFERROR(VLOOKUP(B76,Productos!A4:B103,2,FALSE),"")</f>
        <v/>
      </c>
      <c r="D76" s="31" t="n"/>
      <c r="E76" s="9" t="n"/>
      <c r="F76" s="32" t="n"/>
      <c r="G76" s="35">
        <f>IFERROR(E76*F76,0)</f>
        <v/>
      </c>
      <c r="H76" s="30" t="n"/>
    </row>
    <row r="77">
      <c r="A77" s="36" t="n"/>
      <c r="B77" s="31" t="n"/>
      <c r="C77" s="41">
        <f>IFERROR(VLOOKUP(B77,Productos!A4:B103,2,FALSE),"")</f>
        <v/>
      </c>
      <c r="D77" s="31" t="n"/>
      <c r="E77" s="9" t="n"/>
      <c r="F77" s="32" t="n"/>
      <c r="G77" s="35">
        <f>IFERROR(E77*F77,0)</f>
        <v/>
      </c>
      <c r="H77" s="30" t="n"/>
    </row>
    <row r="78">
      <c r="A78" s="36" t="n"/>
      <c r="B78" s="31" t="n"/>
      <c r="C78" s="41">
        <f>IFERROR(VLOOKUP(B78,Productos!A4:B103,2,FALSE),"")</f>
        <v/>
      </c>
      <c r="D78" s="31" t="n"/>
      <c r="E78" s="9" t="n"/>
      <c r="F78" s="32" t="n"/>
      <c r="G78" s="35">
        <f>IFERROR(E78*F78,0)</f>
        <v/>
      </c>
      <c r="H78" s="30" t="n"/>
    </row>
    <row r="79">
      <c r="A79" s="36" t="n"/>
      <c r="B79" s="31" t="n"/>
      <c r="C79" s="41">
        <f>IFERROR(VLOOKUP(B79,Productos!A4:B103,2,FALSE),"")</f>
        <v/>
      </c>
      <c r="D79" s="31" t="n"/>
      <c r="E79" s="9" t="n"/>
      <c r="F79" s="32" t="n"/>
      <c r="G79" s="35">
        <f>IFERROR(E79*F79,0)</f>
        <v/>
      </c>
      <c r="H79" s="30" t="n"/>
    </row>
    <row r="80">
      <c r="A80" s="36" t="n"/>
      <c r="B80" s="31" t="n"/>
      <c r="C80" s="41">
        <f>IFERROR(VLOOKUP(B80,Productos!A4:B103,2,FALSE),"")</f>
        <v/>
      </c>
      <c r="D80" s="31" t="n"/>
      <c r="E80" s="9" t="n"/>
      <c r="F80" s="32" t="n"/>
      <c r="G80" s="35">
        <f>IFERROR(E80*F80,0)</f>
        <v/>
      </c>
      <c r="H80" s="30" t="n"/>
    </row>
    <row r="81">
      <c r="A81" s="36" t="n"/>
      <c r="B81" s="31" t="n"/>
      <c r="C81" s="41">
        <f>IFERROR(VLOOKUP(B81,Productos!A4:B103,2,FALSE),"")</f>
        <v/>
      </c>
      <c r="D81" s="31" t="n"/>
      <c r="E81" s="9" t="n"/>
      <c r="F81" s="32" t="n"/>
      <c r="G81" s="35">
        <f>IFERROR(E81*F81,0)</f>
        <v/>
      </c>
      <c r="H81" s="30" t="n"/>
    </row>
    <row r="82">
      <c r="A82" s="36" t="n"/>
      <c r="B82" s="31" t="n"/>
      <c r="C82" s="41">
        <f>IFERROR(VLOOKUP(B82,Productos!A4:B103,2,FALSE),"")</f>
        <v/>
      </c>
      <c r="D82" s="31" t="n"/>
      <c r="E82" s="9" t="n"/>
      <c r="F82" s="32" t="n"/>
      <c r="G82" s="35">
        <f>IFERROR(E82*F82,0)</f>
        <v/>
      </c>
      <c r="H82" s="30" t="n"/>
    </row>
    <row r="83">
      <c r="A83" s="36" t="n"/>
      <c r="B83" s="31" t="n"/>
      <c r="C83" s="41">
        <f>IFERROR(VLOOKUP(B83,Productos!A4:B103,2,FALSE),"")</f>
        <v/>
      </c>
      <c r="D83" s="31" t="n"/>
      <c r="E83" s="9" t="n"/>
      <c r="F83" s="32" t="n"/>
      <c r="G83" s="35">
        <f>IFERROR(E83*F83,0)</f>
        <v/>
      </c>
      <c r="H83" s="30" t="n"/>
    </row>
    <row r="84">
      <c r="A84" s="36" t="n"/>
      <c r="B84" s="31" t="n"/>
      <c r="C84" s="41">
        <f>IFERROR(VLOOKUP(B84,Productos!A4:B103,2,FALSE),"")</f>
        <v/>
      </c>
      <c r="D84" s="31" t="n"/>
      <c r="E84" s="9" t="n"/>
      <c r="F84" s="32" t="n"/>
      <c r="G84" s="35">
        <f>IFERROR(E84*F84,0)</f>
        <v/>
      </c>
      <c r="H84" s="30" t="n"/>
    </row>
    <row r="85">
      <c r="A85" s="36" t="n"/>
      <c r="B85" s="31" t="n"/>
      <c r="C85" s="41">
        <f>IFERROR(VLOOKUP(B85,Productos!A4:B103,2,FALSE),"")</f>
        <v/>
      </c>
      <c r="D85" s="31" t="n"/>
      <c r="E85" s="9" t="n"/>
      <c r="F85" s="32" t="n"/>
      <c r="G85" s="35">
        <f>IFERROR(E85*F85,0)</f>
        <v/>
      </c>
      <c r="H85" s="30" t="n"/>
    </row>
    <row r="86">
      <c r="A86" s="36" t="n"/>
      <c r="B86" s="31" t="n"/>
      <c r="C86" s="41">
        <f>IFERROR(VLOOKUP(B86,Productos!A4:B103,2,FALSE),"")</f>
        <v/>
      </c>
      <c r="D86" s="31" t="n"/>
      <c r="E86" s="9" t="n"/>
      <c r="F86" s="32" t="n"/>
      <c r="G86" s="35">
        <f>IFERROR(E86*F86,0)</f>
        <v/>
      </c>
      <c r="H86" s="30" t="n"/>
    </row>
    <row r="87">
      <c r="A87" s="36" t="n"/>
      <c r="B87" s="31" t="n"/>
      <c r="C87" s="41">
        <f>IFERROR(VLOOKUP(B87,Productos!A4:B103,2,FALSE),"")</f>
        <v/>
      </c>
      <c r="D87" s="31" t="n"/>
      <c r="E87" s="9" t="n"/>
      <c r="F87" s="32" t="n"/>
      <c r="G87" s="35">
        <f>IFERROR(E87*F87,0)</f>
        <v/>
      </c>
      <c r="H87" s="30" t="n"/>
    </row>
    <row r="88">
      <c r="A88" s="36" t="n"/>
      <c r="B88" s="31" t="n"/>
      <c r="C88" s="41">
        <f>IFERROR(VLOOKUP(B88,Productos!A4:B103,2,FALSE),"")</f>
        <v/>
      </c>
      <c r="D88" s="31" t="n"/>
      <c r="E88" s="9" t="n"/>
      <c r="F88" s="32" t="n"/>
      <c r="G88" s="35">
        <f>IFERROR(E88*F88,0)</f>
        <v/>
      </c>
      <c r="H88" s="30" t="n"/>
    </row>
    <row r="89">
      <c r="A89" s="36" t="n"/>
      <c r="B89" s="31" t="n"/>
      <c r="C89" s="41">
        <f>IFERROR(VLOOKUP(B89,Productos!A4:B103,2,FALSE),"")</f>
        <v/>
      </c>
      <c r="D89" s="31" t="n"/>
      <c r="E89" s="9" t="n"/>
      <c r="F89" s="32" t="n"/>
      <c r="G89" s="35">
        <f>IFERROR(E89*F89,0)</f>
        <v/>
      </c>
      <c r="H89" s="30" t="n"/>
    </row>
    <row r="90">
      <c r="A90" s="36" t="n"/>
      <c r="B90" s="31" t="n"/>
      <c r="C90" s="41">
        <f>IFERROR(VLOOKUP(B90,Productos!A4:B103,2,FALSE),"")</f>
        <v/>
      </c>
      <c r="D90" s="31" t="n"/>
      <c r="E90" s="9" t="n"/>
      <c r="F90" s="32" t="n"/>
      <c r="G90" s="35">
        <f>IFERROR(E90*F90,0)</f>
        <v/>
      </c>
      <c r="H90" s="30" t="n"/>
    </row>
    <row r="91">
      <c r="A91" s="36" t="n"/>
      <c r="B91" s="31" t="n"/>
      <c r="C91" s="41">
        <f>IFERROR(VLOOKUP(B91,Productos!A4:B103,2,FALSE),"")</f>
        <v/>
      </c>
      <c r="D91" s="31" t="n"/>
      <c r="E91" s="9" t="n"/>
      <c r="F91" s="32" t="n"/>
      <c r="G91" s="35">
        <f>IFERROR(E91*F91,0)</f>
        <v/>
      </c>
      <c r="H91" s="30" t="n"/>
    </row>
    <row r="92">
      <c r="A92" s="36" t="n"/>
      <c r="B92" s="31" t="n"/>
      <c r="C92" s="41">
        <f>IFERROR(VLOOKUP(B92,Productos!A4:B103,2,FALSE),"")</f>
        <v/>
      </c>
      <c r="D92" s="31" t="n"/>
      <c r="E92" s="9" t="n"/>
      <c r="F92" s="32" t="n"/>
      <c r="G92" s="35">
        <f>IFERROR(E92*F92,0)</f>
        <v/>
      </c>
      <c r="H92" s="30" t="n"/>
    </row>
    <row r="93">
      <c r="A93" s="36" t="n"/>
      <c r="B93" s="31" t="n"/>
      <c r="C93" s="41">
        <f>IFERROR(VLOOKUP(B93,Productos!A4:B103,2,FALSE),"")</f>
        <v/>
      </c>
      <c r="D93" s="31" t="n"/>
      <c r="E93" s="9" t="n"/>
      <c r="F93" s="32" t="n"/>
      <c r="G93" s="35">
        <f>IFERROR(E93*F93,0)</f>
        <v/>
      </c>
      <c r="H93" s="30" t="n"/>
    </row>
    <row r="94">
      <c r="A94" s="36" t="n"/>
      <c r="B94" s="31" t="n"/>
      <c r="C94" s="41">
        <f>IFERROR(VLOOKUP(B94,Productos!A4:B103,2,FALSE),"")</f>
        <v/>
      </c>
      <c r="D94" s="31" t="n"/>
      <c r="E94" s="9" t="n"/>
      <c r="F94" s="32" t="n"/>
      <c r="G94" s="35">
        <f>IFERROR(E94*F94,0)</f>
        <v/>
      </c>
      <c r="H94" s="30" t="n"/>
    </row>
    <row r="95">
      <c r="A95" s="36" t="n"/>
      <c r="B95" s="31" t="n"/>
      <c r="C95" s="41">
        <f>IFERROR(VLOOKUP(B95,Productos!A4:B103,2,FALSE),"")</f>
        <v/>
      </c>
      <c r="D95" s="31" t="n"/>
      <c r="E95" s="9" t="n"/>
      <c r="F95" s="32" t="n"/>
      <c r="G95" s="35">
        <f>IFERROR(E95*F95,0)</f>
        <v/>
      </c>
      <c r="H95" s="30" t="n"/>
    </row>
    <row r="96">
      <c r="A96" s="36" t="n"/>
      <c r="B96" s="31" t="n"/>
      <c r="C96" s="41">
        <f>IFERROR(VLOOKUP(B96,Productos!A4:B103,2,FALSE),"")</f>
        <v/>
      </c>
      <c r="D96" s="31" t="n"/>
      <c r="E96" s="9" t="n"/>
      <c r="F96" s="32" t="n"/>
      <c r="G96" s="35">
        <f>IFERROR(E96*F96,0)</f>
        <v/>
      </c>
      <c r="H96" s="30" t="n"/>
    </row>
    <row r="97">
      <c r="A97" s="36" t="n"/>
      <c r="B97" s="31" t="n"/>
      <c r="C97" s="41">
        <f>IFERROR(VLOOKUP(B97,Productos!A4:B103,2,FALSE),"")</f>
        <v/>
      </c>
      <c r="D97" s="31" t="n"/>
      <c r="E97" s="9" t="n"/>
      <c r="F97" s="32" t="n"/>
      <c r="G97" s="35">
        <f>IFERROR(E97*F97,0)</f>
        <v/>
      </c>
      <c r="H97" s="30" t="n"/>
    </row>
    <row r="98">
      <c r="A98" s="36" t="n"/>
      <c r="B98" s="31" t="n"/>
      <c r="C98" s="41">
        <f>IFERROR(VLOOKUP(B98,Productos!A4:B103,2,FALSE),"")</f>
        <v/>
      </c>
      <c r="D98" s="31" t="n"/>
      <c r="E98" s="9" t="n"/>
      <c r="F98" s="32" t="n"/>
      <c r="G98" s="35">
        <f>IFERROR(E98*F98,0)</f>
        <v/>
      </c>
      <c r="H98" s="30" t="n"/>
    </row>
    <row r="99">
      <c r="A99" s="36" t="n"/>
      <c r="B99" s="31" t="n"/>
      <c r="C99" s="41">
        <f>IFERROR(VLOOKUP(B99,Productos!A4:B103,2,FALSE),"")</f>
        <v/>
      </c>
      <c r="D99" s="31" t="n"/>
      <c r="E99" s="9" t="n"/>
      <c r="F99" s="32" t="n"/>
      <c r="G99" s="35">
        <f>IFERROR(E99*F99,0)</f>
        <v/>
      </c>
      <c r="H99" s="30" t="n"/>
    </row>
    <row r="100">
      <c r="A100" s="36" t="n"/>
      <c r="B100" s="31" t="n"/>
      <c r="C100" s="41">
        <f>IFERROR(VLOOKUP(B100,Productos!A4:B103,2,FALSE),"")</f>
        <v/>
      </c>
      <c r="D100" s="31" t="n"/>
      <c r="E100" s="9" t="n"/>
      <c r="F100" s="32" t="n"/>
      <c r="G100" s="35">
        <f>IFERROR(E100*F100,0)</f>
        <v/>
      </c>
      <c r="H100" s="30" t="n"/>
    </row>
    <row r="101">
      <c r="A101" s="36" t="n"/>
      <c r="B101" s="31" t="n"/>
      <c r="C101" s="41">
        <f>IFERROR(VLOOKUP(B101,Productos!A4:B103,2,FALSE),"")</f>
        <v/>
      </c>
      <c r="D101" s="31" t="n"/>
      <c r="E101" s="9" t="n"/>
      <c r="F101" s="32" t="n"/>
      <c r="G101" s="35">
        <f>IFERROR(E101*F101,0)</f>
        <v/>
      </c>
      <c r="H101" s="30" t="n"/>
    </row>
    <row r="102">
      <c r="A102" s="36" t="n"/>
      <c r="B102" s="31" t="n"/>
      <c r="C102" s="41">
        <f>IFERROR(VLOOKUP(B102,Productos!A4:B103,2,FALSE),"")</f>
        <v/>
      </c>
      <c r="D102" s="31" t="n"/>
      <c r="E102" s="9" t="n"/>
      <c r="F102" s="32" t="n"/>
      <c r="G102" s="35">
        <f>IFERROR(E102*F102,0)</f>
        <v/>
      </c>
      <c r="H102" s="30" t="n"/>
    </row>
    <row r="103">
      <c r="A103" s="36" t="n"/>
      <c r="B103" s="31" t="n"/>
      <c r="C103" s="41">
        <f>IFERROR(VLOOKUP(B103,Productos!A4:B103,2,FALSE),"")</f>
        <v/>
      </c>
      <c r="D103" s="31" t="n"/>
      <c r="E103" s="9" t="n"/>
      <c r="F103" s="32" t="n"/>
      <c r="G103" s="35">
        <f>IFERROR(E103*F103,0)</f>
        <v/>
      </c>
      <c r="H103" s="30" t="n"/>
    </row>
    <row r="104">
      <c r="A104" s="36" t="n"/>
      <c r="B104" s="31" t="n"/>
      <c r="C104" s="41">
        <f>IFERROR(VLOOKUP(B104,Productos!A4:B103,2,FALSE),"")</f>
        <v/>
      </c>
      <c r="D104" s="31" t="n"/>
      <c r="E104" s="9" t="n"/>
      <c r="F104" s="32" t="n"/>
      <c r="G104" s="35">
        <f>IFERROR(E104*F104,0)</f>
        <v/>
      </c>
      <c r="H104" s="30" t="n"/>
    </row>
    <row r="105">
      <c r="A105" s="36" t="n"/>
      <c r="B105" s="31" t="n"/>
      <c r="C105" s="41">
        <f>IFERROR(VLOOKUP(B105,Productos!A4:B103,2,FALSE),"")</f>
        <v/>
      </c>
      <c r="D105" s="31" t="n"/>
      <c r="E105" s="9" t="n"/>
      <c r="F105" s="32" t="n"/>
      <c r="G105" s="35">
        <f>IFERROR(E105*F105,0)</f>
        <v/>
      </c>
      <c r="H105" s="30" t="n"/>
    </row>
    <row r="106">
      <c r="A106" s="36" t="n"/>
      <c r="B106" s="31" t="n"/>
      <c r="C106" s="41">
        <f>IFERROR(VLOOKUP(B106,Productos!A4:B103,2,FALSE),"")</f>
        <v/>
      </c>
      <c r="D106" s="31" t="n"/>
      <c r="E106" s="9" t="n"/>
      <c r="F106" s="32" t="n"/>
      <c r="G106" s="35">
        <f>IFERROR(E106*F106,0)</f>
        <v/>
      </c>
      <c r="H106" s="30" t="n"/>
    </row>
    <row r="107">
      <c r="A107" s="36" t="n"/>
      <c r="B107" s="31" t="n"/>
      <c r="C107" s="41">
        <f>IFERROR(VLOOKUP(B107,Productos!A4:B103,2,FALSE),"")</f>
        <v/>
      </c>
      <c r="D107" s="31" t="n"/>
      <c r="E107" s="9" t="n"/>
      <c r="F107" s="32" t="n"/>
      <c r="G107" s="35">
        <f>IFERROR(E107*F107,0)</f>
        <v/>
      </c>
      <c r="H107" s="30" t="n"/>
    </row>
    <row r="108">
      <c r="A108" s="36" t="n"/>
      <c r="B108" s="31" t="n"/>
      <c r="C108" s="41">
        <f>IFERROR(VLOOKUP(B108,Productos!A4:B103,2,FALSE),"")</f>
        <v/>
      </c>
      <c r="D108" s="31" t="n"/>
      <c r="E108" s="9" t="n"/>
      <c r="F108" s="32" t="n"/>
      <c r="G108" s="35">
        <f>IFERROR(E108*F108,0)</f>
        <v/>
      </c>
      <c r="H108" s="30" t="n"/>
    </row>
    <row r="109">
      <c r="A109" s="36" t="n"/>
      <c r="B109" s="31" t="n"/>
      <c r="C109" s="41">
        <f>IFERROR(VLOOKUP(B109,Productos!A4:B103,2,FALSE),"")</f>
        <v/>
      </c>
      <c r="D109" s="31" t="n"/>
      <c r="E109" s="9" t="n"/>
      <c r="F109" s="32" t="n"/>
      <c r="G109" s="35">
        <f>IFERROR(E109*F109,0)</f>
        <v/>
      </c>
      <c r="H109" s="30" t="n"/>
    </row>
    <row r="110">
      <c r="A110" s="36" t="n"/>
      <c r="B110" s="31" t="n"/>
      <c r="C110" s="41">
        <f>IFERROR(VLOOKUP(B110,Productos!A4:B103,2,FALSE),"")</f>
        <v/>
      </c>
      <c r="D110" s="31" t="n"/>
      <c r="E110" s="9" t="n"/>
      <c r="F110" s="32" t="n"/>
      <c r="G110" s="35">
        <f>IFERROR(E110*F110,0)</f>
        <v/>
      </c>
      <c r="H110" s="30" t="n"/>
    </row>
    <row r="111">
      <c r="A111" s="36" t="n"/>
      <c r="B111" s="31" t="n"/>
      <c r="C111" s="41">
        <f>IFERROR(VLOOKUP(B111,Productos!A4:B103,2,FALSE),"")</f>
        <v/>
      </c>
      <c r="D111" s="31" t="n"/>
      <c r="E111" s="9" t="n"/>
      <c r="F111" s="32" t="n"/>
      <c r="G111" s="35">
        <f>IFERROR(E111*F111,0)</f>
        <v/>
      </c>
      <c r="H111" s="30" t="n"/>
    </row>
    <row r="112">
      <c r="A112" s="36" t="n"/>
      <c r="B112" s="31" t="n"/>
      <c r="C112" s="41">
        <f>IFERROR(VLOOKUP(B112,Productos!A4:B103,2,FALSE),"")</f>
        <v/>
      </c>
      <c r="D112" s="31" t="n"/>
      <c r="E112" s="9" t="n"/>
      <c r="F112" s="32" t="n"/>
      <c r="G112" s="35">
        <f>IFERROR(E112*F112,0)</f>
        <v/>
      </c>
      <c r="H112" s="30" t="n"/>
    </row>
    <row r="113">
      <c r="A113" s="36" t="n"/>
      <c r="B113" s="31" t="n"/>
      <c r="C113" s="41">
        <f>IFERROR(VLOOKUP(B113,Productos!A4:B103,2,FALSE),"")</f>
        <v/>
      </c>
      <c r="D113" s="31" t="n"/>
      <c r="E113" s="9" t="n"/>
      <c r="F113" s="32" t="n"/>
      <c r="G113" s="35">
        <f>IFERROR(E113*F113,0)</f>
        <v/>
      </c>
      <c r="H113" s="30" t="n"/>
    </row>
    <row r="114">
      <c r="A114" s="36" t="n"/>
      <c r="B114" s="31" t="n"/>
      <c r="C114" s="41">
        <f>IFERROR(VLOOKUP(B114,Productos!A4:B103,2,FALSE),"")</f>
        <v/>
      </c>
      <c r="D114" s="31" t="n"/>
      <c r="E114" s="9" t="n"/>
      <c r="F114" s="32" t="n"/>
      <c r="G114" s="35">
        <f>IFERROR(E114*F114,0)</f>
        <v/>
      </c>
      <c r="H114" s="30" t="n"/>
    </row>
    <row r="115">
      <c r="A115" s="36" t="n"/>
      <c r="B115" s="31" t="n"/>
      <c r="C115" s="41">
        <f>IFERROR(VLOOKUP(B115,Productos!A4:B103,2,FALSE),"")</f>
        <v/>
      </c>
      <c r="D115" s="31" t="n"/>
      <c r="E115" s="9" t="n"/>
      <c r="F115" s="32" t="n"/>
      <c r="G115" s="35">
        <f>IFERROR(E115*F115,0)</f>
        <v/>
      </c>
      <c r="H115" s="30" t="n"/>
    </row>
    <row r="116">
      <c r="A116" s="36" t="n"/>
      <c r="B116" s="31" t="n"/>
      <c r="C116" s="41">
        <f>IFERROR(VLOOKUP(B116,Productos!A4:B103,2,FALSE),"")</f>
        <v/>
      </c>
      <c r="D116" s="31" t="n"/>
      <c r="E116" s="9" t="n"/>
      <c r="F116" s="32" t="n"/>
      <c r="G116" s="35">
        <f>IFERROR(E116*F116,0)</f>
        <v/>
      </c>
      <c r="H116" s="30" t="n"/>
    </row>
    <row r="117">
      <c r="A117" s="36" t="n"/>
      <c r="B117" s="31" t="n"/>
      <c r="C117" s="41">
        <f>IFERROR(VLOOKUP(B117,Productos!A4:B103,2,FALSE),"")</f>
        <v/>
      </c>
      <c r="D117" s="31" t="n"/>
      <c r="E117" s="9" t="n"/>
      <c r="F117" s="32" t="n"/>
      <c r="G117" s="35">
        <f>IFERROR(E117*F117,0)</f>
        <v/>
      </c>
      <c r="H117" s="30" t="n"/>
    </row>
    <row r="118">
      <c r="A118" s="36" t="n"/>
      <c r="B118" s="31" t="n"/>
      <c r="C118" s="41">
        <f>IFERROR(VLOOKUP(B118,Productos!A4:B103,2,FALSE),"")</f>
        <v/>
      </c>
      <c r="D118" s="31" t="n"/>
      <c r="E118" s="9" t="n"/>
      <c r="F118" s="32" t="n"/>
      <c r="G118" s="35">
        <f>IFERROR(E118*F118,0)</f>
        <v/>
      </c>
      <c r="H118" s="30" t="n"/>
    </row>
    <row r="119">
      <c r="A119" s="36" t="n"/>
      <c r="B119" s="31" t="n"/>
      <c r="C119" s="41">
        <f>IFERROR(VLOOKUP(B119,Productos!A4:B103,2,FALSE),"")</f>
        <v/>
      </c>
      <c r="D119" s="31" t="n"/>
      <c r="E119" s="9" t="n"/>
      <c r="F119" s="32" t="n"/>
      <c r="G119" s="35">
        <f>IFERROR(E119*F119,0)</f>
        <v/>
      </c>
      <c r="H119" s="30" t="n"/>
    </row>
    <row r="120">
      <c r="A120" s="36" t="n"/>
      <c r="B120" s="31" t="n"/>
      <c r="C120" s="41">
        <f>IFERROR(VLOOKUP(B120,Productos!A4:B103,2,FALSE),"")</f>
        <v/>
      </c>
      <c r="D120" s="31" t="n"/>
      <c r="E120" s="9" t="n"/>
      <c r="F120" s="32" t="n"/>
      <c r="G120" s="35">
        <f>IFERROR(E120*F120,0)</f>
        <v/>
      </c>
      <c r="H120" s="30" t="n"/>
    </row>
    <row r="121">
      <c r="A121" s="36" t="n"/>
      <c r="B121" s="31" t="n"/>
      <c r="C121" s="41">
        <f>IFERROR(VLOOKUP(B121,Productos!A4:B103,2,FALSE),"")</f>
        <v/>
      </c>
      <c r="D121" s="31" t="n"/>
      <c r="E121" s="9" t="n"/>
      <c r="F121" s="32" t="n"/>
      <c r="G121" s="35">
        <f>IFERROR(E121*F121,0)</f>
        <v/>
      </c>
      <c r="H121" s="30" t="n"/>
    </row>
    <row r="122">
      <c r="A122" s="36" t="n"/>
      <c r="B122" s="31" t="n"/>
      <c r="C122" s="41">
        <f>IFERROR(VLOOKUP(B122,Productos!A4:B103,2,FALSE),"")</f>
        <v/>
      </c>
      <c r="D122" s="31" t="n"/>
      <c r="E122" s="9" t="n"/>
      <c r="F122" s="32" t="n"/>
      <c r="G122" s="35">
        <f>IFERROR(E122*F122,0)</f>
        <v/>
      </c>
      <c r="H122" s="30" t="n"/>
    </row>
    <row r="123">
      <c r="A123" s="36" t="n"/>
      <c r="B123" s="31" t="n"/>
      <c r="C123" s="41">
        <f>IFERROR(VLOOKUP(B123,Productos!A4:B103,2,FALSE),"")</f>
        <v/>
      </c>
      <c r="D123" s="31" t="n"/>
      <c r="E123" s="9" t="n"/>
      <c r="F123" s="32" t="n"/>
      <c r="G123" s="35">
        <f>IFERROR(E123*F123,0)</f>
        <v/>
      </c>
      <c r="H123" s="30" t="n"/>
    </row>
    <row r="124">
      <c r="A124" s="36" t="n"/>
      <c r="B124" s="31" t="n"/>
      <c r="C124" s="41">
        <f>IFERROR(VLOOKUP(B124,Productos!A4:B103,2,FALSE),"")</f>
        <v/>
      </c>
      <c r="D124" s="31" t="n"/>
      <c r="E124" s="9" t="n"/>
      <c r="F124" s="32" t="n"/>
      <c r="G124" s="35">
        <f>IFERROR(E124*F124,0)</f>
        <v/>
      </c>
      <c r="H124" s="30" t="n"/>
    </row>
    <row r="125">
      <c r="A125" s="36" t="n"/>
      <c r="B125" s="31" t="n"/>
      <c r="C125" s="41">
        <f>IFERROR(VLOOKUP(B125,Productos!A4:B103,2,FALSE),"")</f>
        <v/>
      </c>
      <c r="D125" s="31" t="n"/>
      <c r="E125" s="9" t="n"/>
      <c r="F125" s="32" t="n"/>
      <c r="G125" s="35">
        <f>IFERROR(E125*F125,0)</f>
        <v/>
      </c>
      <c r="H125" s="30" t="n"/>
    </row>
    <row r="126">
      <c r="A126" s="36" t="n"/>
      <c r="B126" s="31" t="n"/>
      <c r="C126" s="41">
        <f>IFERROR(VLOOKUP(B126,Productos!A4:B103,2,FALSE),"")</f>
        <v/>
      </c>
      <c r="D126" s="31" t="n"/>
      <c r="E126" s="9" t="n"/>
      <c r="F126" s="32" t="n"/>
      <c r="G126" s="35">
        <f>IFERROR(E126*F126,0)</f>
        <v/>
      </c>
      <c r="H126" s="30" t="n"/>
    </row>
    <row r="127">
      <c r="A127" s="36" t="n"/>
      <c r="B127" s="31" t="n"/>
      <c r="C127" s="41">
        <f>IFERROR(VLOOKUP(B127,Productos!A4:B103,2,FALSE),"")</f>
        <v/>
      </c>
      <c r="D127" s="31" t="n"/>
      <c r="E127" s="9" t="n"/>
      <c r="F127" s="32" t="n"/>
      <c r="G127" s="35">
        <f>IFERROR(E127*F127,0)</f>
        <v/>
      </c>
      <c r="H127" s="30" t="n"/>
    </row>
    <row r="128">
      <c r="A128" s="36" t="n"/>
      <c r="B128" s="31" t="n"/>
      <c r="C128" s="41">
        <f>IFERROR(VLOOKUP(B128,Productos!A4:B103,2,FALSE),"")</f>
        <v/>
      </c>
      <c r="D128" s="31" t="n"/>
      <c r="E128" s="9" t="n"/>
      <c r="F128" s="32" t="n"/>
      <c r="G128" s="35">
        <f>IFERROR(E128*F128,0)</f>
        <v/>
      </c>
      <c r="H128" s="30" t="n"/>
    </row>
    <row r="129">
      <c r="A129" s="36" t="n"/>
      <c r="B129" s="31" t="n"/>
      <c r="C129" s="41">
        <f>IFERROR(VLOOKUP(B129,Productos!A4:B103,2,FALSE),"")</f>
        <v/>
      </c>
      <c r="D129" s="31" t="n"/>
      <c r="E129" s="9" t="n"/>
      <c r="F129" s="32" t="n"/>
      <c r="G129" s="35">
        <f>IFERROR(E129*F129,0)</f>
        <v/>
      </c>
      <c r="H129" s="30" t="n"/>
    </row>
    <row r="130">
      <c r="A130" s="36" t="n"/>
      <c r="B130" s="31" t="n"/>
      <c r="C130" s="41">
        <f>IFERROR(VLOOKUP(B130,Productos!A4:B103,2,FALSE),"")</f>
        <v/>
      </c>
      <c r="D130" s="31" t="n"/>
      <c r="E130" s="9" t="n"/>
      <c r="F130" s="32" t="n"/>
      <c r="G130" s="35">
        <f>IFERROR(E130*F130,0)</f>
        <v/>
      </c>
      <c r="H130" s="30" t="n"/>
    </row>
    <row r="131">
      <c r="A131" s="36" t="n"/>
      <c r="B131" s="31" t="n"/>
      <c r="C131" s="41">
        <f>IFERROR(VLOOKUP(B131,Productos!A4:B103,2,FALSE),"")</f>
        <v/>
      </c>
      <c r="D131" s="31" t="n"/>
      <c r="E131" s="9" t="n"/>
      <c r="F131" s="32" t="n"/>
      <c r="G131" s="35">
        <f>IFERROR(E131*F131,0)</f>
        <v/>
      </c>
      <c r="H131" s="30" t="n"/>
    </row>
    <row r="132">
      <c r="A132" s="36" t="n"/>
      <c r="B132" s="31" t="n"/>
      <c r="C132" s="41">
        <f>IFERROR(VLOOKUP(B132,Productos!A4:B103,2,FALSE),"")</f>
        <v/>
      </c>
      <c r="D132" s="31" t="n"/>
      <c r="E132" s="9" t="n"/>
      <c r="F132" s="32" t="n"/>
      <c r="G132" s="35">
        <f>IFERROR(E132*F132,0)</f>
        <v/>
      </c>
      <c r="H132" s="30" t="n"/>
    </row>
    <row r="133">
      <c r="A133" s="36" t="n"/>
      <c r="B133" s="31" t="n"/>
      <c r="C133" s="41">
        <f>IFERROR(VLOOKUP(B133,Productos!A4:B103,2,FALSE),"")</f>
        <v/>
      </c>
      <c r="D133" s="31" t="n"/>
      <c r="E133" s="9" t="n"/>
      <c r="F133" s="32" t="n"/>
      <c r="G133" s="35">
        <f>IFERROR(E133*F133,0)</f>
        <v/>
      </c>
      <c r="H133" s="30" t="n"/>
    </row>
    <row r="134">
      <c r="A134" s="36" t="n"/>
      <c r="B134" s="31" t="n"/>
      <c r="C134" s="41">
        <f>IFERROR(VLOOKUP(B134,Productos!A4:B103,2,FALSE),"")</f>
        <v/>
      </c>
      <c r="D134" s="31" t="n"/>
      <c r="E134" s="9" t="n"/>
      <c r="F134" s="32" t="n"/>
      <c r="G134" s="35">
        <f>IFERROR(E134*F134,0)</f>
        <v/>
      </c>
      <c r="H134" s="30" t="n"/>
    </row>
    <row r="135">
      <c r="A135" s="36" t="n"/>
      <c r="B135" s="31" t="n"/>
      <c r="C135" s="41">
        <f>IFERROR(VLOOKUP(B135,Productos!A4:B103,2,FALSE),"")</f>
        <v/>
      </c>
      <c r="D135" s="31" t="n"/>
      <c r="E135" s="9" t="n"/>
      <c r="F135" s="32" t="n"/>
      <c r="G135" s="35">
        <f>IFERROR(E135*F135,0)</f>
        <v/>
      </c>
      <c r="H135" s="30" t="n"/>
    </row>
    <row r="136">
      <c r="A136" s="36" t="n"/>
      <c r="B136" s="31" t="n"/>
      <c r="C136" s="41">
        <f>IFERROR(VLOOKUP(B136,Productos!A4:B103,2,FALSE),"")</f>
        <v/>
      </c>
      <c r="D136" s="31" t="n"/>
      <c r="E136" s="9" t="n"/>
      <c r="F136" s="32" t="n"/>
      <c r="G136" s="35">
        <f>IFERROR(E136*F136,0)</f>
        <v/>
      </c>
      <c r="H136" s="30" t="n"/>
    </row>
    <row r="137">
      <c r="A137" s="36" t="n"/>
      <c r="B137" s="31" t="n"/>
      <c r="C137" s="41">
        <f>IFERROR(VLOOKUP(B137,Productos!A4:B103,2,FALSE),"")</f>
        <v/>
      </c>
      <c r="D137" s="31" t="n"/>
      <c r="E137" s="9" t="n"/>
      <c r="F137" s="32" t="n"/>
      <c r="G137" s="35">
        <f>IFERROR(E137*F137,0)</f>
        <v/>
      </c>
      <c r="H137" s="30" t="n"/>
    </row>
    <row r="138">
      <c r="A138" s="36" t="n"/>
      <c r="B138" s="31" t="n"/>
      <c r="C138" s="41">
        <f>IFERROR(VLOOKUP(B138,Productos!A4:B103,2,FALSE),"")</f>
        <v/>
      </c>
      <c r="D138" s="31" t="n"/>
      <c r="E138" s="9" t="n"/>
      <c r="F138" s="32" t="n"/>
      <c r="G138" s="35">
        <f>IFERROR(E138*F138,0)</f>
        <v/>
      </c>
      <c r="H138" s="30" t="n"/>
    </row>
    <row r="139">
      <c r="A139" s="36" t="n"/>
      <c r="B139" s="31" t="n"/>
      <c r="C139" s="41">
        <f>IFERROR(VLOOKUP(B139,Productos!A4:B103,2,FALSE),"")</f>
        <v/>
      </c>
      <c r="D139" s="31" t="n"/>
      <c r="E139" s="9" t="n"/>
      <c r="F139" s="32" t="n"/>
      <c r="G139" s="35">
        <f>IFERROR(E139*F139,0)</f>
        <v/>
      </c>
      <c r="H139" s="30" t="n"/>
    </row>
    <row r="140">
      <c r="A140" s="36" t="n"/>
      <c r="B140" s="31" t="n"/>
      <c r="C140" s="41">
        <f>IFERROR(VLOOKUP(B140,Productos!A4:B103,2,FALSE),"")</f>
        <v/>
      </c>
      <c r="D140" s="31" t="n"/>
      <c r="E140" s="9" t="n"/>
      <c r="F140" s="32" t="n"/>
      <c r="G140" s="35">
        <f>IFERROR(E140*F140,0)</f>
        <v/>
      </c>
      <c r="H140" s="30" t="n"/>
    </row>
    <row r="141">
      <c r="A141" s="36" t="n"/>
      <c r="B141" s="31" t="n"/>
      <c r="C141" s="41">
        <f>IFERROR(VLOOKUP(B141,Productos!A4:B103,2,FALSE),"")</f>
        <v/>
      </c>
      <c r="D141" s="31" t="n"/>
      <c r="E141" s="9" t="n"/>
      <c r="F141" s="32" t="n"/>
      <c r="G141" s="35">
        <f>IFERROR(E141*F141,0)</f>
        <v/>
      </c>
      <c r="H141" s="30" t="n"/>
    </row>
    <row r="142">
      <c r="A142" s="36" t="n"/>
      <c r="B142" s="31" t="n"/>
      <c r="C142" s="41">
        <f>IFERROR(VLOOKUP(B142,Productos!A4:B103,2,FALSE),"")</f>
        <v/>
      </c>
      <c r="D142" s="31" t="n"/>
      <c r="E142" s="9" t="n"/>
      <c r="F142" s="32" t="n"/>
      <c r="G142" s="35">
        <f>IFERROR(E142*F142,0)</f>
        <v/>
      </c>
      <c r="H142" s="30" t="n"/>
    </row>
    <row r="143">
      <c r="A143" s="36" t="n"/>
      <c r="B143" s="31" t="n"/>
      <c r="C143" s="41">
        <f>IFERROR(VLOOKUP(B143,Productos!A4:B103,2,FALSE),"")</f>
        <v/>
      </c>
      <c r="D143" s="31" t="n"/>
      <c r="E143" s="9" t="n"/>
      <c r="F143" s="32" t="n"/>
      <c r="G143" s="35">
        <f>IFERROR(E143*F143,0)</f>
        <v/>
      </c>
      <c r="H143" s="30" t="n"/>
    </row>
    <row r="144">
      <c r="A144" s="36" t="n"/>
      <c r="B144" s="31" t="n"/>
      <c r="C144" s="41">
        <f>IFERROR(VLOOKUP(B144,Productos!A4:B103,2,FALSE),"")</f>
        <v/>
      </c>
      <c r="D144" s="31" t="n"/>
      <c r="E144" s="9" t="n"/>
      <c r="F144" s="32" t="n"/>
      <c r="G144" s="35">
        <f>IFERROR(E144*F144,0)</f>
        <v/>
      </c>
      <c r="H144" s="30" t="n"/>
    </row>
    <row r="145">
      <c r="A145" s="36" t="n"/>
      <c r="B145" s="31" t="n"/>
      <c r="C145" s="41">
        <f>IFERROR(VLOOKUP(B145,Productos!A4:B103,2,FALSE),"")</f>
        <v/>
      </c>
      <c r="D145" s="31" t="n"/>
      <c r="E145" s="9" t="n"/>
      <c r="F145" s="32" t="n"/>
      <c r="G145" s="35">
        <f>IFERROR(E145*F145,0)</f>
        <v/>
      </c>
      <c r="H145" s="30" t="n"/>
    </row>
    <row r="146">
      <c r="A146" s="36" t="n"/>
      <c r="B146" s="31" t="n"/>
      <c r="C146" s="41">
        <f>IFERROR(VLOOKUP(B146,Productos!A4:B103,2,FALSE),"")</f>
        <v/>
      </c>
      <c r="D146" s="31" t="n"/>
      <c r="E146" s="9" t="n"/>
      <c r="F146" s="32" t="n"/>
      <c r="G146" s="35">
        <f>IFERROR(E146*F146,0)</f>
        <v/>
      </c>
      <c r="H146" s="30" t="n"/>
    </row>
    <row r="147">
      <c r="A147" s="36" t="n"/>
      <c r="B147" s="31" t="n"/>
      <c r="C147" s="41">
        <f>IFERROR(VLOOKUP(B147,Productos!A4:B103,2,FALSE),"")</f>
        <v/>
      </c>
      <c r="D147" s="31" t="n"/>
      <c r="E147" s="9" t="n"/>
      <c r="F147" s="32" t="n"/>
      <c r="G147" s="35">
        <f>IFERROR(E147*F147,0)</f>
        <v/>
      </c>
      <c r="H147" s="30" t="n"/>
    </row>
    <row r="148">
      <c r="A148" s="36" t="n"/>
      <c r="B148" s="31" t="n"/>
      <c r="C148" s="41">
        <f>IFERROR(VLOOKUP(B148,Productos!A4:B103,2,FALSE),"")</f>
        <v/>
      </c>
      <c r="D148" s="31" t="n"/>
      <c r="E148" s="9" t="n"/>
      <c r="F148" s="32" t="n"/>
      <c r="G148" s="35">
        <f>IFERROR(E148*F148,0)</f>
        <v/>
      </c>
      <c r="H148" s="30" t="n"/>
    </row>
    <row r="149">
      <c r="A149" s="36" t="n"/>
      <c r="B149" s="31" t="n"/>
      <c r="C149" s="41">
        <f>IFERROR(VLOOKUP(B149,Productos!A4:B103,2,FALSE),"")</f>
        <v/>
      </c>
      <c r="D149" s="31" t="n"/>
      <c r="E149" s="9" t="n"/>
      <c r="F149" s="32" t="n"/>
      <c r="G149" s="35">
        <f>IFERROR(E149*F149,0)</f>
        <v/>
      </c>
      <c r="H149" s="30" t="n"/>
    </row>
    <row r="150">
      <c r="A150" s="36" t="n"/>
      <c r="B150" s="31" t="n"/>
      <c r="C150" s="41">
        <f>IFERROR(VLOOKUP(B150,Productos!A4:B103,2,FALSE),"")</f>
        <v/>
      </c>
      <c r="D150" s="31" t="n"/>
      <c r="E150" s="9" t="n"/>
      <c r="F150" s="32" t="n"/>
      <c r="G150" s="35">
        <f>IFERROR(E150*F150,0)</f>
        <v/>
      </c>
      <c r="H150" s="30" t="n"/>
    </row>
    <row r="151">
      <c r="A151" s="36" t="n"/>
      <c r="B151" s="31" t="n"/>
      <c r="C151" s="41">
        <f>IFERROR(VLOOKUP(B151,Productos!A4:B103,2,FALSE),"")</f>
        <v/>
      </c>
      <c r="D151" s="31" t="n"/>
      <c r="E151" s="9" t="n"/>
      <c r="F151" s="32" t="n"/>
      <c r="G151" s="35">
        <f>IFERROR(E151*F151,0)</f>
        <v/>
      </c>
      <c r="H151" s="30" t="n"/>
    </row>
    <row r="152">
      <c r="A152" s="36" t="n"/>
      <c r="B152" s="31" t="n"/>
      <c r="C152" s="41">
        <f>IFERROR(VLOOKUP(B152,Productos!A4:B103,2,FALSE),"")</f>
        <v/>
      </c>
      <c r="D152" s="31" t="n"/>
      <c r="E152" s="9" t="n"/>
      <c r="F152" s="32" t="n"/>
      <c r="G152" s="35">
        <f>IFERROR(E152*F152,0)</f>
        <v/>
      </c>
      <c r="H152" s="30" t="n"/>
    </row>
    <row r="153">
      <c r="A153" s="36" t="n"/>
      <c r="B153" s="31" t="n"/>
      <c r="C153" s="41">
        <f>IFERROR(VLOOKUP(B153,Productos!A4:B103,2,FALSE),"")</f>
        <v/>
      </c>
      <c r="D153" s="31" t="n"/>
      <c r="E153" s="9" t="n"/>
      <c r="F153" s="32" t="n"/>
      <c r="G153" s="35">
        <f>IFERROR(E153*F153,0)</f>
        <v/>
      </c>
      <c r="H153" s="30" t="n"/>
    </row>
    <row r="154">
      <c r="A154" s="36" t="n"/>
      <c r="B154" s="31" t="n"/>
      <c r="C154" s="41">
        <f>IFERROR(VLOOKUP(B154,Productos!A4:B103,2,FALSE),"")</f>
        <v/>
      </c>
      <c r="D154" s="31" t="n"/>
      <c r="E154" s="9" t="n"/>
      <c r="F154" s="32" t="n"/>
      <c r="G154" s="35">
        <f>IFERROR(E154*F154,0)</f>
        <v/>
      </c>
      <c r="H154" s="30" t="n"/>
    </row>
    <row r="155">
      <c r="A155" s="36" t="n"/>
      <c r="B155" s="31" t="n"/>
      <c r="C155" s="41">
        <f>IFERROR(VLOOKUP(B155,Productos!A4:B103,2,FALSE),"")</f>
        <v/>
      </c>
      <c r="D155" s="31" t="n"/>
      <c r="E155" s="9" t="n"/>
      <c r="F155" s="32" t="n"/>
      <c r="G155" s="35">
        <f>IFERROR(E155*F155,0)</f>
        <v/>
      </c>
      <c r="H155" s="30" t="n"/>
    </row>
    <row r="156">
      <c r="A156" s="36" t="n"/>
      <c r="B156" s="31" t="n"/>
      <c r="C156" s="41">
        <f>IFERROR(VLOOKUP(B156,Productos!A4:B103,2,FALSE),"")</f>
        <v/>
      </c>
      <c r="D156" s="31" t="n"/>
      <c r="E156" s="9" t="n"/>
      <c r="F156" s="32" t="n"/>
      <c r="G156" s="35">
        <f>IFERROR(E156*F156,0)</f>
        <v/>
      </c>
      <c r="H156" s="30" t="n"/>
    </row>
    <row r="157">
      <c r="A157" s="36" t="n"/>
      <c r="B157" s="31" t="n"/>
      <c r="C157" s="41">
        <f>IFERROR(VLOOKUP(B157,Productos!A4:B103,2,FALSE),"")</f>
        <v/>
      </c>
      <c r="D157" s="31" t="n"/>
      <c r="E157" s="9" t="n"/>
      <c r="F157" s="32" t="n"/>
      <c r="G157" s="35">
        <f>IFERROR(E157*F157,0)</f>
        <v/>
      </c>
      <c r="H157" s="30" t="n"/>
    </row>
    <row r="158">
      <c r="A158" s="36" t="n"/>
      <c r="B158" s="31" t="n"/>
      <c r="C158" s="41">
        <f>IFERROR(VLOOKUP(B158,Productos!A4:B103,2,FALSE),"")</f>
        <v/>
      </c>
      <c r="D158" s="31" t="n"/>
      <c r="E158" s="9" t="n"/>
      <c r="F158" s="32" t="n"/>
      <c r="G158" s="35">
        <f>IFERROR(E158*F158,0)</f>
        <v/>
      </c>
      <c r="H158" s="30" t="n"/>
    </row>
    <row r="159">
      <c r="A159" s="36" t="n"/>
      <c r="B159" s="31" t="n"/>
      <c r="C159" s="41">
        <f>IFERROR(VLOOKUP(B159,Productos!A4:B103,2,FALSE),"")</f>
        <v/>
      </c>
      <c r="D159" s="31" t="n"/>
      <c r="E159" s="9" t="n"/>
      <c r="F159" s="32" t="n"/>
      <c r="G159" s="35">
        <f>IFERROR(E159*F159,0)</f>
        <v/>
      </c>
      <c r="H159" s="30" t="n"/>
    </row>
    <row r="160">
      <c r="A160" s="36" t="n"/>
      <c r="B160" s="31" t="n"/>
      <c r="C160" s="41">
        <f>IFERROR(VLOOKUP(B160,Productos!A4:B103,2,FALSE),"")</f>
        <v/>
      </c>
      <c r="D160" s="31" t="n"/>
      <c r="E160" s="9" t="n"/>
      <c r="F160" s="32" t="n"/>
      <c r="G160" s="35">
        <f>IFERROR(E160*F160,0)</f>
        <v/>
      </c>
      <c r="H160" s="30" t="n"/>
    </row>
    <row r="161">
      <c r="A161" s="36" t="n"/>
      <c r="B161" s="31" t="n"/>
      <c r="C161" s="41">
        <f>IFERROR(VLOOKUP(B161,Productos!A4:B103,2,FALSE),"")</f>
        <v/>
      </c>
      <c r="D161" s="31" t="n"/>
      <c r="E161" s="9" t="n"/>
      <c r="F161" s="32" t="n"/>
      <c r="G161" s="35">
        <f>IFERROR(E161*F161,0)</f>
        <v/>
      </c>
      <c r="H161" s="30" t="n"/>
    </row>
    <row r="162">
      <c r="A162" s="36" t="n"/>
      <c r="B162" s="31" t="n"/>
      <c r="C162" s="41">
        <f>IFERROR(VLOOKUP(B162,Productos!A4:B103,2,FALSE),"")</f>
        <v/>
      </c>
      <c r="D162" s="31" t="n"/>
      <c r="E162" s="9" t="n"/>
      <c r="F162" s="32" t="n"/>
      <c r="G162" s="35">
        <f>IFERROR(E162*F162,0)</f>
        <v/>
      </c>
      <c r="H162" s="30" t="n"/>
    </row>
    <row r="163">
      <c r="A163" s="36" t="n"/>
      <c r="B163" s="31" t="n"/>
      <c r="C163" s="41">
        <f>IFERROR(VLOOKUP(B163,Productos!A4:B103,2,FALSE),"")</f>
        <v/>
      </c>
      <c r="D163" s="31" t="n"/>
      <c r="E163" s="9" t="n"/>
      <c r="F163" s="32" t="n"/>
      <c r="G163" s="35">
        <f>IFERROR(E163*F163,0)</f>
        <v/>
      </c>
      <c r="H163" s="30" t="n"/>
    </row>
    <row r="164">
      <c r="A164" s="36" t="n"/>
      <c r="B164" s="31" t="n"/>
      <c r="C164" s="41">
        <f>IFERROR(VLOOKUP(B164,Productos!A4:B103,2,FALSE),"")</f>
        <v/>
      </c>
      <c r="D164" s="31" t="n"/>
      <c r="E164" s="9" t="n"/>
      <c r="F164" s="32" t="n"/>
      <c r="G164" s="35">
        <f>IFERROR(E164*F164,0)</f>
        <v/>
      </c>
      <c r="H164" s="30" t="n"/>
    </row>
    <row r="165">
      <c r="A165" s="36" t="n"/>
      <c r="B165" s="31" t="n"/>
      <c r="C165" s="41">
        <f>IFERROR(VLOOKUP(B165,Productos!A4:B103,2,FALSE),"")</f>
        <v/>
      </c>
      <c r="D165" s="31" t="n"/>
      <c r="E165" s="9" t="n"/>
      <c r="F165" s="32" t="n"/>
      <c r="G165" s="35">
        <f>IFERROR(E165*F165,0)</f>
        <v/>
      </c>
      <c r="H165" s="30" t="n"/>
    </row>
    <row r="166">
      <c r="A166" s="36" t="n"/>
      <c r="B166" s="31" t="n"/>
      <c r="C166" s="41">
        <f>IFERROR(VLOOKUP(B166,Productos!A4:B103,2,FALSE),"")</f>
        <v/>
      </c>
      <c r="D166" s="31" t="n"/>
      <c r="E166" s="9" t="n"/>
      <c r="F166" s="32" t="n"/>
      <c r="G166" s="35">
        <f>IFERROR(E166*F166,0)</f>
        <v/>
      </c>
      <c r="H166" s="30" t="n"/>
    </row>
    <row r="167">
      <c r="A167" s="36" t="n"/>
      <c r="B167" s="31" t="n"/>
      <c r="C167" s="41">
        <f>IFERROR(VLOOKUP(B167,Productos!A4:B103,2,FALSE),"")</f>
        <v/>
      </c>
      <c r="D167" s="31" t="n"/>
      <c r="E167" s="9" t="n"/>
      <c r="F167" s="32" t="n"/>
      <c r="G167" s="35">
        <f>IFERROR(E167*F167,0)</f>
        <v/>
      </c>
      <c r="H167" s="30" t="n"/>
    </row>
    <row r="168">
      <c r="A168" s="36" t="n"/>
      <c r="B168" s="31" t="n"/>
      <c r="C168" s="41">
        <f>IFERROR(VLOOKUP(B168,Productos!A4:B103,2,FALSE),"")</f>
        <v/>
      </c>
      <c r="D168" s="31" t="n"/>
      <c r="E168" s="9" t="n"/>
      <c r="F168" s="32" t="n"/>
      <c r="G168" s="35">
        <f>IFERROR(E168*F168,0)</f>
        <v/>
      </c>
      <c r="H168" s="30" t="n"/>
    </row>
    <row r="169">
      <c r="A169" s="36" t="n"/>
      <c r="B169" s="31" t="n"/>
      <c r="C169" s="41">
        <f>IFERROR(VLOOKUP(B169,Productos!A4:B103,2,FALSE),"")</f>
        <v/>
      </c>
      <c r="D169" s="31" t="n"/>
      <c r="E169" s="9" t="n"/>
      <c r="F169" s="32" t="n"/>
      <c r="G169" s="35">
        <f>IFERROR(E169*F169,0)</f>
        <v/>
      </c>
      <c r="H169" s="30" t="n"/>
    </row>
    <row r="170">
      <c r="A170" s="36" t="n"/>
      <c r="B170" s="31" t="n"/>
      <c r="C170" s="41">
        <f>IFERROR(VLOOKUP(B170,Productos!A4:B103,2,FALSE),"")</f>
        <v/>
      </c>
      <c r="D170" s="31" t="n"/>
      <c r="E170" s="9" t="n"/>
      <c r="F170" s="32" t="n"/>
      <c r="G170" s="35">
        <f>IFERROR(E170*F170,0)</f>
        <v/>
      </c>
      <c r="H170" s="30" t="n"/>
    </row>
    <row r="171">
      <c r="A171" s="36" t="n"/>
      <c r="B171" s="31" t="n"/>
      <c r="C171" s="41">
        <f>IFERROR(VLOOKUP(B171,Productos!A4:B103,2,FALSE),"")</f>
        <v/>
      </c>
      <c r="D171" s="31" t="n"/>
      <c r="E171" s="9" t="n"/>
      <c r="F171" s="32" t="n"/>
      <c r="G171" s="35">
        <f>IFERROR(E171*F171,0)</f>
        <v/>
      </c>
      <c r="H171" s="30" t="n"/>
    </row>
    <row r="172">
      <c r="A172" s="36" t="n"/>
      <c r="B172" s="31" t="n"/>
      <c r="C172" s="41">
        <f>IFERROR(VLOOKUP(B172,Productos!A4:B103,2,FALSE),"")</f>
        <v/>
      </c>
      <c r="D172" s="31" t="n"/>
      <c r="E172" s="9" t="n"/>
      <c r="F172" s="32" t="n"/>
      <c r="G172" s="35">
        <f>IFERROR(E172*F172,0)</f>
        <v/>
      </c>
      <c r="H172" s="30" t="n"/>
    </row>
    <row r="173">
      <c r="A173" s="36" t="n"/>
      <c r="B173" s="31" t="n"/>
      <c r="C173" s="41">
        <f>IFERROR(VLOOKUP(B173,Productos!A4:B103,2,FALSE),"")</f>
        <v/>
      </c>
      <c r="D173" s="31" t="n"/>
      <c r="E173" s="9" t="n"/>
      <c r="F173" s="32" t="n"/>
      <c r="G173" s="35">
        <f>IFERROR(E173*F173,0)</f>
        <v/>
      </c>
      <c r="H173" s="30" t="n"/>
    </row>
    <row r="174">
      <c r="A174" s="36" t="n"/>
      <c r="B174" s="31" t="n"/>
      <c r="C174" s="41">
        <f>IFERROR(VLOOKUP(B174,Productos!A4:B103,2,FALSE),"")</f>
        <v/>
      </c>
      <c r="D174" s="31" t="n"/>
      <c r="E174" s="9" t="n"/>
      <c r="F174" s="32" t="n"/>
      <c r="G174" s="35">
        <f>IFERROR(E174*F174,0)</f>
        <v/>
      </c>
      <c r="H174" s="30" t="n"/>
    </row>
    <row r="175">
      <c r="A175" s="36" t="n"/>
      <c r="B175" s="31" t="n"/>
      <c r="C175" s="41">
        <f>IFERROR(VLOOKUP(B175,Productos!A4:B103,2,FALSE),"")</f>
        <v/>
      </c>
      <c r="D175" s="31" t="n"/>
      <c r="E175" s="9" t="n"/>
      <c r="F175" s="32" t="n"/>
      <c r="G175" s="35">
        <f>IFERROR(E175*F175,0)</f>
        <v/>
      </c>
      <c r="H175" s="30" t="n"/>
    </row>
    <row r="176">
      <c r="A176" s="36" t="n"/>
      <c r="B176" s="31" t="n"/>
      <c r="C176" s="41">
        <f>IFERROR(VLOOKUP(B176,Productos!A4:B103,2,FALSE),"")</f>
        <v/>
      </c>
      <c r="D176" s="31" t="n"/>
      <c r="E176" s="9" t="n"/>
      <c r="F176" s="32" t="n"/>
      <c r="G176" s="35">
        <f>IFERROR(E176*F176,0)</f>
        <v/>
      </c>
      <c r="H176" s="30" t="n"/>
    </row>
    <row r="177">
      <c r="A177" s="36" t="n"/>
      <c r="B177" s="31" t="n"/>
      <c r="C177" s="41">
        <f>IFERROR(VLOOKUP(B177,Productos!A4:B103,2,FALSE),"")</f>
        <v/>
      </c>
      <c r="D177" s="31" t="n"/>
      <c r="E177" s="9" t="n"/>
      <c r="F177" s="32" t="n"/>
      <c r="G177" s="35">
        <f>IFERROR(E177*F177,0)</f>
        <v/>
      </c>
      <c r="H177" s="30" t="n"/>
    </row>
    <row r="178">
      <c r="A178" s="36" t="n"/>
      <c r="B178" s="31" t="n"/>
      <c r="C178" s="41">
        <f>IFERROR(VLOOKUP(B178,Productos!A4:B103,2,FALSE),"")</f>
        <v/>
      </c>
      <c r="D178" s="31" t="n"/>
      <c r="E178" s="9" t="n"/>
      <c r="F178" s="32" t="n"/>
      <c r="G178" s="35">
        <f>IFERROR(E178*F178,0)</f>
        <v/>
      </c>
      <c r="H178" s="30" t="n"/>
    </row>
    <row r="179">
      <c r="A179" s="36" t="n"/>
      <c r="B179" s="31" t="n"/>
      <c r="C179" s="41">
        <f>IFERROR(VLOOKUP(B179,Productos!A4:B103,2,FALSE),"")</f>
        <v/>
      </c>
      <c r="D179" s="31" t="n"/>
      <c r="E179" s="9" t="n"/>
      <c r="F179" s="32" t="n"/>
      <c r="G179" s="35">
        <f>IFERROR(E179*F179,0)</f>
        <v/>
      </c>
      <c r="H179" s="30" t="n"/>
    </row>
    <row r="180">
      <c r="A180" s="36" t="n"/>
      <c r="B180" s="31" t="n"/>
      <c r="C180" s="41">
        <f>IFERROR(VLOOKUP(B180,Productos!A4:B103,2,FALSE),"")</f>
        <v/>
      </c>
      <c r="D180" s="31" t="n"/>
      <c r="E180" s="9" t="n"/>
      <c r="F180" s="32" t="n"/>
      <c r="G180" s="35">
        <f>IFERROR(E180*F180,0)</f>
        <v/>
      </c>
      <c r="H180" s="30" t="n"/>
    </row>
    <row r="181">
      <c r="A181" s="36" t="n"/>
      <c r="B181" s="31" t="n"/>
      <c r="C181" s="41">
        <f>IFERROR(VLOOKUP(B181,Productos!A4:B103,2,FALSE),"")</f>
        <v/>
      </c>
      <c r="D181" s="31" t="n"/>
      <c r="E181" s="9" t="n"/>
      <c r="F181" s="32" t="n"/>
      <c r="G181" s="35">
        <f>IFERROR(E181*F181,0)</f>
        <v/>
      </c>
      <c r="H181" s="30" t="n"/>
    </row>
    <row r="182">
      <c r="A182" s="36" t="n"/>
      <c r="B182" s="31" t="n"/>
      <c r="C182" s="41">
        <f>IFERROR(VLOOKUP(B182,Productos!A4:B103,2,FALSE),"")</f>
        <v/>
      </c>
      <c r="D182" s="31" t="n"/>
      <c r="E182" s="9" t="n"/>
      <c r="F182" s="32" t="n"/>
      <c r="G182" s="35">
        <f>IFERROR(E182*F182,0)</f>
        <v/>
      </c>
      <c r="H182" s="30" t="n"/>
    </row>
    <row r="183">
      <c r="A183" s="36" t="n"/>
      <c r="B183" s="31" t="n"/>
      <c r="C183" s="41">
        <f>IFERROR(VLOOKUP(B183,Productos!A4:B103,2,FALSE),"")</f>
        <v/>
      </c>
      <c r="D183" s="31" t="n"/>
      <c r="E183" s="9" t="n"/>
      <c r="F183" s="32" t="n"/>
      <c r="G183" s="35">
        <f>IFERROR(E183*F183,0)</f>
        <v/>
      </c>
      <c r="H183" s="30" t="n"/>
    </row>
    <row r="184">
      <c r="A184" s="36" t="n"/>
      <c r="B184" s="31" t="n"/>
      <c r="C184" s="41">
        <f>IFERROR(VLOOKUP(B184,Productos!A4:B103,2,FALSE),"")</f>
        <v/>
      </c>
      <c r="D184" s="31" t="n"/>
      <c r="E184" s="9" t="n"/>
      <c r="F184" s="32" t="n"/>
      <c r="G184" s="35">
        <f>IFERROR(E184*F184,0)</f>
        <v/>
      </c>
      <c r="H184" s="30" t="n"/>
    </row>
    <row r="185">
      <c r="A185" s="36" t="n"/>
      <c r="B185" s="31" t="n"/>
      <c r="C185" s="41">
        <f>IFERROR(VLOOKUP(B185,Productos!A4:B103,2,FALSE),"")</f>
        <v/>
      </c>
      <c r="D185" s="31" t="n"/>
      <c r="E185" s="9" t="n"/>
      <c r="F185" s="32" t="n"/>
      <c r="G185" s="35">
        <f>IFERROR(E185*F185,0)</f>
        <v/>
      </c>
      <c r="H185" s="30" t="n"/>
    </row>
    <row r="186">
      <c r="A186" s="36" t="n"/>
      <c r="B186" s="31" t="n"/>
      <c r="C186" s="41">
        <f>IFERROR(VLOOKUP(B186,Productos!A4:B103,2,FALSE),"")</f>
        <v/>
      </c>
      <c r="D186" s="31" t="n"/>
      <c r="E186" s="9" t="n"/>
      <c r="F186" s="32" t="n"/>
      <c r="G186" s="35">
        <f>IFERROR(E186*F186,0)</f>
        <v/>
      </c>
      <c r="H186" s="30" t="n"/>
    </row>
    <row r="187">
      <c r="A187" s="36" t="n"/>
      <c r="B187" s="31" t="n"/>
      <c r="C187" s="41">
        <f>IFERROR(VLOOKUP(B187,Productos!A4:B103,2,FALSE),"")</f>
        <v/>
      </c>
      <c r="D187" s="31" t="n"/>
      <c r="E187" s="9" t="n"/>
      <c r="F187" s="32" t="n"/>
      <c r="G187" s="35">
        <f>IFERROR(E187*F187,0)</f>
        <v/>
      </c>
      <c r="H187" s="30" t="n"/>
    </row>
    <row r="188">
      <c r="A188" s="36" t="n"/>
      <c r="B188" s="31" t="n"/>
      <c r="C188" s="41">
        <f>IFERROR(VLOOKUP(B188,Productos!A4:B103,2,FALSE),"")</f>
        <v/>
      </c>
      <c r="D188" s="31" t="n"/>
      <c r="E188" s="9" t="n"/>
      <c r="F188" s="32" t="n"/>
      <c r="G188" s="35">
        <f>IFERROR(E188*F188,0)</f>
        <v/>
      </c>
      <c r="H188" s="30" t="n"/>
    </row>
    <row r="189">
      <c r="A189" s="36" t="n"/>
      <c r="B189" s="31" t="n"/>
      <c r="C189" s="41">
        <f>IFERROR(VLOOKUP(B189,Productos!A4:B103,2,FALSE),"")</f>
        <v/>
      </c>
      <c r="D189" s="31" t="n"/>
      <c r="E189" s="9" t="n"/>
      <c r="F189" s="32" t="n"/>
      <c r="G189" s="35">
        <f>IFERROR(E189*F189,0)</f>
        <v/>
      </c>
      <c r="H189" s="30" t="n"/>
    </row>
    <row r="190">
      <c r="A190" s="36" t="n"/>
      <c r="B190" s="31" t="n"/>
      <c r="C190" s="41">
        <f>IFERROR(VLOOKUP(B190,Productos!A4:B103,2,FALSE),"")</f>
        <v/>
      </c>
      <c r="D190" s="31" t="n"/>
      <c r="E190" s="9" t="n"/>
      <c r="F190" s="32" t="n"/>
      <c r="G190" s="35">
        <f>IFERROR(E190*F190,0)</f>
        <v/>
      </c>
      <c r="H190" s="30" t="n"/>
    </row>
    <row r="191">
      <c r="A191" s="36" t="n"/>
      <c r="B191" s="31" t="n"/>
      <c r="C191" s="41">
        <f>IFERROR(VLOOKUP(B191,Productos!A4:B103,2,FALSE),"")</f>
        <v/>
      </c>
      <c r="D191" s="31" t="n"/>
      <c r="E191" s="9" t="n"/>
      <c r="F191" s="32" t="n"/>
      <c r="G191" s="35">
        <f>IFERROR(E191*F191,0)</f>
        <v/>
      </c>
      <c r="H191" s="30" t="n"/>
    </row>
    <row r="192">
      <c r="A192" s="36" t="n"/>
      <c r="B192" s="31" t="n"/>
      <c r="C192" s="41">
        <f>IFERROR(VLOOKUP(B192,Productos!A4:B103,2,FALSE),"")</f>
        <v/>
      </c>
      <c r="D192" s="31" t="n"/>
      <c r="E192" s="9" t="n"/>
      <c r="F192" s="32" t="n"/>
      <c r="G192" s="35">
        <f>IFERROR(E192*F192,0)</f>
        <v/>
      </c>
      <c r="H192" s="30" t="n"/>
    </row>
    <row r="193">
      <c r="A193" s="36" t="n"/>
      <c r="B193" s="31" t="n"/>
      <c r="C193" s="41">
        <f>IFERROR(VLOOKUP(B193,Productos!A4:B103,2,FALSE),"")</f>
        <v/>
      </c>
      <c r="D193" s="31" t="n"/>
      <c r="E193" s="9" t="n"/>
      <c r="F193" s="32" t="n"/>
      <c r="G193" s="35">
        <f>IFERROR(E193*F193,0)</f>
        <v/>
      </c>
      <c r="H193" s="30" t="n"/>
    </row>
    <row r="194">
      <c r="A194" s="36" t="n"/>
      <c r="B194" s="31" t="n"/>
      <c r="C194" s="41">
        <f>IFERROR(VLOOKUP(B194,Productos!A4:B103,2,FALSE),"")</f>
        <v/>
      </c>
      <c r="D194" s="31" t="n"/>
      <c r="E194" s="9" t="n"/>
      <c r="F194" s="32" t="n"/>
      <c r="G194" s="35">
        <f>IFERROR(E194*F194,0)</f>
        <v/>
      </c>
      <c r="H194" s="30" t="n"/>
    </row>
    <row r="195">
      <c r="A195" s="36" t="n"/>
      <c r="B195" s="31" t="n"/>
      <c r="C195" s="41">
        <f>IFERROR(VLOOKUP(B195,Productos!A4:B103,2,FALSE),"")</f>
        <v/>
      </c>
      <c r="D195" s="31" t="n"/>
      <c r="E195" s="9" t="n"/>
      <c r="F195" s="32" t="n"/>
      <c r="G195" s="35">
        <f>IFERROR(E195*F195,0)</f>
        <v/>
      </c>
      <c r="H195" s="30" t="n"/>
    </row>
    <row r="196">
      <c r="A196" s="36" t="n"/>
      <c r="B196" s="31" t="n"/>
      <c r="C196" s="41">
        <f>IFERROR(VLOOKUP(B196,Productos!A4:B103,2,FALSE),"")</f>
        <v/>
      </c>
      <c r="D196" s="31" t="n"/>
      <c r="E196" s="9" t="n"/>
      <c r="F196" s="32" t="n"/>
      <c r="G196" s="35">
        <f>IFERROR(E196*F196,0)</f>
        <v/>
      </c>
      <c r="H196" s="30" t="n"/>
    </row>
    <row r="197">
      <c r="A197" s="36" t="n"/>
      <c r="B197" s="31" t="n"/>
      <c r="C197" s="41">
        <f>IFERROR(VLOOKUP(B197,Productos!A4:B103,2,FALSE),"")</f>
        <v/>
      </c>
      <c r="D197" s="31" t="n"/>
      <c r="E197" s="9" t="n"/>
      <c r="F197" s="32" t="n"/>
      <c r="G197" s="35">
        <f>IFERROR(E197*F197,0)</f>
        <v/>
      </c>
      <c r="H197" s="30" t="n"/>
    </row>
    <row r="198">
      <c r="A198" s="36" t="n"/>
      <c r="B198" s="31" t="n"/>
      <c r="C198" s="41">
        <f>IFERROR(VLOOKUP(B198,Productos!A4:B103,2,FALSE),"")</f>
        <v/>
      </c>
      <c r="D198" s="31" t="n"/>
      <c r="E198" s="9" t="n"/>
      <c r="F198" s="32" t="n"/>
      <c r="G198" s="35">
        <f>IFERROR(E198*F198,0)</f>
        <v/>
      </c>
      <c r="H198" s="30" t="n"/>
    </row>
    <row r="199">
      <c r="A199" s="36" t="n"/>
      <c r="B199" s="31" t="n"/>
      <c r="C199" s="41">
        <f>IFERROR(VLOOKUP(B199,Productos!A4:B103,2,FALSE),"")</f>
        <v/>
      </c>
      <c r="D199" s="31" t="n"/>
      <c r="E199" s="9" t="n"/>
      <c r="F199" s="32" t="n"/>
      <c r="G199" s="35">
        <f>IFERROR(E199*F199,0)</f>
        <v/>
      </c>
      <c r="H199" s="30" t="n"/>
    </row>
    <row r="200">
      <c r="A200" s="36" t="n"/>
      <c r="B200" s="31" t="n"/>
      <c r="C200" s="41">
        <f>IFERROR(VLOOKUP(B200,Productos!A4:B103,2,FALSE),"")</f>
        <v/>
      </c>
      <c r="D200" s="31" t="n"/>
      <c r="E200" s="9" t="n"/>
      <c r="F200" s="32" t="n"/>
      <c r="G200" s="35">
        <f>IFERROR(E200*F200,0)</f>
        <v/>
      </c>
      <c r="H200" s="30" t="n"/>
    </row>
    <row r="201">
      <c r="A201" s="36" t="n"/>
      <c r="B201" s="31" t="n"/>
      <c r="C201" s="41">
        <f>IFERROR(VLOOKUP(B201,Productos!A4:B103,2,FALSE),"")</f>
        <v/>
      </c>
      <c r="D201" s="31" t="n"/>
      <c r="E201" s="9" t="n"/>
      <c r="F201" s="32" t="n"/>
      <c r="G201" s="35">
        <f>IFERROR(E201*F201,0)</f>
        <v/>
      </c>
      <c r="H201" s="30" t="n"/>
    </row>
    <row r="202">
      <c r="A202" s="36" t="n"/>
      <c r="B202" s="31" t="n"/>
      <c r="C202" s="41">
        <f>IFERROR(VLOOKUP(B202,Productos!A4:B103,2,FALSE),"")</f>
        <v/>
      </c>
      <c r="D202" s="31" t="n"/>
      <c r="E202" s="9" t="n"/>
      <c r="F202" s="32" t="n"/>
      <c r="G202" s="35">
        <f>IFERROR(E202*F202,0)</f>
        <v/>
      </c>
      <c r="H202" s="30" t="n"/>
    </row>
    <row r="203">
      <c r="A203" s="36" t="n"/>
      <c r="B203" s="31" t="n"/>
      <c r="C203" s="41">
        <f>IFERROR(VLOOKUP(B203,Productos!A4:B103,2,FALSE),"")</f>
        <v/>
      </c>
      <c r="D203" s="31" t="n"/>
      <c r="E203" s="9" t="n"/>
      <c r="F203" s="32" t="n"/>
      <c r="G203" s="35">
        <f>IFERROR(E203*F203,0)</f>
        <v/>
      </c>
      <c r="H203" s="3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2:H2"/>
    <mergeCell ref="A1:H1"/>
  </mergeCells>
  <dataValidations count="1">
    <dataValidation sqref="D4:D203" showDropDown="0" showInputMessage="0" showErrorMessage="0" allowBlank="1" promptTitle="Tipo de Movimiento" prompt="ENTRADA = compras/reposición, SALIDA = ajustes/pérdidas" type="list">
      <formula1>"ENTRADA,SALIDA"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98DB"/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3" customWidth="1" min="6" max="6"/>
    <col width="22" customWidth="1" min="7" max="7"/>
    <col width="18" customWidth="1" min="8" max="8"/>
    <col width="18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6" t="inlineStr">
        <is>
          <t>REPORTES DE VENTAS</t>
        </is>
      </c>
      <c r="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42" t="inlineStr">
        <is>
          <t>VENTAS POR CATEGORÍA</t>
        </is>
      </c>
      <c r="C4" s="1" t="n"/>
      <c r="D4" s="1" t="n"/>
      <c r="E4" s="1" t="n"/>
      <c r="F4" s="1" t="n"/>
      <c r="G4" s="42" t="inlineStr">
        <is>
          <t>VENTAS POR VENDEDOR</t>
        </is>
      </c>
      <c r="H4" s="1" t="n"/>
      <c r="I4" s="1" t="n"/>
      <c r="J4" s="1" t="n"/>
    </row>
    <row r="5">
      <c r="A5" s="1" t="n"/>
      <c r="B5" s="28" t="inlineStr">
        <is>
          <t>Categoría</t>
        </is>
      </c>
      <c r="C5" s="28" t="inlineStr">
        <is>
          <t>Ventas (Bs.)</t>
        </is>
      </c>
      <c r="D5" s="28" t="inlineStr">
        <is>
          <t>% del Total</t>
        </is>
      </c>
      <c r="E5" s="1" t="n"/>
      <c r="F5" s="1" t="n"/>
      <c r="G5" s="28" t="inlineStr">
        <is>
          <t>Vendedor</t>
        </is>
      </c>
      <c r="H5" s="28" t="inlineStr">
        <is>
          <t>Ventas (Bs.)</t>
        </is>
      </c>
      <c r="I5" s="28" t="inlineStr">
        <is>
          <t># Transacciones</t>
        </is>
      </c>
      <c r="J5" s="1" t="n"/>
    </row>
    <row r="6">
      <c r="A6" s="1" t="n"/>
      <c r="B6" s="24" t="inlineStr">
        <is>
          <t>Alimentos</t>
        </is>
      </c>
      <c r="C6" s="25">
        <f>IFERROR(SUMPRODUCT((VLOOKUP(Ventas!C4:C203,Productos!A4:C103,3,FALSE)="Alimentos")*Ventas!H4:H203),0)</f>
        <v/>
      </c>
      <c r="D6" s="43">
        <f>IFERROR(C6/SUM(C6:C11),0)</f>
        <v/>
      </c>
      <c r="E6" s="1" t="n"/>
      <c r="F6" s="1" t="n"/>
      <c r="G6" s="24" t="inlineStr">
        <is>
          <t>Ana</t>
        </is>
      </c>
      <c r="H6" s="25">
        <f>IFERROR(SUMPRODUCT((Ventas!J4:J203="Ana")*Ventas!H4:H203),0)</f>
        <v/>
      </c>
      <c r="I6" s="44">
        <f>COUNTIF(Ventas!J4:J203,"Ana")</f>
        <v/>
      </c>
      <c r="J6" s="1" t="n"/>
    </row>
    <row r="7">
      <c r="A7" s="1" t="n"/>
      <c r="B7" s="24" t="inlineStr">
        <is>
          <t>Bebidas</t>
        </is>
      </c>
      <c r="C7" s="25">
        <f>IFERROR(SUMPRODUCT((VLOOKUP(Ventas!C4:C203,Productos!A4:C103,3,FALSE)="Bebidas")*Ventas!H4:H203),0)</f>
        <v/>
      </c>
      <c r="D7" s="43">
        <f>IFERROR(C7/SUM(C6:C11),0)</f>
        <v/>
      </c>
      <c r="E7" s="1" t="n"/>
      <c r="F7" s="1" t="n"/>
      <c r="G7" s="24" t="inlineStr">
        <is>
          <t>Carlos</t>
        </is>
      </c>
      <c r="H7" s="25">
        <f>IFERROR(SUMPRODUCT((Ventas!J4:J203="Carlos")*Ventas!H4:H203),0)</f>
        <v/>
      </c>
      <c r="I7" s="44">
        <f>COUNTIF(Ventas!J4:J203,"Carlos")</f>
        <v/>
      </c>
      <c r="J7" s="1" t="n"/>
    </row>
    <row r="8">
      <c r="A8" s="1" t="n"/>
      <c r="B8" s="24" t="inlineStr">
        <is>
          <t>Limpieza</t>
        </is>
      </c>
      <c r="C8" s="25">
        <f>IFERROR(SUMPRODUCT((VLOOKUP(Ventas!C4:C203,Productos!A4:C103,3,FALSE)="Limpieza")*Ventas!H4:H203),0)</f>
        <v/>
      </c>
      <c r="D8" s="43">
        <f>IFERROR(C8/SUM(C6:C11),0)</f>
        <v/>
      </c>
      <c r="E8" s="1" t="n"/>
      <c r="F8" s="1" t="n"/>
      <c r="G8" s="24" t="inlineStr">
        <is>
          <t>María</t>
        </is>
      </c>
      <c r="H8" s="25">
        <f>IFERROR(SUMPRODUCT((Ventas!J4:J203="María")*Ventas!H4:H203),0)</f>
        <v/>
      </c>
      <c r="I8" s="44">
        <f>COUNTIF(Ventas!J4:J203,"María")</f>
        <v/>
      </c>
      <c r="J8" s="1" t="n"/>
    </row>
    <row r="9">
      <c r="A9" s="1" t="n"/>
      <c r="B9" s="24" t="inlineStr">
        <is>
          <t>Electrónica</t>
        </is>
      </c>
      <c r="C9" s="25">
        <f>IFERROR(SUMPRODUCT((VLOOKUP(Ventas!C4:C203,Productos!A4:C103,3,FALSE)="Electrónica")*Ventas!H4:H203),0)</f>
        <v/>
      </c>
      <c r="D9" s="43">
        <f>IFERROR(C9/SUM(C6:C11),0)</f>
        <v/>
      </c>
      <c r="E9" s="1" t="n"/>
      <c r="F9" s="1" t="n"/>
      <c r="G9" s="24" t="inlineStr">
        <is>
          <t>Pedro</t>
        </is>
      </c>
      <c r="H9" s="25">
        <f>IFERROR(SUMPRODUCT((Ventas!J4:J203="Pedro")*Ventas!H4:H203),0)</f>
        <v/>
      </c>
      <c r="I9" s="44">
        <f>COUNTIF(Ventas!J4:J203,"Pedro")</f>
        <v/>
      </c>
      <c r="J9" s="1" t="n"/>
    </row>
    <row r="10">
      <c r="A10" s="1" t="n"/>
      <c r="B10" s="24" t="inlineStr">
        <is>
          <t>Ropa</t>
        </is>
      </c>
      <c r="C10" s="25">
        <f>IFERROR(SUMPRODUCT((VLOOKUP(Ventas!C4:C203,Productos!A4:C103,3,FALSE)="Ropa")*Ventas!H4:H203),0)</f>
        <v/>
      </c>
      <c r="D10" s="43">
        <f>IFERROR(C10/SUM(C6:C11),0)</f>
        <v/>
      </c>
      <c r="E10" s="1" t="n"/>
      <c r="F10" s="1" t="n"/>
      <c r="G10" s="24" t="inlineStr">
        <is>
          <t>Lucía</t>
        </is>
      </c>
      <c r="H10" s="25">
        <f>IFERROR(SUMPRODUCT((Ventas!J4:J203="Lucía")*Ventas!H4:H203),0)</f>
        <v/>
      </c>
      <c r="I10" s="44">
        <f>COUNTIF(Ventas!J4:J203,"Lucía")</f>
        <v/>
      </c>
      <c r="J10" s="1" t="n"/>
    </row>
    <row r="11">
      <c r="A11" s="1" t="n"/>
      <c r="B11" s="24" t="inlineStr">
        <is>
          <t>Otros</t>
        </is>
      </c>
      <c r="C11" s="25">
        <f>IFERROR(SUMPRODUCT((VLOOKUP(Ventas!C4:C203,Productos!A4:C103,3,FALSE)="Otros")*Ventas!H4:H203),0)</f>
        <v/>
      </c>
      <c r="D11" s="43">
        <f>IFERROR(C11/SUM(C6:C11),0)</f>
        <v/>
      </c>
      <c r="E11" s="1" t="n"/>
      <c r="F11" s="1" t="n"/>
      <c r="G11" s="1" t="n"/>
      <c r="H11" s="1" t="n"/>
      <c r="I11" s="1" t="n"/>
      <c r="J11" s="1" t="n"/>
    </row>
    <row r="12">
      <c r="A12" s="1" t="n"/>
      <c r="B12" s="45" t="inlineStr">
        <is>
          <t>TOTAL</t>
        </is>
      </c>
      <c r="C12" s="46">
        <f>SUM(C6:C11)</f>
        <v/>
      </c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B2:I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" customWidth="1" min="3" max="3"/>
  </cols>
  <sheetData>
    <row r="1">
      <c r="A1" s="47" t="inlineStr">
        <is>
          <t>v1.0.0</t>
        </is>
      </c>
      <c r="B1" s="1" t="n"/>
      <c r="C1" s="1" t="n"/>
    </row>
    <row r="2">
      <c r="A2" s="1" t="n"/>
      <c r="B2" s="1" t="n"/>
      <c r="C2" s="1" t="n"/>
    </row>
    <row r="3">
      <c r="A3" s="48" t="inlineStr">
        <is>
          <t>CONFIGURACIÓN</t>
        </is>
      </c>
      <c r="C3" s="1" t="n"/>
    </row>
    <row r="4">
      <c r="A4" s="1" t="n"/>
      <c r="B4" s="1" t="n"/>
      <c r="C4" s="1" t="n"/>
    </row>
    <row r="5">
      <c r="A5" s="49" t="inlineStr">
        <is>
          <t>Producto</t>
        </is>
      </c>
      <c r="B5" s="50" t="inlineStr">
        <is>
          <t>Sistema de Ventas con Código Único</t>
        </is>
      </c>
      <c r="C5" s="1" t="n"/>
    </row>
    <row r="6">
      <c r="A6" s="49" t="inlineStr">
        <is>
          <t>Versión</t>
        </is>
      </c>
      <c r="B6" s="50" t="inlineStr">
        <is>
          <t>v1.0.0</t>
        </is>
      </c>
      <c r="C6" s="1" t="n"/>
    </row>
    <row r="7">
      <c r="A7" s="49" t="inlineStr">
        <is>
          <t>Marca</t>
        </is>
      </c>
      <c r="B7" s="50" t="inlineStr">
        <is>
          <t>No Somos Ignorantes</t>
        </is>
      </c>
      <c r="C7" s="1" t="n"/>
    </row>
    <row r="8">
      <c r="A8" s="49" t="inlineStr">
        <is>
          <t>Precio</t>
        </is>
      </c>
      <c r="B8" s="50" t="inlineStr">
        <is>
          <t>Bs. 89</t>
        </is>
      </c>
      <c r="C8" s="1" t="n"/>
    </row>
    <row r="9">
      <c r="A9" s="49" t="inlineStr">
        <is>
          <t>Protección</t>
        </is>
      </c>
      <c r="B9" s="50" t="inlineStr">
        <is>
          <t>nsi2024</t>
        </is>
      </c>
      <c r="C9" s="1" t="n"/>
    </row>
    <row r="10">
      <c r="A10" s="49" t="inlineStr"/>
      <c r="B10" s="50" t="inlineStr"/>
      <c r="C10" s="1" t="n"/>
    </row>
    <row r="11">
      <c r="A11" s="49" t="inlineStr">
        <is>
          <t>INSTRUCCIONES</t>
        </is>
      </c>
      <c r="B11" s="50" t="inlineStr"/>
      <c r="C11" s="1" t="n"/>
    </row>
    <row r="12">
      <c r="A12" s="49" t="inlineStr">
        <is>
          <t>1.</t>
        </is>
      </c>
      <c r="B12" s="50" t="inlineStr">
        <is>
          <t>Las celdas AMARILLAS son editables — ingresa tus datos ahí.</t>
        </is>
      </c>
      <c r="C12" s="1" t="n"/>
    </row>
    <row r="13">
      <c r="A13" s="49" t="inlineStr">
        <is>
          <t>2.</t>
        </is>
      </c>
      <c r="B13" s="50" t="inlineStr">
        <is>
          <t>Las celdas VERDES se calculan automáticamente — no las modifiques.</t>
        </is>
      </c>
      <c r="C13" s="1" t="n"/>
    </row>
    <row r="14">
      <c r="A14" s="49" t="inlineStr">
        <is>
          <t>3.</t>
        </is>
      </c>
      <c r="B14" s="50" t="inlineStr">
        <is>
          <t>En la hoja 'Productos', registra tus productos con nombre, costo y precio.</t>
        </is>
      </c>
      <c r="C14" s="1" t="n"/>
    </row>
    <row r="15">
      <c r="A15" s="49" t="inlineStr">
        <is>
          <t>4.</t>
        </is>
      </c>
      <c r="B15" s="50" t="inlineStr">
        <is>
          <t>El CÓDIGO se genera automáticamente (PROD-0001, PROD-0002, etc.).</t>
        </is>
      </c>
      <c r="C15" s="1" t="n"/>
    </row>
    <row r="16">
      <c r="A16" s="49" t="inlineStr">
        <is>
          <t>5.</t>
        </is>
      </c>
      <c r="B16" s="50" t="inlineStr">
        <is>
          <t>En la hoja 'Ventas', ingresa el código del producto y la cantidad.</t>
        </is>
      </c>
      <c r="C16" s="1" t="n"/>
    </row>
    <row r="17">
      <c r="A17" s="49" t="inlineStr">
        <is>
          <t>6.</t>
        </is>
      </c>
      <c r="B17" s="50" t="inlineStr">
        <is>
          <t>El nombre y precio se llenan solos con VLOOKUP.</t>
        </is>
      </c>
      <c r="C17" s="1" t="n"/>
    </row>
    <row r="18">
      <c r="A18" s="49" t="inlineStr">
        <is>
          <t>7.</t>
        </is>
      </c>
      <c r="B18" s="50" t="inlineStr">
        <is>
          <t>El Dashboard muestra KPIs, gráficos y alertas en tiempo real.</t>
        </is>
      </c>
      <c r="C18" s="1" t="n"/>
    </row>
    <row r="19">
      <c r="A19" s="49" t="inlineStr">
        <is>
          <t>8.</t>
        </is>
      </c>
      <c r="B19" s="50" t="inlineStr">
        <is>
          <t>Para desbloquear una hoja: Revisar → Desproteger hoja → nsi2024</t>
        </is>
      </c>
      <c r="C19" s="1" t="n"/>
    </row>
    <row r="20">
      <c r="A20" s="1" t="n"/>
      <c r="B20" s="1" t="n"/>
      <c r="C20" s="1" t="n"/>
    </row>
    <row r="21">
      <c r="A21" s="1" t="n"/>
      <c r="B21" s="1" t="n"/>
      <c r="C21" s="1" t="n"/>
    </row>
    <row r="22">
      <c r="A22" s="1" t="n"/>
      <c r="B22" s="1" t="n"/>
      <c r="C22" s="1" t="n"/>
    </row>
    <row r="23">
      <c r="A23" s="1" t="n"/>
      <c r="B23" s="1" t="n"/>
      <c r="C23" s="1" t="n"/>
    </row>
    <row r="24">
      <c r="A24" s="1" t="n"/>
      <c r="B24" s="1" t="n"/>
      <c r="C24" s="1" t="n"/>
    </row>
    <row r="25">
      <c r="A25" s="1" t="n"/>
      <c r="B25" s="1" t="n"/>
      <c r="C25" s="1" t="n"/>
    </row>
    <row r="26">
      <c r="A26" s="1" t="n"/>
      <c r="B26" s="1" t="n"/>
      <c r="C26" s="1" t="n"/>
    </row>
    <row r="27">
      <c r="A27" s="1" t="n"/>
      <c r="B27" s="1" t="n"/>
      <c r="C27" s="1" t="n"/>
    </row>
    <row r="28">
      <c r="A28" s="1" t="n"/>
      <c r="B28" s="1" t="n"/>
      <c r="C28" s="1" t="n"/>
    </row>
    <row r="29">
      <c r="A29" s="1" t="n"/>
      <c r="B29" s="1" t="n"/>
      <c r="C29" s="1" t="n"/>
    </row>
    <row r="30">
      <c r="A30" s="1" t="n"/>
      <c r="B30" s="1" t="n"/>
      <c r="C3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2026-02-06T13:14:39Z</dcterms:created>
  <dcterms:modified xmlns:dcterms="http://purl.org/dc/terms/" xmlns:xsi="http://www.w3.org/2001/XMLSchema-instance" xsi:type="dcterms:W3CDTF">2026-02-06T13:14:41Z</dcterms:modified>
</cp:coreProperties>
</file>