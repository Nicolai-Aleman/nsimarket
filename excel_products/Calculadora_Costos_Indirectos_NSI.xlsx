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stosIndirectos" sheetId="2" state="visible" r:id="rId2"/>
    <sheet xmlns:r="http://schemas.openxmlformats.org/officeDocument/2006/relationships" name="BaseAsignacion" sheetId="3" state="visible" r:id="rId3"/>
    <sheet xmlns:r="http://schemas.openxmlformats.org/officeDocument/2006/relationships" name="Productos" sheetId="4" state="visible" r:id="rId4"/>
    <sheet xmlns:r="http://schemas.openxmlformats.org/officeDocument/2006/relationships"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Tasa: Bs. &quot;#,##0.00&quot; por unidad de base&quot;"/>
  </numFmts>
  <fonts count="23">
    <font>
      <name val="Calibri"/>
      <family val="2"/>
      <color theme="1"/>
      <sz val="11"/>
      <scheme val="minor"/>
    </font>
    <font>
      <name val="Calibri"/>
      <b val="1"/>
      <color rgb="00000000"/>
      <sz val="20"/>
    </font>
    <font>
      <name val="Calibri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26"/>
    </font>
    <font>
      <name val="Calibri"/>
      <color rgb="00808080"/>
      <sz val="9"/>
    </font>
    <font>
      <name val="Calibri"/>
      <b val="1"/>
      <color rgb="00000000"/>
      <sz val="14"/>
    </font>
    <font>
      <name val="Calibri"/>
      <b val="1"/>
      <color rgb="00000000"/>
      <sz val="22"/>
    </font>
    <font>
      <name val="Calibri"/>
      <b val="1"/>
      <color rgb="00374151"/>
      <sz val="11"/>
    </font>
    <font>
      <name val="Calibri"/>
      <color rgb="00374151"/>
      <sz val="9"/>
    </font>
    <font>
      <name val="Calibri"/>
      <b val="1"/>
      <color rgb="00000000"/>
      <sz val="16"/>
    </font>
    <font>
      <name val="Calibri"/>
      <i val="1"/>
      <color rgb="006B7280"/>
      <sz val="10"/>
    </font>
    <font>
      <name val="Calibri"/>
      <b val="1"/>
      <color rgb="00D4AF37"/>
      <sz val="10"/>
    </font>
    <font>
      <name val="Calibri"/>
      <color rgb="000000FF"/>
      <sz val="11"/>
    </font>
    <font>
      <name val="Calibri"/>
      <color rgb="00111827"/>
      <sz val="11"/>
    </font>
    <font>
      <name val="Calibri"/>
      <b val="1"/>
      <color rgb="00000000"/>
      <sz val="11"/>
    </font>
    <font>
      <name val="Calibri"/>
      <b val="1"/>
      <color rgb="00111827"/>
      <sz val="11"/>
    </font>
    <font>
      <name val="Calibri"/>
      <b val="1"/>
      <color rgb="00374151"/>
      <sz val="10"/>
    </font>
    <font>
      <name val="Calibri"/>
      <b val="1"/>
      <color rgb="000F3460"/>
      <sz val="11"/>
    </font>
    <font>
      <name val="Calibri"/>
      <color rgb="00374151"/>
      <sz val="10"/>
    </font>
    <font>
      <name val="Calibri"/>
      <b val="1"/>
      <color rgb="00D4AF37"/>
      <sz val="9"/>
    </font>
    <font>
      <name val="Calibri"/>
      <color rgb="009CA3AF"/>
      <sz val="9"/>
    </font>
    <font>
      <name val="Calibri"/>
      <color rgb="004B5563"/>
      <sz val="10"/>
    </font>
  </fonts>
  <fills count="11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16A085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374151"/>
      </patternFill>
    </fill>
    <fill>
      <patternFill patternType="solid">
        <fgColor rgb="001A1A2E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4AF37"/>
      </left>
      <right style="thin">
        <color rgb="00D4AF37"/>
      </right>
      <top style="thin">
        <color rgb="00D4AF37"/>
      </top>
      <bottom style="thin">
        <color rgb="00D4AF37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4" fontId="4" fillId="2" borderId="0" applyAlignment="1" pivotButton="0" quotePrefix="0" xfId="0">
      <alignment horizontal="right" vertical="center"/>
    </xf>
    <xf numFmtId="0" fontId="5" fillId="2" borderId="0" pivotButton="0" quotePrefix="0" xfId="0"/>
    <xf numFmtId="164" fontId="6" fillId="2" borderId="0" pivotButton="0" quotePrefix="0" xfId="0"/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4" fontId="7" fillId="2" borderId="0" applyAlignment="1" pivotButton="0" quotePrefix="0" xfId="0">
      <alignment horizontal="right" vertical="center"/>
    </xf>
    <xf numFmtId="0" fontId="8" fillId="2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9" fillId="2" borderId="1" pivotButton="0" quotePrefix="0" xfId="0"/>
    <xf numFmtId="4" fontId="0" fillId="2" borderId="1" pivotButton="0" quotePrefix="0" xfId="0"/>
    <xf numFmtId="0" fontId="10" fillId="2" borderId="0" applyAlignment="1" pivotButton="0" quotePrefix="0" xfId="0">
      <alignment horizontal="left" vertical="center"/>
    </xf>
    <xf numFmtId="0" fontId="11" fillId="2" borderId="0" pivotButton="0" quotePrefix="0" xfId="0"/>
    <xf numFmtId="0" fontId="12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3" fillId="9" borderId="2" applyAlignment="1" applyProtection="1" pivotButton="0" quotePrefix="0" xfId="0">
      <alignment horizontal="left" vertical="center"/>
      <protection locked="0" hidden="0"/>
    </xf>
    <xf numFmtId="0" fontId="13" fillId="9" borderId="2" applyAlignment="1" applyProtection="1" pivotButton="0" quotePrefix="0" xfId="0">
      <alignment horizontal="center" vertical="center"/>
      <protection locked="0" hidden="0"/>
    </xf>
    <xf numFmtId="4" fontId="13" fillId="9" borderId="2" applyAlignment="1" applyProtection="1" pivotButton="0" quotePrefix="0" xfId="0">
      <alignment horizontal="center" vertical="center"/>
      <protection locked="0" hidden="0"/>
    </xf>
    <xf numFmtId="164" fontId="14" fillId="10" borderId="1" applyAlignment="1" pivotButton="0" quotePrefix="0" xfId="0">
      <alignment horizontal="right" vertical="center"/>
    </xf>
    <xf numFmtId="0" fontId="15" fillId="0" borderId="1" pivotButton="0" quotePrefix="0" xfId="0"/>
    <xf numFmtId="4" fontId="16" fillId="10" borderId="1" applyAlignment="1" pivotButton="0" quotePrefix="0" xfId="0">
      <alignment horizontal="right" vertical="center"/>
    </xf>
    <xf numFmtId="0" fontId="17" fillId="0" borderId="0" pivotButton="0" quotePrefix="0" xfId="0"/>
    <xf numFmtId="165" fontId="18" fillId="0" borderId="0" applyAlignment="1" pivotButton="0" quotePrefix="0" xfId="0">
      <alignment horizontal="center" vertical="center"/>
    </xf>
    <xf numFmtId="0" fontId="19" fillId="0" borderId="1" pivotButton="0" quotePrefix="0" xfId="0"/>
    <xf numFmtId="0" fontId="2" fillId="0" borderId="1" pivotButton="0" quotePrefix="0" xfId="0"/>
    <xf numFmtId="0" fontId="20" fillId="8" borderId="1" applyAlignment="1" pivotButton="0" quotePrefix="0" xfId="0">
      <alignment horizontal="center" vertical="center" wrapText="1"/>
    </xf>
    <xf numFmtId="3" fontId="13" fillId="9" borderId="2" applyAlignment="1" applyProtection="1" pivotButton="0" quotePrefix="0" xfId="0">
      <alignment horizontal="center" vertical="center"/>
      <protection locked="0" hidden="0"/>
    </xf>
    <xf numFmtId="4" fontId="14" fillId="10" borderId="1" applyAlignment="1" pivotButton="0" quotePrefix="0" xfId="0">
      <alignment horizontal="right" vertical="center"/>
    </xf>
    <xf numFmtId="4" fontId="2" fillId="0" borderId="1" pivotButton="0" quotePrefix="0" xfId="0"/>
    <xf numFmtId="0" fontId="21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17" fillId="2" borderId="0" pivotButton="0" quotePrefix="0" xfId="0"/>
    <xf numFmtId="0" fontId="2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Desglose de Costos por Producto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'Dashboard'!C15</f>
            </strRef>
          </tx>
          <spPr>
            <a:solidFill xmlns:a="http://schemas.openxmlformats.org/drawingml/2006/main">
              <a:srgbClr val="16A08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'Dashboard'!$B$16:$B$30</f>
            </numRef>
          </cat>
          <val>
            <numRef>
              <f>'Dashboard'!$C$16:$C$30</f>
            </numRef>
          </val>
        </ser>
        <ser>
          <idx val="1"/>
          <order val="1"/>
          <tx>
            <strRef>
              <f>'Dashboard'!D15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'Dashboard'!$B$16:$B$30</f>
            </numRef>
          </cat>
          <val>
            <numRef>
              <f>'Dashboard'!$D$16:$D$30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Bs.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Pool de Costos Indirectos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'Dashboard'!G15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74C3C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6A085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1ABC9C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F39C12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BDC3C7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'Dashboard'!$F$16:$F$23</f>
            </numRef>
          </cat>
          <val>
            <numRef>
              <f>'Dashboard'!$G$16:$G$23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31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31</row>
      <rowOff>0</rowOff>
    </from>
    <ext cx="576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74C3C"/>
    <outlinePr summaryBelow="1" summaryRight="1"/>
    <pageSetUpPr/>
  </sheetPr>
  <dimension ref="A1:I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18" customWidth="1" min="4" max="4"/>
    <col width="3" customWidth="1" min="5" max="5"/>
    <col width="24" customWidth="1" min="6" max="6"/>
    <col width="18" customWidth="1" min="7" max="7"/>
    <col width="18" customWidth="1" min="8" max="8"/>
    <col width="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2" t="inlineStr">
        <is>
          <t>COSTOS INDIRECTOS - PANEL EJECUTIVO</t>
        </is>
      </c>
      <c r="I2" s="1" t="n"/>
    </row>
    <row r="3">
      <c r="A3" s="1" t="n"/>
      <c r="B3" s="3" t="inlineStr">
        <is>
          <t>No Somos Ignorantes  |  v1.0  |  Asignacion de costos por producto</t>
        </is>
      </c>
      <c r="I3" s="1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4" t="inlineStr">
        <is>
          <t>TOTAL COSTOS INDIRECTOS (Bs.)</t>
        </is>
      </c>
      <c r="E5" s="1" t="n"/>
      <c r="F5" s="5" t="inlineStr">
        <is>
          <t>TOTAL COSTOS DIRECTOS (Bs.)</t>
        </is>
      </c>
      <c r="I5" s="1" t="n"/>
    </row>
    <row r="6">
      <c r="A6" s="1" t="n"/>
      <c r="B6" s="6">
        <f>IFERROR(SUM(CostosIndirectos!D4:D23),0)</f>
        <v/>
      </c>
      <c r="E6" s="1" t="n"/>
      <c r="F6" s="6">
        <f>IFERROR(SUM(Productos!D4:D18),0)</f>
        <v/>
      </c>
      <c r="I6" s="1" t="n"/>
    </row>
    <row r="7" ht="4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>
      <c r="A8" s="1" t="n"/>
      <c r="B8" s="7" t="inlineStr">
        <is>
          <t>% Costos Indirectos:</t>
        </is>
      </c>
      <c r="C8" s="8">
        <f>IFERROR(B6/(B6+F6),0)</f>
        <v/>
      </c>
      <c r="E8" s="1" t="n"/>
      <c r="F8" s="7" t="inlineStr">
        <is>
          <t>% Costos Directos:</t>
        </is>
      </c>
      <c r="G8" s="8">
        <f>IFERROR(F6/(B6+F6),0)</f>
        <v/>
      </c>
      <c r="I8" s="1" t="n"/>
    </row>
    <row r="9" ht="6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>
      <c r="A10" s="1" t="n"/>
      <c r="B10" s="9" t="inlineStr">
        <is>
          <t>TASA DE ASIGNACION</t>
        </is>
      </c>
      <c r="E10" s="1" t="n"/>
      <c r="F10" s="10" t="inlineStr">
        <is>
          <t>COSTO TOTAL PROMEDIO (Bs.)</t>
        </is>
      </c>
      <c r="I10" s="1" t="n"/>
    </row>
    <row r="11">
      <c r="A11" s="1" t="n"/>
      <c r="B11" s="11">
        <f>IFERROR(B6/SUM(BaseAsignacion!D4:D18),0)</f>
        <v/>
      </c>
      <c r="E11" s="1" t="n"/>
      <c r="F11" s="11">
        <f>IFERROR(AVERAGE(Productos!H4:H18),0)</f>
        <v/>
      </c>
      <c r="I11" s="1" t="n"/>
    </row>
    <row r="12">
      <c r="A12" s="1" t="n"/>
      <c r="B12" s="7" t="inlineStr">
        <is>
          <t>Bs. por unidad de base</t>
        </is>
      </c>
      <c r="C12" s="1" t="n"/>
      <c r="D12" s="1" t="n"/>
      <c r="E12" s="1" t="n"/>
      <c r="F12" s="7" t="inlineStr">
        <is>
          <t>Costo directo + indirecto por producto</t>
        </is>
      </c>
      <c r="G12" s="1" t="n"/>
      <c r="H12" s="1" t="n"/>
      <c r="I12" s="1" t="n"/>
    </row>
    <row r="13" ht="8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1" t="n"/>
      <c r="B14" s="12" t="inlineStr">
        <is>
          <t>COSTO TOTAL POR PRODUCTO</t>
        </is>
      </c>
      <c r="C14" s="1" t="n"/>
      <c r="D14" s="1" t="n"/>
      <c r="E14" s="1" t="n"/>
      <c r="F14" s="12" t="inlineStr">
        <is>
          <t>DISTRIBUCION DE COSTOS INDIRECTOS</t>
        </is>
      </c>
      <c r="G14" s="1" t="n"/>
      <c r="H14" s="1" t="n"/>
      <c r="I14" s="1" t="n"/>
    </row>
    <row r="15">
      <c r="A15" s="1" t="n"/>
      <c r="B15" s="13" t="inlineStr">
        <is>
          <t>Producto</t>
        </is>
      </c>
      <c r="C15" s="13" t="inlineStr">
        <is>
          <t>Costo Directo</t>
        </is>
      </c>
      <c r="D15" s="13" t="inlineStr">
        <is>
          <t>Costo Indirecto</t>
        </is>
      </c>
      <c r="E15" s="1" t="n"/>
      <c r="F15" s="13" t="inlineStr">
        <is>
          <t>Concepto</t>
        </is>
      </c>
      <c r="G15" s="13" t="inlineStr">
        <is>
          <t>Monto (Bs.)</t>
        </is>
      </c>
      <c r="H15" s="1" t="n"/>
      <c r="I15" s="1" t="n"/>
    </row>
    <row r="16">
      <c r="A16" s="1" t="n"/>
      <c r="B16" s="14">
        <f>IFERROR(Productos!B4,"")</f>
        <v/>
      </c>
      <c r="C16" s="15">
        <f>IFERROR(Productos!D4,0)</f>
        <v/>
      </c>
      <c r="D16" s="15">
        <f>IFERROR(Productos!G4,0)</f>
        <v/>
      </c>
      <c r="E16" s="1" t="n"/>
      <c r="F16" s="14">
        <f>IFERROR(CostosIndirectos!B4,"")</f>
        <v/>
      </c>
      <c r="G16" s="15">
        <f>IFERROR(CostosIndirectos!D4,0)</f>
        <v/>
      </c>
      <c r="H16" s="1" t="n"/>
      <c r="I16" s="1" t="n"/>
    </row>
    <row r="17">
      <c r="A17" s="1" t="n"/>
      <c r="B17" s="14">
        <f>IFERROR(Productos!B5,"")</f>
        <v/>
      </c>
      <c r="C17" s="15">
        <f>IFERROR(Productos!D5,0)</f>
        <v/>
      </c>
      <c r="D17" s="15">
        <f>IFERROR(Productos!G5,0)</f>
        <v/>
      </c>
      <c r="E17" s="1" t="n"/>
      <c r="F17" s="14">
        <f>IFERROR(CostosIndirectos!B5,"")</f>
        <v/>
      </c>
      <c r="G17" s="15">
        <f>IFERROR(CostosIndirectos!D5,0)</f>
        <v/>
      </c>
      <c r="H17" s="1" t="n"/>
      <c r="I17" s="1" t="n"/>
    </row>
    <row r="18">
      <c r="A18" s="1" t="n"/>
      <c r="B18" s="14">
        <f>IFERROR(Productos!B6,"")</f>
        <v/>
      </c>
      <c r="C18" s="15">
        <f>IFERROR(Productos!D6,0)</f>
        <v/>
      </c>
      <c r="D18" s="15">
        <f>IFERROR(Productos!G6,0)</f>
        <v/>
      </c>
      <c r="E18" s="1" t="n"/>
      <c r="F18" s="14">
        <f>IFERROR(CostosIndirectos!B6,"")</f>
        <v/>
      </c>
      <c r="G18" s="15">
        <f>IFERROR(CostosIndirectos!D6,0)</f>
        <v/>
      </c>
      <c r="H18" s="1" t="n"/>
      <c r="I18" s="1" t="n"/>
    </row>
    <row r="19">
      <c r="A19" s="1" t="n"/>
      <c r="B19" s="14">
        <f>IFERROR(Productos!B7,"")</f>
        <v/>
      </c>
      <c r="C19" s="15">
        <f>IFERROR(Productos!D7,0)</f>
        <v/>
      </c>
      <c r="D19" s="15">
        <f>IFERROR(Productos!G7,0)</f>
        <v/>
      </c>
      <c r="E19" s="1" t="n"/>
      <c r="F19" s="14">
        <f>IFERROR(CostosIndirectos!B7,"")</f>
        <v/>
      </c>
      <c r="G19" s="15">
        <f>IFERROR(CostosIndirectos!D7,0)</f>
        <v/>
      </c>
      <c r="H19" s="1" t="n"/>
      <c r="I19" s="1" t="n"/>
    </row>
    <row r="20">
      <c r="A20" s="1" t="n"/>
      <c r="B20" s="14">
        <f>IFERROR(Productos!B8,"")</f>
        <v/>
      </c>
      <c r="C20" s="15">
        <f>IFERROR(Productos!D8,0)</f>
        <v/>
      </c>
      <c r="D20" s="15">
        <f>IFERROR(Productos!G8,0)</f>
        <v/>
      </c>
      <c r="E20" s="1" t="n"/>
      <c r="F20" s="14">
        <f>IFERROR(CostosIndirectos!B8,"")</f>
        <v/>
      </c>
      <c r="G20" s="15">
        <f>IFERROR(CostosIndirectos!D8,0)</f>
        <v/>
      </c>
      <c r="H20" s="1" t="n"/>
      <c r="I20" s="1" t="n"/>
    </row>
    <row r="21">
      <c r="A21" s="1" t="n"/>
      <c r="B21" s="14">
        <f>IFERROR(Productos!B9,"")</f>
        <v/>
      </c>
      <c r="C21" s="15">
        <f>IFERROR(Productos!D9,0)</f>
        <v/>
      </c>
      <c r="D21" s="15">
        <f>IFERROR(Productos!G9,0)</f>
        <v/>
      </c>
      <c r="E21" s="1" t="n"/>
      <c r="F21" s="14">
        <f>IFERROR(CostosIndirectos!B9,"")</f>
        <v/>
      </c>
      <c r="G21" s="15">
        <f>IFERROR(CostosIndirectos!D9,0)</f>
        <v/>
      </c>
      <c r="H21" s="1" t="n"/>
      <c r="I21" s="1" t="n"/>
    </row>
    <row r="22">
      <c r="A22" s="1" t="n"/>
      <c r="B22" s="14">
        <f>IFERROR(Productos!B10,"")</f>
        <v/>
      </c>
      <c r="C22" s="15">
        <f>IFERROR(Productos!D10,0)</f>
        <v/>
      </c>
      <c r="D22" s="15">
        <f>IFERROR(Productos!G10,0)</f>
        <v/>
      </c>
      <c r="E22" s="1" t="n"/>
      <c r="F22" s="14">
        <f>IFERROR(CostosIndirectos!B10,"")</f>
        <v/>
      </c>
      <c r="G22" s="15">
        <f>IFERROR(CostosIndirectos!D10,0)</f>
        <v/>
      </c>
      <c r="H22" s="1" t="n"/>
      <c r="I22" s="1" t="n"/>
    </row>
    <row r="23">
      <c r="A23" s="1" t="n"/>
      <c r="B23" s="14">
        <f>IFERROR(Productos!B11,"")</f>
        <v/>
      </c>
      <c r="C23" s="15">
        <f>IFERROR(Productos!D11,0)</f>
        <v/>
      </c>
      <c r="D23" s="15">
        <f>IFERROR(Productos!G11,0)</f>
        <v/>
      </c>
      <c r="E23" s="1" t="n"/>
      <c r="F23" s="14">
        <f>IFERROR(CostosIndirectos!B11,"")</f>
        <v/>
      </c>
      <c r="G23" s="15">
        <f>IFERROR(CostosIndirectos!D11,0)</f>
        <v/>
      </c>
      <c r="H23" s="1" t="n"/>
      <c r="I23" s="1" t="n"/>
    </row>
    <row r="24">
      <c r="A24" s="1" t="n"/>
      <c r="B24" s="14">
        <f>IFERROR(Productos!B12,"")</f>
        <v/>
      </c>
      <c r="C24" s="15">
        <f>IFERROR(Productos!D12,0)</f>
        <v/>
      </c>
      <c r="D24" s="15">
        <f>IFERROR(Productos!G12,0)</f>
        <v/>
      </c>
      <c r="E24" s="1" t="n"/>
      <c r="F24" s="1" t="n"/>
      <c r="G24" s="1" t="n"/>
      <c r="H24" s="1" t="n"/>
      <c r="I24" s="1" t="n"/>
    </row>
    <row r="25">
      <c r="A25" s="1" t="n"/>
      <c r="B25" s="14">
        <f>IFERROR(Productos!B13,"")</f>
        <v/>
      </c>
      <c r="C25" s="15">
        <f>IFERROR(Productos!D13,0)</f>
        <v/>
      </c>
      <c r="D25" s="15">
        <f>IFERROR(Productos!G13,0)</f>
        <v/>
      </c>
      <c r="E25" s="1" t="n"/>
      <c r="F25" s="1" t="n"/>
      <c r="G25" s="1" t="n"/>
      <c r="H25" s="1" t="n"/>
      <c r="I25" s="1" t="n"/>
    </row>
    <row r="26">
      <c r="A26" s="1" t="n"/>
      <c r="B26" s="14">
        <f>IFERROR(Productos!B14,"")</f>
        <v/>
      </c>
      <c r="C26" s="15">
        <f>IFERROR(Productos!D14,0)</f>
        <v/>
      </c>
      <c r="D26" s="15">
        <f>IFERROR(Productos!G14,0)</f>
        <v/>
      </c>
      <c r="E26" s="1" t="n"/>
      <c r="F26" s="1" t="n"/>
      <c r="G26" s="1" t="n"/>
      <c r="H26" s="1" t="n"/>
      <c r="I26" s="1" t="n"/>
    </row>
    <row r="27">
      <c r="A27" s="1" t="n"/>
      <c r="B27" s="14">
        <f>IFERROR(Productos!B15,"")</f>
        <v/>
      </c>
      <c r="C27" s="15">
        <f>IFERROR(Productos!D15,0)</f>
        <v/>
      </c>
      <c r="D27" s="15">
        <f>IFERROR(Productos!G15,0)</f>
        <v/>
      </c>
      <c r="E27" s="1" t="n"/>
      <c r="F27" s="1" t="n"/>
      <c r="G27" s="1" t="n"/>
      <c r="H27" s="1" t="n"/>
      <c r="I27" s="1" t="n"/>
    </row>
    <row r="28">
      <c r="A28" s="1" t="n"/>
      <c r="B28" s="14">
        <f>IFERROR(Productos!B16,"")</f>
        <v/>
      </c>
      <c r="C28" s="15">
        <f>IFERROR(Productos!D16,0)</f>
        <v/>
      </c>
      <c r="D28" s="15">
        <f>IFERROR(Productos!G16,0)</f>
        <v/>
      </c>
      <c r="E28" s="1" t="n"/>
      <c r="F28" s="1" t="n"/>
      <c r="G28" s="1" t="n"/>
      <c r="H28" s="1" t="n"/>
      <c r="I28" s="1" t="n"/>
    </row>
    <row r="29">
      <c r="A29" s="1" t="n"/>
      <c r="B29" s="14">
        <f>IFERROR(Productos!B17,"")</f>
        <v/>
      </c>
      <c r="C29" s="15">
        <f>IFERROR(Productos!D17,0)</f>
        <v/>
      </c>
      <c r="D29" s="15">
        <f>IFERROR(Productos!G17,0)</f>
        <v/>
      </c>
      <c r="E29" s="1" t="n"/>
      <c r="F29" s="1" t="n"/>
      <c r="G29" s="1" t="n"/>
      <c r="H29" s="1" t="n"/>
      <c r="I29" s="1" t="n"/>
    </row>
    <row r="30">
      <c r="A30" s="1" t="n"/>
      <c r="B30" s="14">
        <f>IFERROR(Productos!B18,"")</f>
        <v/>
      </c>
      <c r="C30" s="15">
        <f>IFERROR(Productos!D18,0)</f>
        <v/>
      </c>
      <c r="D30" s="15">
        <f>IFERROR(Productos!G18,0)</f>
        <v/>
      </c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2">
    <mergeCell ref="B10:D10"/>
    <mergeCell ref="B11:D11"/>
    <mergeCell ref="F10:H10"/>
    <mergeCell ref="B5:D5"/>
    <mergeCell ref="F6:H6"/>
    <mergeCell ref="F5:H5"/>
    <mergeCell ref="B2:H2"/>
    <mergeCell ref="G8:H8"/>
    <mergeCell ref="B3:H3"/>
    <mergeCell ref="B6:D6"/>
    <mergeCell ref="F11:H11"/>
    <mergeCell ref="C8:D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20" customWidth="1" min="3" max="3"/>
    <col width="18" customWidth="1" min="4" max="4"/>
    <col width="14" customWidth="1" min="5" max="5"/>
  </cols>
  <sheetData>
    <row r="1" ht="35" customHeight="1">
      <c r="A1" s="16" t="inlineStr">
        <is>
          <t>COSTOS INDIRECTOS DE FABRICACION</t>
        </is>
      </c>
    </row>
    <row r="2">
      <c r="A2" s="17" t="inlineStr">
        <is>
          <t>Ingresa todos los costos indirectos del periodo. Se asignaran a productos segun la base elegida.</t>
        </is>
      </c>
    </row>
    <row r="3" ht="28" customHeight="1">
      <c r="A3" s="18" t="inlineStr">
        <is>
          <t>#</t>
        </is>
      </c>
      <c r="B3" s="18" t="inlineStr">
        <is>
          <t>CONCEPTO</t>
        </is>
      </c>
      <c r="C3" s="18" t="inlineStr">
        <is>
          <t>TIPO</t>
        </is>
      </c>
      <c r="D3" s="18" t="inlineStr">
        <is>
          <t>MONTO (Bs.)</t>
        </is>
      </c>
      <c r="E3" s="18" t="inlineStr">
        <is>
          <t>% DEL TOTAL</t>
        </is>
      </c>
    </row>
    <row r="4">
      <c r="A4" s="19">
        <f>IF(B4="","",ROW()-3)</f>
        <v/>
      </c>
      <c r="B4" s="20" t="inlineStr">
        <is>
          <t>Alquiler de planta</t>
        </is>
      </c>
      <c r="C4" s="21" t="inlineStr">
        <is>
          <t>Alquiler</t>
        </is>
      </c>
      <c r="D4" s="22" t="n">
        <v>5000</v>
      </c>
      <c r="E4" s="23">
        <f>IFERROR(D4/SUM(D$4:D$23),0)</f>
        <v/>
      </c>
    </row>
    <row r="5">
      <c r="A5" s="19">
        <f>IF(B5="","",ROW()-3)</f>
        <v/>
      </c>
      <c r="B5" s="20" t="inlineStr">
        <is>
          <t>Depreciacion maquinaria</t>
        </is>
      </c>
      <c r="C5" s="21" t="inlineStr">
        <is>
          <t>Depreciacion</t>
        </is>
      </c>
      <c r="D5" s="22" t="n">
        <v>3000</v>
      </c>
      <c r="E5" s="23">
        <f>IFERROR(D5/SUM(D$4:D$23),0)</f>
        <v/>
      </c>
    </row>
    <row r="6">
      <c r="A6" s="19">
        <f>IF(B6="","",ROW()-3)</f>
        <v/>
      </c>
      <c r="B6" s="20" t="inlineStr">
        <is>
          <t>Electricidad fabrica</t>
        </is>
      </c>
      <c r="C6" s="21" t="inlineStr">
        <is>
          <t>Servicios</t>
        </is>
      </c>
      <c r="D6" s="22" t="n">
        <v>1200</v>
      </c>
      <c r="E6" s="23">
        <f>IFERROR(D6/SUM(D$4:D$23),0)</f>
        <v/>
      </c>
    </row>
    <row r="7">
      <c r="A7" s="19">
        <f>IF(B7="","",ROW()-3)</f>
        <v/>
      </c>
      <c r="B7" s="20" t="inlineStr">
        <is>
          <t>Agua industrial</t>
        </is>
      </c>
      <c r="C7" s="21" t="inlineStr">
        <is>
          <t>Servicios</t>
        </is>
      </c>
      <c r="D7" s="22" t="n">
        <v>400</v>
      </c>
      <c r="E7" s="23">
        <f>IFERROR(D7/SUM(D$4:D$23),0)</f>
        <v/>
      </c>
    </row>
    <row r="8">
      <c r="A8" s="19">
        <f>IF(B8="","",ROW()-3)</f>
        <v/>
      </c>
      <c r="B8" s="20" t="inlineStr">
        <is>
          <t>Seguro de planta</t>
        </is>
      </c>
      <c r="C8" s="21" t="inlineStr">
        <is>
          <t>Seguros</t>
        </is>
      </c>
      <c r="D8" s="22" t="n">
        <v>800</v>
      </c>
      <c r="E8" s="23">
        <f>IFERROR(D8/SUM(D$4:D$23),0)</f>
        <v/>
      </c>
    </row>
    <row r="9">
      <c r="A9" s="19">
        <f>IF(B9="","",ROW()-3)</f>
        <v/>
      </c>
      <c r="B9" s="20" t="inlineStr">
        <is>
          <t>Mantenimiento equipos</t>
        </is>
      </c>
      <c r="C9" s="21" t="inlineStr">
        <is>
          <t>Mantenimiento</t>
        </is>
      </c>
      <c r="D9" s="22" t="n">
        <v>1500</v>
      </c>
      <c r="E9" s="23">
        <f>IFERROR(D9/SUM(D$4:D$23),0)</f>
        <v/>
      </c>
    </row>
    <row r="10">
      <c r="A10" s="19">
        <f>IF(B10="","",ROW()-3)</f>
        <v/>
      </c>
      <c r="B10" s="20" t="inlineStr">
        <is>
          <t>Supervisor de produccion</t>
        </is>
      </c>
      <c r="C10" s="21" t="inlineStr">
        <is>
          <t>Supervision</t>
        </is>
      </c>
      <c r="D10" s="22" t="n">
        <v>4000</v>
      </c>
      <c r="E10" s="23">
        <f>IFERROR(D10/SUM(D$4:D$23),0)</f>
        <v/>
      </c>
    </row>
    <row r="11">
      <c r="A11" s="19">
        <f>IF(B11="","",ROW()-3)</f>
        <v/>
      </c>
      <c r="B11" s="20" t="inlineStr">
        <is>
          <t>Material de limpieza</t>
        </is>
      </c>
      <c r="C11" s="21" t="inlineStr">
        <is>
          <t>Otros</t>
        </is>
      </c>
      <c r="D11" s="22" t="n">
        <v>300</v>
      </c>
      <c r="E11" s="23">
        <f>IFERROR(D11/SUM(D$4:D$23),0)</f>
        <v/>
      </c>
    </row>
    <row r="12">
      <c r="A12" s="19">
        <f>IF(B12="","",ROW()-3)</f>
        <v/>
      </c>
      <c r="B12" s="20" t="n"/>
      <c r="C12" s="21" t="n"/>
      <c r="D12" s="22" t="n"/>
      <c r="E12" s="23">
        <f>IFERROR(D12/SUM(D$4:D$23),0)</f>
        <v/>
      </c>
    </row>
    <row r="13">
      <c r="A13" s="19">
        <f>IF(B13="","",ROW()-3)</f>
        <v/>
      </c>
      <c r="B13" s="20" t="n"/>
      <c r="C13" s="21" t="n"/>
      <c r="D13" s="22" t="n"/>
      <c r="E13" s="23">
        <f>IFERROR(D13/SUM(D$4:D$23),0)</f>
        <v/>
      </c>
    </row>
    <row r="14">
      <c r="A14" s="19">
        <f>IF(B14="","",ROW()-3)</f>
        <v/>
      </c>
      <c r="B14" s="20" t="n"/>
      <c r="C14" s="21" t="n"/>
      <c r="D14" s="22" t="n"/>
      <c r="E14" s="23">
        <f>IFERROR(D14/SUM(D$4:D$23),0)</f>
        <v/>
      </c>
    </row>
    <row r="15">
      <c r="A15" s="19">
        <f>IF(B15="","",ROW()-3)</f>
        <v/>
      </c>
      <c r="B15" s="20" t="n"/>
      <c r="C15" s="21" t="n"/>
      <c r="D15" s="22" t="n"/>
      <c r="E15" s="23">
        <f>IFERROR(D15/SUM(D$4:D$23),0)</f>
        <v/>
      </c>
    </row>
    <row r="16">
      <c r="A16" s="19">
        <f>IF(B16="","",ROW()-3)</f>
        <v/>
      </c>
      <c r="B16" s="20" t="n"/>
      <c r="C16" s="21" t="n"/>
      <c r="D16" s="22" t="n"/>
      <c r="E16" s="23">
        <f>IFERROR(D16/SUM(D$4:D$23),0)</f>
        <v/>
      </c>
    </row>
    <row r="17">
      <c r="A17" s="19">
        <f>IF(B17="","",ROW()-3)</f>
        <v/>
      </c>
      <c r="B17" s="20" t="n"/>
      <c r="C17" s="21" t="n"/>
      <c r="D17" s="22" t="n"/>
      <c r="E17" s="23">
        <f>IFERROR(D17/SUM(D$4:D$23),0)</f>
        <v/>
      </c>
    </row>
    <row r="18">
      <c r="A18" s="19">
        <f>IF(B18="","",ROW()-3)</f>
        <v/>
      </c>
      <c r="B18" s="20" t="n"/>
      <c r="C18" s="21" t="n"/>
      <c r="D18" s="22" t="n"/>
      <c r="E18" s="23">
        <f>IFERROR(D18/SUM(D$4:D$23),0)</f>
        <v/>
      </c>
    </row>
    <row r="19">
      <c r="A19" s="19">
        <f>IF(B19="","",ROW()-3)</f>
        <v/>
      </c>
      <c r="B19" s="20" t="n"/>
      <c r="C19" s="21" t="n"/>
      <c r="D19" s="22" t="n"/>
      <c r="E19" s="23">
        <f>IFERROR(D19/SUM(D$4:D$23),0)</f>
        <v/>
      </c>
    </row>
    <row r="20">
      <c r="A20" s="19">
        <f>IF(B20="","",ROW()-3)</f>
        <v/>
      </c>
      <c r="B20" s="20" t="n"/>
      <c r="C20" s="21" t="n"/>
      <c r="D20" s="22" t="n"/>
      <c r="E20" s="23">
        <f>IFERROR(D20/SUM(D$4:D$23),0)</f>
        <v/>
      </c>
    </row>
    <row r="21">
      <c r="A21" s="19">
        <f>IF(B21="","",ROW()-3)</f>
        <v/>
      </c>
      <c r="B21" s="20" t="n"/>
      <c r="C21" s="21" t="n"/>
      <c r="D21" s="22" t="n"/>
      <c r="E21" s="23">
        <f>IFERROR(D21/SUM(D$4:D$23),0)</f>
        <v/>
      </c>
    </row>
    <row r="22">
      <c r="A22" s="19">
        <f>IF(B22="","",ROW()-3)</f>
        <v/>
      </c>
      <c r="B22" s="20" t="n"/>
      <c r="C22" s="21" t="n"/>
      <c r="D22" s="22" t="n"/>
      <c r="E22" s="23">
        <f>IFERROR(D22/SUM(D$4:D$23),0)</f>
        <v/>
      </c>
    </row>
    <row r="23">
      <c r="A23" s="19">
        <f>IF(B23="","",ROW()-3)</f>
        <v/>
      </c>
      <c r="B23" s="20" t="n"/>
      <c r="C23" s="21" t="n"/>
      <c r="D23" s="22" t="n"/>
      <c r="E23" s="23">
        <f>IFERROR(D23/SUM(D$4:D$23),0)</f>
        <v/>
      </c>
    </row>
    <row r="24">
      <c r="B24" s="24" t="inlineStr">
        <is>
          <t>TOTAL COSTOS INDIRECTOS</t>
        </is>
      </c>
      <c r="D24" s="25">
        <f>SUM(D4:D23)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2">
    <mergeCell ref="A2:E2"/>
    <mergeCell ref="A1:E1"/>
  </mergeCells>
  <conditionalFormatting sqref="D4:D23">
    <cfRule type="dataBar" priority="1">
      <dataBar>
        <cfvo type="min"/>
        <cfvo type="max"/>
        <color rgb="00E67E22"/>
      </dataBar>
    </cfRule>
  </conditionalFormatting>
  <dataValidations count="1">
    <dataValidation sqref="C4:C23" showDropDown="0" showInputMessage="0" showErrorMessage="0" allowBlank="1" promptTitle="Tipo de Costo" prompt="Selecciona el tipo de costo" type="list">
      <formula1>"Alquiler,Depreciacion,Servicios,Seguros,Mantenimiento,Supervision,Otros"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085"/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18" customWidth="1" min="4" max="4"/>
    <col width="16" customWidth="1" min="5" max="5"/>
  </cols>
  <sheetData>
    <row r="1" ht="35" customHeight="1">
      <c r="A1" s="16" t="inlineStr">
        <is>
          <t>BASE DE ASIGNACION</t>
        </is>
      </c>
    </row>
    <row r="2">
      <c r="A2" s="17" t="inlineStr">
        <is>
          <t>Define la base para distribuir costos indirectos (horas maquina, horas MOD, unidades, etc.).</t>
        </is>
      </c>
    </row>
    <row r="3">
      <c r="A3" s="26" t="inlineStr">
        <is>
          <t>Base:</t>
        </is>
      </c>
      <c r="B3" s="20" t="inlineStr">
        <is>
          <t>Horas Maquina</t>
        </is>
      </c>
    </row>
    <row r="4" ht="28" customHeight="1">
      <c r="A4" t="inlineStr"/>
      <c r="C4" s="27">
        <f>IFERROR(SUM(CostosIndirectos!D4:D23)/SUM(D6:D20),0)</f>
        <v/>
      </c>
    </row>
    <row r="5">
      <c r="A5" s="18" t="inlineStr">
        <is>
          <t>#</t>
        </is>
      </c>
      <c r="B5" s="18" t="inlineStr">
        <is>
          <t>PRODUCTO</t>
        </is>
      </c>
      <c r="C5" s="18" t="inlineStr">
        <is>
          <t>BASE ASIGNADA</t>
        </is>
      </c>
      <c r="D5" s="18" t="inlineStr">
        <is>
          <t>UNIDADES BASE</t>
        </is>
      </c>
      <c r="E5" s="18" t="inlineStr">
        <is>
          <t>% DEL TOTAL</t>
        </is>
      </c>
    </row>
    <row r="6">
      <c r="A6" s="19">
        <f>IF(B6="","",ROW()-5)</f>
        <v/>
      </c>
      <c r="B6" s="28">
        <f>IFERROR(Productos!B4,"")</f>
        <v/>
      </c>
      <c r="C6" s="29">
        <f>$B$3</f>
        <v/>
      </c>
      <c r="D6" s="22" t="n">
        <v>100</v>
      </c>
      <c r="E6" s="23">
        <f>IFERROR(D6/SUM(D$6:D$20),0)</f>
        <v/>
      </c>
    </row>
    <row r="7">
      <c r="A7" s="19">
        <f>IF(B7="","",ROW()-5)</f>
        <v/>
      </c>
      <c r="B7" s="28">
        <f>IFERROR(Productos!B5,"")</f>
        <v/>
      </c>
      <c r="C7" s="29">
        <f>$B$3</f>
        <v/>
      </c>
      <c r="D7" s="22" t="n">
        <v>150</v>
      </c>
      <c r="E7" s="23">
        <f>IFERROR(D7/SUM(D$6:D$20),0)</f>
        <v/>
      </c>
    </row>
    <row r="8">
      <c r="A8" s="19">
        <f>IF(B8="","",ROW()-5)</f>
        <v/>
      </c>
      <c r="B8" s="28">
        <f>IFERROR(Productos!B6,"")</f>
        <v/>
      </c>
      <c r="C8" s="29">
        <f>$B$3</f>
        <v/>
      </c>
      <c r="D8" s="22" t="n">
        <v>80</v>
      </c>
      <c r="E8" s="23">
        <f>IFERROR(D8/SUM(D$6:D$20),0)</f>
        <v/>
      </c>
    </row>
    <row r="9">
      <c r="A9" s="19">
        <f>IF(B9="","",ROW()-5)</f>
        <v/>
      </c>
      <c r="B9" s="28">
        <f>IFERROR(Productos!B7,"")</f>
        <v/>
      </c>
      <c r="C9" s="29">
        <f>$B$3</f>
        <v/>
      </c>
      <c r="D9" s="22" t="n">
        <v>200</v>
      </c>
      <c r="E9" s="23">
        <f>IFERROR(D9/SUM(D$6:D$20),0)</f>
        <v/>
      </c>
    </row>
    <row r="10">
      <c r="A10" s="19">
        <f>IF(B10="","",ROW()-5)</f>
        <v/>
      </c>
      <c r="B10" s="28">
        <f>IFERROR(Productos!B8,"")</f>
        <v/>
      </c>
      <c r="C10" s="29">
        <f>$B$3</f>
        <v/>
      </c>
      <c r="D10" s="22" t="n">
        <v>120</v>
      </c>
      <c r="E10" s="23">
        <f>IFERROR(D10/SUM(D$6:D$20),0)</f>
        <v/>
      </c>
    </row>
    <row r="11">
      <c r="A11" s="19">
        <f>IF(B11="","",ROW()-5)</f>
        <v/>
      </c>
      <c r="B11" s="28">
        <f>IFERROR(Productos!B9,"")</f>
        <v/>
      </c>
      <c r="C11" s="29">
        <f>$B$3</f>
        <v/>
      </c>
      <c r="D11" s="22" t="n"/>
      <c r="E11" s="23">
        <f>IFERROR(D11/SUM(D$6:D$20),0)</f>
        <v/>
      </c>
    </row>
    <row r="12">
      <c r="A12" s="19">
        <f>IF(B12="","",ROW()-5)</f>
        <v/>
      </c>
      <c r="B12" s="28">
        <f>IFERROR(Productos!B10,"")</f>
        <v/>
      </c>
      <c r="C12" s="29">
        <f>$B$3</f>
        <v/>
      </c>
      <c r="D12" s="22" t="n"/>
      <c r="E12" s="23">
        <f>IFERROR(D12/SUM(D$6:D$20),0)</f>
        <v/>
      </c>
    </row>
    <row r="13">
      <c r="A13" s="19">
        <f>IF(B13="","",ROW()-5)</f>
        <v/>
      </c>
      <c r="B13" s="28">
        <f>IFERROR(Productos!B11,"")</f>
        <v/>
      </c>
      <c r="C13" s="29">
        <f>$B$3</f>
        <v/>
      </c>
      <c r="D13" s="22" t="n"/>
      <c r="E13" s="23">
        <f>IFERROR(D13/SUM(D$6:D$20),0)</f>
        <v/>
      </c>
    </row>
    <row r="14">
      <c r="A14" s="19">
        <f>IF(B14="","",ROW()-5)</f>
        <v/>
      </c>
      <c r="B14" s="28">
        <f>IFERROR(Productos!B12,"")</f>
        <v/>
      </c>
      <c r="C14" s="29">
        <f>$B$3</f>
        <v/>
      </c>
      <c r="D14" s="22" t="n"/>
      <c r="E14" s="23">
        <f>IFERROR(D14/SUM(D$6:D$20),0)</f>
        <v/>
      </c>
    </row>
    <row r="15">
      <c r="A15" s="19">
        <f>IF(B15="","",ROW()-5)</f>
        <v/>
      </c>
      <c r="B15" s="28">
        <f>IFERROR(Productos!B13,"")</f>
        <v/>
      </c>
      <c r="C15" s="29">
        <f>$B$3</f>
        <v/>
      </c>
      <c r="D15" s="22" t="n"/>
      <c r="E15" s="23">
        <f>IFERROR(D15/SUM(D$6:D$20),0)</f>
        <v/>
      </c>
    </row>
    <row r="16">
      <c r="A16" s="19">
        <f>IF(B16="","",ROW()-5)</f>
        <v/>
      </c>
      <c r="B16" s="28">
        <f>IFERROR(Productos!B14,"")</f>
        <v/>
      </c>
      <c r="C16" s="29">
        <f>$B$3</f>
        <v/>
      </c>
      <c r="D16" s="22" t="n"/>
      <c r="E16" s="23">
        <f>IFERROR(D16/SUM(D$6:D$20),0)</f>
        <v/>
      </c>
    </row>
    <row r="17">
      <c r="A17" s="19">
        <f>IF(B17="","",ROW()-5)</f>
        <v/>
      </c>
      <c r="B17" s="28">
        <f>IFERROR(Productos!B15,"")</f>
        <v/>
      </c>
      <c r="C17" s="29">
        <f>$B$3</f>
        <v/>
      </c>
      <c r="D17" s="22" t="n"/>
      <c r="E17" s="23">
        <f>IFERROR(D17/SUM(D$6:D$20),0)</f>
        <v/>
      </c>
    </row>
    <row r="18">
      <c r="A18" s="19">
        <f>IF(B18="","",ROW()-5)</f>
        <v/>
      </c>
      <c r="B18" s="28">
        <f>IFERROR(Productos!B16,"")</f>
        <v/>
      </c>
      <c r="C18" s="29">
        <f>$B$3</f>
        <v/>
      </c>
      <c r="D18" s="22" t="n"/>
      <c r="E18" s="23">
        <f>IFERROR(D18/SUM(D$6:D$20),0)</f>
        <v/>
      </c>
    </row>
    <row r="19">
      <c r="A19" s="19">
        <f>IF(B19="","",ROW()-5)</f>
        <v/>
      </c>
      <c r="B19" s="28">
        <f>IFERROR(Productos!B17,"")</f>
        <v/>
      </c>
      <c r="C19" s="29">
        <f>$B$3</f>
        <v/>
      </c>
      <c r="D19" s="22" t="n"/>
      <c r="E19" s="23">
        <f>IFERROR(D19/SUM(D$6:D$20),0)</f>
        <v/>
      </c>
    </row>
    <row r="20">
      <c r="A20" s="19">
        <f>IF(B20="","",ROW()-5)</f>
        <v/>
      </c>
      <c r="B20" s="28">
        <f>IFERROR(Productos!B18,"")</f>
        <v/>
      </c>
      <c r="C20" s="29">
        <f>$B$3</f>
        <v/>
      </c>
      <c r="D20" s="22" t="n"/>
      <c r="E20" s="23">
        <f>IFERROR(D20/SUM(D$6:D$20),0)</f>
        <v/>
      </c>
    </row>
    <row r="21">
      <c r="B21" s="24" t="inlineStr">
        <is>
          <t>TOTAL</t>
        </is>
      </c>
      <c r="D21" s="25">
        <f>SUM(D6:D20)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3">
    <mergeCell ref="A2:E2"/>
    <mergeCell ref="C4:E4"/>
    <mergeCell ref="A1:E1"/>
  </mergeCells>
  <dataValidations count="1">
    <dataValidation sqref="B3" showDropDown="0" showInputMessage="0" showErrorMessage="0" allowBlank="1" promptTitle="Base de Asignacion" prompt="Selecciona la base de asignacion" type="list">
      <formula1>"Horas Maquina,Horas MOD,Unidades Producidas,Costo MOD,Otro"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18" customWidth="1" min="4" max="4"/>
    <col width="18" customWidth="1" min="5" max="5"/>
    <col width="14" customWidth="1" min="6" max="6"/>
    <col width="18" customWidth="1" min="7" max="7"/>
    <col width="18" customWidth="1" min="8" max="8"/>
    <col width="16" customWidth="1" min="9" max="9"/>
  </cols>
  <sheetData>
    <row r="1" ht="35" customHeight="1">
      <c r="A1" s="16" t="inlineStr">
        <is>
          <t>COSTO TOTAL POR PRODUCTO</t>
        </is>
      </c>
    </row>
    <row r="2">
      <c r="A2" s="17" t="inlineStr">
        <is>
          <t>El costo total = costo directo + costo indirecto asignado. Ingresa materiales y MOD por producto.</t>
        </is>
      </c>
    </row>
    <row r="3" ht="30" customHeight="1">
      <c r="A3" s="30" t="inlineStr">
        <is>
          <t>#</t>
        </is>
      </c>
      <c r="B3" s="30" t="inlineStr">
        <is>
          <t>PRODUCTO</t>
        </is>
      </c>
      <c r="C3" s="30" t="inlineStr">
        <is>
          <t>UNIDADES</t>
        </is>
      </c>
      <c r="D3" s="30" t="inlineStr">
        <is>
          <t>COSTO DIRECTO (Bs.)</t>
        </is>
      </c>
      <c r="E3" s="30" t="inlineStr">
        <is>
          <t>COSTO DIRECTO UNIT.</t>
        </is>
      </c>
      <c r="F3" s="30" t="inlineStr">
        <is>
          <t>BASE ASIGN.</t>
        </is>
      </c>
      <c r="G3" s="30" t="inlineStr">
        <is>
          <t>COSTO INDIRECTO ASIGN.</t>
        </is>
      </c>
      <c r="H3" s="30" t="inlineStr">
        <is>
          <t>COSTO TOTAL (Bs.)</t>
        </is>
      </c>
      <c r="I3" s="30" t="inlineStr">
        <is>
          <t>COSTO UNIT. TOTAL</t>
        </is>
      </c>
    </row>
    <row r="4">
      <c r="A4" s="19">
        <f>IF(B4="","",ROW()-3)</f>
        <v/>
      </c>
      <c r="B4" s="20" t="inlineStr">
        <is>
          <t>Producto A - Basico</t>
        </is>
      </c>
      <c r="C4" s="31" t="n">
        <v>500</v>
      </c>
      <c r="D4" s="22" t="n">
        <v>15000</v>
      </c>
      <c r="E4" s="32">
        <f>IFERROR(D4/C4,0)</f>
        <v/>
      </c>
      <c r="F4" s="33">
        <f>IFERROR(BaseAsignacion!D6,0)</f>
        <v/>
      </c>
      <c r="G4" s="32">
        <f>IFERROR(F4*SUM(CostosIndirectos!D4:D23)/SUM(BaseAsignacion!D6:D20),0)</f>
        <v/>
      </c>
      <c r="H4" s="25">
        <f>D4+G4</f>
        <v/>
      </c>
      <c r="I4" s="25">
        <f>IFERROR(H4/C4,0)</f>
        <v/>
      </c>
    </row>
    <row r="5">
      <c r="A5" s="19">
        <f>IF(B5="","",ROW()-3)</f>
        <v/>
      </c>
      <c r="B5" s="20" t="inlineStr">
        <is>
          <t>Producto B - Intermedio</t>
        </is>
      </c>
      <c r="C5" s="31" t="n">
        <v>300</v>
      </c>
      <c r="D5" s="22" t="n">
        <v>12000</v>
      </c>
      <c r="E5" s="32">
        <f>IFERROR(D5/C5,0)</f>
        <v/>
      </c>
      <c r="F5" s="33">
        <f>IFERROR(BaseAsignacion!D7,0)</f>
        <v/>
      </c>
      <c r="G5" s="32">
        <f>IFERROR(F5*SUM(CostosIndirectos!D4:D23)/SUM(BaseAsignacion!D6:D20),0)</f>
        <v/>
      </c>
      <c r="H5" s="25">
        <f>D5+G5</f>
        <v/>
      </c>
      <c r="I5" s="25">
        <f>IFERROR(H5/C5,0)</f>
        <v/>
      </c>
    </row>
    <row r="6">
      <c r="A6" s="19">
        <f>IF(B6="","",ROW()-3)</f>
        <v/>
      </c>
      <c r="B6" s="20" t="inlineStr">
        <is>
          <t>Producto C - Premium</t>
        </is>
      </c>
      <c r="C6" s="31" t="n">
        <v>200</v>
      </c>
      <c r="D6" s="22" t="n">
        <v>20000</v>
      </c>
      <c r="E6" s="32">
        <f>IFERROR(D6/C6,0)</f>
        <v/>
      </c>
      <c r="F6" s="33">
        <f>IFERROR(BaseAsignacion!D8,0)</f>
        <v/>
      </c>
      <c r="G6" s="32">
        <f>IFERROR(F6*SUM(CostosIndirectos!D4:D23)/SUM(BaseAsignacion!D6:D20),0)</f>
        <v/>
      </c>
      <c r="H6" s="25">
        <f>D6+G6</f>
        <v/>
      </c>
      <c r="I6" s="25">
        <f>IFERROR(H6/C6,0)</f>
        <v/>
      </c>
    </row>
    <row r="7">
      <c r="A7" s="19">
        <f>IF(B7="","",ROW()-3)</f>
        <v/>
      </c>
      <c r="B7" s="20" t="inlineStr">
        <is>
          <t>Producto D - Especial</t>
        </is>
      </c>
      <c r="C7" s="31" t="n">
        <v>400</v>
      </c>
      <c r="D7" s="22" t="n">
        <v>18000</v>
      </c>
      <c r="E7" s="32">
        <f>IFERROR(D7/C7,0)</f>
        <v/>
      </c>
      <c r="F7" s="33">
        <f>IFERROR(BaseAsignacion!D9,0)</f>
        <v/>
      </c>
      <c r="G7" s="32">
        <f>IFERROR(F7*SUM(CostosIndirectos!D4:D23)/SUM(BaseAsignacion!D6:D20),0)</f>
        <v/>
      </c>
      <c r="H7" s="25">
        <f>D7+G7</f>
        <v/>
      </c>
      <c r="I7" s="25">
        <f>IFERROR(H7/C7,0)</f>
        <v/>
      </c>
    </row>
    <row r="8">
      <c r="A8" s="19">
        <f>IF(B8="","",ROW()-3)</f>
        <v/>
      </c>
      <c r="B8" s="20" t="inlineStr">
        <is>
          <t>Producto E - Economico</t>
        </is>
      </c>
      <c r="C8" s="31" t="n">
        <v>600</v>
      </c>
      <c r="D8" s="22" t="n">
        <v>10000</v>
      </c>
      <c r="E8" s="32">
        <f>IFERROR(D8/C8,0)</f>
        <v/>
      </c>
      <c r="F8" s="33">
        <f>IFERROR(BaseAsignacion!D10,0)</f>
        <v/>
      </c>
      <c r="G8" s="32">
        <f>IFERROR(F8*SUM(CostosIndirectos!D4:D23)/SUM(BaseAsignacion!D6:D20),0)</f>
        <v/>
      </c>
      <c r="H8" s="25">
        <f>D8+G8</f>
        <v/>
      </c>
      <c r="I8" s="25">
        <f>IFERROR(H8/C8,0)</f>
        <v/>
      </c>
    </row>
    <row r="9">
      <c r="A9" s="19">
        <f>IF(B9="","",ROW()-3)</f>
        <v/>
      </c>
      <c r="B9" s="20" t="n"/>
      <c r="C9" s="31" t="n"/>
      <c r="D9" s="22" t="n"/>
      <c r="E9" s="32">
        <f>IFERROR(D9/C9,0)</f>
        <v/>
      </c>
      <c r="F9" s="33">
        <f>IFERROR(BaseAsignacion!D11,0)</f>
        <v/>
      </c>
      <c r="G9" s="32">
        <f>IFERROR(F9*SUM(CostosIndirectos!D4:D23)/SUM(BaseAsignacion!D6:D20),0)</f>
        <v/>
      </c>
      <c r="H9" s="25">
        <f>D9+G9</f>
        <v/>
      </c>
      <c r="I9" s="25">
        <f>IFERROR(H9/C9,0)</f>
        <v/>
      </c>
    </row>
    <row r="10">
      <c r="A10" s="19">
        <f>IF(B10="","",ROW()-3)</f>
        <v/>
      </c>
      <c r="B10" s="20" t="n"/>
      <c r="C10" s="31" t="n"/>
      <c r="D10" s="22" t="n"/>
      <c r="E10" s="32">
        <f>IFERROR(D10/C10,0)</f>
        <v/>
      </c>
      <c r="F10" s="33">
        <f>IFERROR(BaseAsignacion!D12,0)</f>
        <v/>
      </c>
      <c r="G10" s="32">
        <f>IFERROR(F10*SUM(CostosIndirectos!D4:D23)/SUM(BaseAsignacion!D6:D20),0)</f>
        <v/>
      </c>
      <c r="H10" s="25">
        <f>D10+G10</f>
        <v/>
      </c>
      <c r="I10" s="25">
        <f>IFERROR(H10/C10,0)</f>
        <v/>
      </c>
    </row>
    <row r="11">
      <c r="A11" s="19">
        <f>IF(B11="","",ROW()-3)</f>
        <v/>
      </c>
      <c r="B11" s="20" t="n"/>
      <c r="C11" s="31" t="n"/>
      <c r="D11" s="22" t="n"/>
      <c r="E11" s="32">
        <f>IFERROR(D11/C11,0)</f>
        <v/>
      </c>
      <c r="F11" s="33">
        <f>IFERROR(BaseAsignacion!D13,0)</f>
        <v/>
      </c>
      <c r="G11" s="32">
        <f>IFERROR(F11*SUM(CostosIndirectos!D4:D23)/SUM(BaseAsignacion!D6:D20),0)</f>
        <v/>
      </c>
      <c r="H11" s="25">
        <f>D11+G11</f>
        <v/>
      </c>
      <c r="I11" s="25">
        <f>IFERROR(H11/C11,0)</f>
        <v/>
      </c>
    </row>
    <row r="12">
      <c r="A12" s="19">
        <f>IF(B12="","",ROW()-3)</f>
        <v/>
      </c>
      <c r="B12" s="20" t="n"/>
      <c r="C12" s="31" t="n"/>
      <c r="D12" s="22" t="n"/>
      <c r="E12" s="32">
        <f>IFERROR(D12/C12,0)</f>
        <v/>
      </c>
      <c r="F12" s="33">
        <f>IFERROR(BaseAsignacion!D14,0)</f>
        <v/>
      </c>
      <c r="G12" s="32">
        <f>IFERROR(F12*SUM(CostosIndirectos!D4:D23)/SUM(BaseAsignacion!D6:D20),0)</f>
        <v/>
      </c>
      <c r="H12" s="25">
        <f>D12+G12</f>
        <v/>
      </c>
      <c r="I12" s="25">
        <f>IFERROR(H12/C12,0)</f>
        <v/>
      </c>
    </row>
    <row r="13">
      <c r="A13" s="19">
        <f>IF(B13="","",ROW()-3)</f>
        <v/>
      </c>
      <c r="B13" s="20" t="n"/>
      <c r="C13" s="31" t="n"/>
      <c r="D13" s="22" t="n"/>
      <c r="E13" s="32">
        <f>IFERROR(D13/C13,0)</f>
        <v/>
      </c>
      <c r="F13" s="33">
        <f>IFERROR(BaseAsignacion!D15,0)</f>
        <v/>
      </c>
      <c r="G13" s="32">
        <f>IFERROR(F13*SUM(CostosIndirectos!D4:D23)/SUM(BaseAsignacion!D6:D20),0)</f>
        <v/>
      </c>
      <c r="H13" s="25">
        <f>D13+G13</f>
        <v/>
      </c>
      <c r="I13" s="25">
        <f>IFERROR(H13/C13,0)</f>
        <v/>
      </c>
    </row>
    <row r="14">
      <c r="A14" s="19">
        <f>IF(B14="","",ROW()-3)</f>
        <v/>
      </c>
      <c r="B14" s="20" t="n"/>
      <c r="C14" s="31" t="n"/>
      <c r="D14" s="22" t="n"/>
      <c r="E14" s="32">
        <f>IFERROR(D14/C14,0)</f>
        <v/>
      </c>
      <c r="F14" s="33">
        <f>IFERROR(BaseAsignacion!D16,0)</f>
        <v/>
      </c>
      <c r="G14" s="32">
        <f>IFERROR(F14*SUM(CostosIndirectos!D4:D23)/SUM(BaseAsignacion!D6:D20),0)</f>
        <v/>
      </c>
      <c r="H14" s="25">
        <f>D14+G14</f>
        <v/>
      </c>
      <c r="I14" s="25">
        <f>IFERROR(H14/C14,0)</f>
        <v/>
      </c>
    </row>
    <row r="15">
      <c r="A15" s="19">
        <f>IF(B15="","",ROW()-3)</f>
        <v/>
      </c>
      <c r="B15" s="20" t="n"/>
      <c r="C15" s="31" t="n"/>
      <c r="D15" s="22" t="n"/>
      <c r="E15" s="32">
        <f>IFERROR(D15/C15,0)</f>
        <v/>
      </c>
      <c r="F15" s="33">
        <f>IFERROR(BaseAsignacion!D17,0)</f>
        <v/>
      </c>
      <c r="G15" s="32">
        <f>IFERROR(F15*SUM(CostosIndirectos!D4:D23)/SUM(BaseAsignacion!D6:D20),0)</f>
        <v/>
      </c>
      <c r="H15" s="25">
        <f>D15+G15</f>
        <v/>
      </c>
      <c r="I15" s="25">
        <f>IFERROR(H15/C15,0)</f>
        <v/>
      </c>
    </row>
    <row r="16">
      <c r="A16" s="19">
        <f>IF(B16="","",ROW()-3)</f>
        <v/>
      </c>
      <c r="B16" s="20" t="n"/>
      <c r="C16" s="31" t="n"/>
      <c r="D16" s="22" t="n"/>
      <c r="E16" s="32">
        <f>IFERROR(D16/C16,0)</f>
        <v/>
      </c>
      <c r="F16" s="33">
        <f>IFERROR(BaseAsignacion!D18,0)</f>
        <v/>
      </c>
      <c r="G16" s="32">
        <f>IFERROR(F16*SUM(CostosIndirectos!D4:D23)/SUM(BaseAsignacion!D6:D20),0)</f>
        <v/>
      </c>
      <c r="H16" s="25">
        <f>D16+G16</f>
        <v/>
      </c>
      <c r="I16" s="25">
        <f>IFERROR(H16/C16,0)</f>
        <v/>
      </c>
    </row>
    <row r="17">
      <c r="A17" s="19">
        <f>IF(B17="","",ROW()-3)</f>
        <v/>
      </c>
      <c r="B17" s="20" t="n"/>
      <c r="C17" s="31" t="n"/>
      <c r="D17" s="22" t="n"/>
      <c r="E17" s="32">
        <f>IFERROR(D17/C17,0)</f>
        <v/>
      </c>
      <c r="F17" s="33">
        <f>IFERROR(BaseAsignacion!D19,0)</f>
        <v/>
      </c>
      <c r="G17" s="32">
        <f>IFERROR(F17*SUM(CostosIndirectos!D4:D23)/SUM(BaseAsignacion!D6:D20),0)</f>
        <v/>
      </c>
      <c r="H17" s="25">
        <f>D17+G17</f>
        <v/>
      </c>
      <c r="I17" s="25">
        <f>IFERROR(H17/C17,0)</f>
        <v/>
      </c>
    </row>
    <row r="18">
      <c r="A18" s="19">
        <f>IF(B18="","",ROW()-3)</f>
        <v/>
      </c>
      <c r="B18" s="20" t="n"/>
      <c r="C18" s="31" t="n"/>
      <c r="D18" s="22" t="n"/>
      <c r="E18" s="32">
        <f>IFERROR(D18/C18,0)</f>
        <v/>
      </c>
      <c r="F18" s="33">
        <f>IFERROR(BaseAsignacion!D20,0)</f>
        <v/>
      </c>
      <c r="G18" s="32">
        <f>IFERROR(F18*SUM(CostosIndirectos!D4:D23)/SUM(BaseAsignacion!D6:D20),0)</f>
        <v/>
      </c>
      <c r="H18" s="25">
        <f>D18+G18</f>
        <v/>
      </c>
      <c r="I18" s="25">
        <f>IFERROR(H18/C18,0)</f>
        <v/>
      </c>
    </row>
    <row r="19">
      <c r="B19" s="24" t="inlineStr">
        <is>
          <t>TOTAL</t>
        </is>
      </c>
      <c r="C19" s="25">
        <f>SUM(C4:C18)</f>
        <v/>
      </c>
      <c r="D19" s="25">
        <f>SUM(D4:D18)</f>
        <v/>
      </c>
      <c r="G19" s="25">
        <f>SUM(G4:G18)</f>
        <v/>
      </c>
      <c r="H19" s="25">
        <f>SUM(H4:H18)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2">
    <mergeCell ref="A1:I1"/>
    <mergeCell ref="A2:I2"/>
  </mergeCells>
  <conditionalFormatting sqref="H4:H18">
    <cfRule type="dataBar" priority="1">
      <dataBar>
        <cfvo type="min"/>
        <cfvo type="max"/>
        <color rgb="008E44A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7280"/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34" t="inlineStr">
        <is>
          <t>v1.0.0</t>
        </is>
      </c>
      <c r="B1" s="1" t="n"/>
      <c r="C1" s="1" t="n"/>
    </row>
    <row r="2">
      <c r="A2" s="1" t="n"/>
      <c r="B2" s="1" t="n"/>
      <c r="C2" s="1" t="n"/>
    </row>
    <row r="3">
      <c r="A3" s="35" t="inlineStr">
        <is>
          <t>CONFIGURACION</t>
        </is>
      </c>
      <c r="C3" s="1" t="n"/>
    </row>
    <row r="4">
      <c r="A4" s="1" t="n"/>
      <c r="B4" s="1" t="n"/>
      <c r="C4" s="1" t="n"/>
    </row>
    <row r="5">
      <c r="A5" s="36" t="inlineStr">
        <is>
          <t>Producto</t>
        </is>
      </c>
      <c r="B5" s="37" t="inlineStr">
        <is>
          <t>Calculadora de Costos Indirectos</t>
        </is>
      </c>
      <c r="C5" s="1" t="n"/>
    </row>
    <row r="6">
      <c r="A6" s="36" t="inlineStr">
        <is>
          <t>Version</t>
        </is>
      </c>
      <c r="B6" s="37" t="inlineStr">
        <is>
          <t>v1.0.0</t>
        </is>
      </c>
      <c r="C6" s="1" t="n"/>
    </row>
    <row r="7">
      <c r="A7" s="36" t="inlineStr">
        <is>
          <t>Marca</t>
        </is>
      </c>
      <c r="B7" s="37" t="inlineStr">
        <is>
          <t>No Somos Ignorantes</t>
        </is>
      </c>
      <c r="C7" s="1" t="n"/>
    </row>
    <row r="8">
      <c r="A8" s="36" t="inlineStr">
        <is>
          <t>Precio</t>
        </is>
      </c>
      <c r="B8" s="37" t="inlineStr">
        <is>
          <t>Bs. 69</t>
        </is>
      </c>
      <c r="C8" s="1" t="n"/>
    </row>
    <row r="9">
      <c r="A9" s="36" t="inlineStr">
        <is>
          <t>Proteccion</t>
        </is>
      </c>
      <c r="B9" s="37" t="inlineStr">
        <is>
          <t>nsi2024</t>
        </is>
      </c>
      <c r="C9" s="1" t="n"/>
    </row>
    <row r="10">
      <c r="A10" s="36" t="inlineStr"/>
      <c r="B10" s="37" t="inlineStr"/>
      <c r="C10" s="1" t="n"/>
    </row>
    <row r="11">
      <c r="A11" s="36" t="inlineStr">
        <is>
          <t>INSTRUCCIONES</t>
        </is>
      </c>
      <c r="B11" s="37" t="inlineStr"/>
      <c r="C11" s="1" t="n"/>
    </row>
    <row r="12">
      <c r="A12" s="36" t="inlineStr">
        <is>
          <t>1.</t>
        </is>
      </c>
      <c r="B12" s="37" t="inlineStr">
        <is>
          <t>En 'CostosIndirectos', registra todos los costos indirectos del periodo.</t>
        </is>
      </c>
      <c r="C12" s="1" t="n"/>
    </row>
    <row r="13">
      <c r="A13" s="36" t="inlineStr">
        <is>
          <t>2.</t>
        </is>
      </c>
      <c r="B13" s="37" t="inlineStr">
        <is>
          <t>En 'BaseAsignacion', define las unidades base por producto (horas maquina, MOD, etc.).</t>
        </is>
      </c>
      <c r="C13" s="1" t="n"/>
    </row>
    <row r="14">
      <c r="A14" s="36" t="inlineStr">
        <is>
          <t>3.</t>
        </is>
      </c>
      <c r="B14" s="37" t="inlineStr">
        <is>
          <t>En 'Productos', ingresa cada producto con su costo directo y unidades.</t>
        </is>
      </c>
      <c r="C14" s="1" t="n"/>
    </row>
    <row r="15">
      <c r="A15" s="36" t="inlineStr">
        <is>
          <t>4.</t>
        </is>
      </c>
      <c r="B15" s="37" t="inlineStr">
        <is>
          <t>El sistema calcula automaticamente la tasa de asignacion y el costo total.</t>
        </is>
      </c>
      <c r="C15" s="1" t="n"/>
    </row>
    <row r="16">
      <c r="A16" s="36" t="inlineStr">
        <is>
          <t>5.</t>
        </is>
      </c>
      <c r="B16" s="37" t="inlineStr">
        <is>
          <t>El Dashboard muestra KPIs y graficos de desglose de costos.</t>
        </is>
      </c>
      <c r="C16" s="1" t="n"/>
    </row>
    <row r="17">
      <c r="A17" s="36" t="inlineStr">
        <is>
          <t>6.</t>
        </is>
      </c>
      <c r="B17" s="37" t="inlineStr">
        <is>
          <t>Para desbloquear: Revisar -&gt; Desproteger hoja -&gt; nsi2024</t>
        </is>
      </c>
      <c r="C17" s="1" t="n"/>
    </row>
    <row r="18">
      <c r="A18" s="1" t="n"/>
      <c r="B18" s="1" t="n"/>
      <c r="C18" s="1" t="n"/>
    </row>
    <row r="19">
      <c r="A19" s="1" t="n"/>
      <c r="B19" s="1" t="n"/>
      <c r="C19" s="1" t="n"/>
    </row>
    <row r="20">
      <c r="A20" s="1" t="n"/>
      <c r="B20" s="1" t="n"/>
      <c r="C20" s="1" t="n"/>
    </row>
    <row r="21">
      <c r="A21" s="1" t="n"/>
      <c r="B21" s="1" t="n"/>
      <c r="C21" s="1" t="n"/>
    </row>
    <row r="22">
      <c r="A22" s="1" t="n"/>
      <c r="B22" s="1" t="n"/>
      <c r="C22" s="1" t="n"/>
    </row>
    <row r="23">
      <c r="A23" s="1" t="n"/>
      <c r="B23" s="1" t="n"/>
      <c r="C23" s="1" t="n"/>
    </row>
    <row r="24">
      <c r="A24" s="1" t="n"/>
      <c r="B24" s="1" t="n"/>
      <c r="C24" s="1" t="n"/>
    </row>
    <row r="25">
      <c r="A25" s="1" t="n"/>
      <c r="B25" s="1" t="n"/>
      <c r="C25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2026-02-06T13:20:45Z</dcterms:created>
  <dcterms:modified xmlns:dcterms="http://purl.org/dc/terms/" xmlns:xsi="http://www.w3.org/2001/XMLSchema-instance" xsi:type="dcterms:W3CDTF">2026-02-06T13:20:45Z</dcterms:modified>
</cp:coreProperties>
</file>