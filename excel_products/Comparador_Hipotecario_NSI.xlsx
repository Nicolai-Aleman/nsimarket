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nco1" sheetId="2" state="visible" r:id="rId2"/>
    <sheet xmlns:r="http://schemas.openxmlformats.org/officeDocument/2006/relationships" name="Banco2" sheetId="3" state="visible" r:id="rId3"/>
    <sheet xmlns:r="http://schemas.openxmlformats.org/officeDocument/2006/relationships" name="Banco3" sheetId="4" state="visible" r:id="rId4"/>
    <sheet xmlns:r="http://schemas.openxmlformats.org/officeDocument/2006/relationships" name="Banco4" sheetId="5" state="visible" r:id="rId5"/>
    <sheet xmlns:r="http://schemas.openxmlformats.org/officeDocument/2006/relationships" name="Banco5" sheetId="6" state="visible" r:id="rId6"/>
    <sheet xmlns:r="http://schemas.openxmlformats.org/officeDocument/2006/relationships" name="Amortizacion" sheetId="7" state="visible" r:id="rId7"/>
    <sheet xmlns:r="http://schemas.openxmlformats.org/officeDocument/2006/relationships" name="Sensibilidad" sheetId="8" state="visible" r:id="rId8"/>
    <sheet xmlns:r="http://schemas.openxmlformats.org/officeDocument/2006/relationships"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b val="1"/>
      <color rgb="00D4AF37"/>
      <sz val="20"/>
    </font>
    <font>
      <name val="Calibri"/>
      <i val="1"/>
      <color rgb="00D1D5DB"/>
      <sz val="10"/>
    </font>
    <font>
      <name val="Calibri"/>
      <b val="1"/>
      <color rgb="00FFFFFF"/>
      <sz val="11"/>
    </font>
    <font>
      <name val="Calibri"/>
      <b val="1"/>
      <color rgb="00111827"/>
      <sz val="12"/>
    </font>
    <font>
      <name val="Calibri"/>
      <color rgb="000000FF"/>
      <sz val="11"/>
    </font>
    <font>
      <name val="Calibri"/>
      <b val="1"/>
      <color rgb="000000FF"/>
      <sz val="14"/>
    </font>
    <font>
      <name val="Calibri"/>
      <i val="1"/>
      <color rgb="006B7280"/>
      <sz val="10"/>
    </font>
    <font>
      <name val="Calibri"/>
      <b val="1"/>
      <color rgb="00D4AF37"/>
      <sz val="11"/>
    </font>
    <font>
      <name val="Calibri"/>
      <b val="1"/>
      <color rgb="00D4AF37"/>
      <sz val="9"/>
    </font>
    <font>
      <name val="Calibri"/>
      <b val="1"/>
      <color rgb="002563EB"/>
      <sz val="11"/>
    </font>
    <font>
      <name val="Calibri"/>
      <color rgb="00111827"/>
      <sz val="11"/>
    </font>
    <font>
      <name val="Calibri"/>
      <b val="1"/>
      <color rgb="00111827"/>
      <sz val="11"/>
    </font>
    <font>
      <name val="Calibri"/>
      <b val="1"/>
      <color rgb="00DC2626"/>
      <sz val="11"/>
    </font>
    <font>
      <name val="Calibri"/>
      <b val="1"/>
      <color rgb="00059669"/>
      <sz val="11"/>
    </font>
    <font>
      <name val="Calibri"/>
      <b val="1"/>
      <color rgb="00D97706"/>
      <sz val="11"/>
    </font>
    <font>
      <name val="Calibri"/>
      <b val="1"/>
      <color rgb="007C3AED"/>
      <sz val="11"/>
    </font>
    <font>
      <name val="Calibri"/>
      <b val="1"/>
      <color rgb="00047857"/>
      <sz val="14"/>
    </font>
    <font>
      <name val="Calibri"/>
      <b val="1"/>
      <color rgb="00374151"/>
      <sz val="11"/>
    </font>
    <font>
      <name val="Calibri"/>
      <b val="1"/>
      <color rgb="0010B981"/>
      <sz val="12"/>
    </font>
    <font>
      <name val="Calibri"/>
      <b val="1"/>
      <color rgb="0010B981"/>
      <sz val="14"/>
    </font>
    <font>
      <name val="Calibri"/>
      <b val="1"/>
      <color rgb="002563EB"/>
      <sz val="16"/>
    </font>
    <font>
      <name val="Calibri"/>
      <b val="1"/>
      <color rgb="000000FF"/>
      <sz val="12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DC2626"/>
      <sz val="16"/>
    </font>
    <font>
      <name val="Calibri"/>
      <b val="1"/>
      <color rgb="00059669"/>
      <sz val="16"/>
    </font>
    <font>
      <name val="Calibri"/>
      <b val="1"/>
      <color rgb="00D97706"/>
      <sz val="16"/>
    </font>
    <font>
      <name val="Calibri"/>
      <b val="1"/>
      <color rgb="007C3AED"/>
      <sz val="16"/>
    </font>
    <font>
      <name val="Calibri"/>
      <b val="1"/>
      <color rgb="00D4AF37"/>
      <sz val="18"/>
    </font>
    <font>
      <name val="Calibri"/>
      <b val="1"/>
      <sz val="12"/>
    </font>
    <font>
      <name val="Calibri"/>
      <b val="1"/>
      <sz val="10"/>
    </font>
    <font>
      <name val="Calibri"/>
      <b val="1"/>
      <color rgb="000F3460"/>
      <sz val="12"/>
    </font>
    <font>
      <name val="Calibri"/>
      <color rgb="00374151"/>
      <sz val="9"/>
    </font>
    <font>
      <name val="Calibri"/>
      <color rgb="00111827"/>
      <sz val="9"/>
    </font>
    <font>
      <name val="Calibri"/>
      <b val="1"/>
      <color rgb="000F3460"/>
      <sz val="10"/>
    </font>
    <font>
      <name val="Calibri"/>
      <b val="1"/>
      <color rgb="00EF4444"/>
      <sz val="10"/>
    </font>
    <font>
      <name val="Calibri"/>
      <b val="1"/>
      <color rgb="00D4AF37"/>
      <sz val="16"/>
    </font>
    <font>
      <name val="Calibri"/>
      <b val="1"/>
      <color rgb="00D4AF37"/>
      <sz val="14"/>
    </font>
    <font>
      <name val="Calibri"/>
      <color rgb="00374151"/>
      <sz val="10"/>
    </font>
  </fonts>
  <fills count="2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9C4"/>
      </patternFill>
    </fill>
    <fill>
      <patternFill patternType="solid">
        <fgColor rgb="0016213E"/>
      </patternFill>
    </fill>
    <fill>
      <patternFill patternType="solid">
        <fgColor rgb="00DBEAFE"/>
      </patternFill>
    </fill>
    <fill>
      <patternFill patternType="solid">
        <fgColor rgb="00E8F5E9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A7F3D0"/>
      </patternFill>
    </fill>
    <fill>
      <patternFill patternType="solid">
        <fgColor rgb="003B82F6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374151"/>
      </patternFill>
    </fill>
    <fill>
      <patternFill patternType="solid">
        <fgColor rgb="00DC2626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EF4444"/>
      </patternFill>
    </fill>
    <fill>
      <patternFill patternType="solid">
        <fgColor rgb="0010B981"/>
      </patternFill>
    </fill>
  </fills>
  <borders count="5">
    <border>
      <left/>
      <right/>
      <top/>
      <bottom/>
      <diagonal/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  <border>
      <bottom style="medium">
        <color rgb="00D4AF3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047857"/>
      </left>
      <right style="medium">
        <color rgb="00047857"/>
      </right>
      <top style="medium">
        <color rgb="00047857"/>
      </top>
      <bottom style="medium">
        <color rgb="00047857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4" fontId="6" fillId="4" borderId="1" applyAlignment="1" applyProtection="1" pivotButton="0" quotePrefix="0" xfId="0">
      <alignment horizontal="right" vertical="center"/>
      <protection locked="0" hidden="0"/>
    </xf>
    <xf numFmtId="3" fontId="6" fillId="4" borderId="1" applyAlignment="1" applyProtection="1" pivotButton="0" quotePrefix="0" xfId="0">
      <alignment horizontal="right" vertical="center"/>
      <protection locked="0" hidden="0"/>
    </xf>
    <xf numFmtId="0" fontId="7" fillId="0" borderId="0" pivotButton="0" quotePrefix="0" xfId="0"/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9" fillId="5" borderId="2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/>
    </xf>
    <xf numFmtId="10" fontId="11" fillId="6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4" fontId="11" fillId="6" borderId="3" applyAlignment="1" pivotButton="0" quotePrefix="0" xfId="0">
      <alignment horizontal="right" vertical="center"/>
    </xf>
    <xf numFmtId="0" fontId="13" fillId="8" borderId="3" applyAlignment="1" pivotButton="0" quotePrefix="0" xfId="0">
      <alignment horizontal="left" vertical="center"/>
    </xf>
    <xf numFmtId="10" fontId="11" fillId="8" borderId="3" applyAlignment="1" pivotButton="0" quotePrefix="0" xfId="0">
      <alignment horizontal="right" vertical="center"/>
    </xf>
    <xf numFmtId="4" fontId="12" fillId="8" borderId="3" applyAlignment="1" pivotButton="0" quotePrefix="0" xfId="0">
      <alignment horizontal="right" vertical="center"/>
    </xf>
    <xf numFmtId="4" fontId="11" fillId="8" borderId="3" applyAlignment="1" pivotButton="0" quotePrefix="0" xfId="0">
      <alignment horizontal="right" vertical="center"/>
    </xf>
    <xf numFmtId="0" fontId="14" fillId="9" borderId="3" applyAlignment="1" pivotButton="0" quotePrefix="0" xfId="0">
      <alignment horizontal="left" vertical="center"/>
    </xf>
    <xf numFmtId="10" fontId="11" fillId="9" borderId="3" applyAlignment="1" pivotButton="0" quotePrefix="0" xfId="0">
      <alignment horizontal="right" vertical="center"/>
    </xf>
    <xf numFmtId="4" fontId="12" fillId="9" borderId="3" applyAlignment="1" pivotButton="0" quotePrefix="0" xfId="0">
      <alignment horizontal="right" vertical="center"/>
    </xf>
    <xf numFmtId="4" fontId="11" fillId="9" borderId="3" applyAlignment="1" pivotButton="0" quotePrefix="0" xfId="0">
      <alignment horizontal="right" vertical="center"/>
    </xf>
    <xf numFmtId="0" fontId="15" fillId="10" borderId="3" applyAlignment="1" pivotButton="0" quotePrefix="0" xfId="0">
      <alignment horizontal="left" vertical="center"/>
    </xf>
    <xf numFmtId="10" fontId="11" fillId="10" borderId="3" applyAlignment="1" pivotButton="0" quotePrefix="0" xfId="0">
      <alignment horizontal="right" vertical="center"/>
    </xf>
    <xf numFmtId="4" fontId="12" fillId="10" borderId="3" applyAlignment="1" pivotButton="0" quotePrefix="0" xfId="0">
      <alignment horizontal="right" vertical="center"/>
    </xf>
    <xf numFmtId="4" fontId="11" fillId="10" borderId="3" applyAlignment="1" pivotButton="0" quotePrefix="0" xfId="0">
      <alignment horizontal="right" vertical="center"/>
    </xf>
    <xf numFmtId="0" fontId="16" fillId="11" borderId="3" applyAlignment="1" pivotButton="0" quotePrefix="0" xfId="0">
      <alignment horizontal="left" vertical="center"/>
    </xf>
    <xf numFmtId="10" fontId="11" fillId="11" borderId="3" applyAlignment="1" pivotButton="0" quotePrefix="0" xfId="0">
      <alignment horizontal="right" vertical="center"/>
    </xf>
    <xf numFmtId="4" fontId="12" fillId="11" borderId="3" applyAlignment="1" pivotButton="0" quotePrefix="0" xfId="0">
      <alignment horizontal="right" vertical="center"/>
    </xf>
    <xf numFmtId="4" fontId="11" fillId="11" borderId="3" applyAlignment="1" pivotButton="0" quotePrefix="0" xfId="0">
      <alignment horizontal="right" vertical="center"/>
    </xf>
    <xf numFmtId="0" fontId="17" fillId="12" borderId="4" applyAlignment="1" pivotButton="0" quotePrefix="0" xfId="0">
      <alignment horizontal="center" vertical="center"/>
    </xf>
    <xf numFmtId="0" fontId="0" fillId="12" borderId="0" pivotButton="0" quotePrefix="0" xfId="0"/>
    <xf numFmtId="0" fontId="3" fillId="13" borderId="0" applyAlignment="1" pivotButton="0" quotePrefix="0" xfId="0">
      <alignment horizontal="left" vertical="center"/>
    </xf>
    <xf numFmtId="0" fontId="0" fillId="13" borderId="0" pivotButton="0" quotePrefix="0" xfId="0"/>
    <xf numFmtId="0" fontId="18" fillId="14" borderId="3" applyAlignment="1" pivotButton="0" quotePrefix="0" xfId="0">
      <alignment horizontal="left" vertical="center"/>
    </xf>
    <xf numFmtId="4" fontId="12" fillId="7" borderId="3" applyAlignment="1" pivotButton="0" quotePrefix="0" xfId="0">
      <alignment horizontal="right" vertical="center"/>
    </xf>
    <xf numFmtId="0" fontId="18" fillId="15" borderId="3" applyAlignment="1" pivotButton="0" quotePrefix="0" xfId="0">
      <alignment horizontal="left" vertical="center"/>
    </xf>
    <xf numFmtId="0" fontId="19" fillId="15" borderId="3" applyAlignment="1" pivotButton="0" quotePrefix="0" xfId="0">
      <alignment horizontal="left" vertical="center"/>
    </xf>
    <xf numFmtId="4" fontId="20" fillId="7" borderId="3" applyAlignment="1" pivotButton="0" quotePrefix="0" xfId="0">
      <alignment horizontal="right" vertical="center"/>
    </xf>
    <xf numFmtId="10" fontId="12" fillId="7" borderId="3" applyAlignment="1" pivotButton="0" quotePrefix="0" xfId="0">
      <alignment horizontal="right" vertical="center"/>
    </xf>
    <xf numFmtId="4" fontId="0" fillId="0" borderId="0" pivotButton="0" quotePrefix="0" xfId="0"/>
    <xf numFmtId="0" fontId="2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22" fillId="4" borderId="1" applyAlignment="1" applyProtection="1" pivotButton="0" quotePrefix="0" xfId="0">
      <alignment horizontal="left" vertical="center"/>
      <protection locked="0" hidden="0"/>
    </xf>
    <xf numFmtId="0" fontId="18" fillId="6" borderId="3" applyAlignment="1" pivotButton="0" quotePrefix="0" xfId="0">
      <alignment horizontal="left" vertical="center"/>
    </xf>
    <xf numFmtId="10" fontId="5" fillId="4" borderId="1" applyAlignment="1" applyProtection="1" pivotButton="0" quotePrefix="0" xfId="0">
      <alignment horizontal="right" vertical="center"/>
      <protection locked="0" hidden="0"/>
    </xf>
    <xf numFmtId="4" fontId="5" fillId="4" borderId="1" applyAlignment="1" applyProtection="1" pivotButton="0" quotePrefix="0" xfId="0">
      <alignment horizontal="right" vertical="center"/>
      <protection locked="0" hidden="0"/>
    </xf>
    <xf numFmtId="0" fontId="3" fillId="16" borderId="0" applyAlignment="1" pivotButton="0" quotePrefix="0" xfId="0">
      <alignment horizontal="left" vertical="center"/>
    </xf>
    <xf numFmtId="0" fontId="0" fillId="16" borderId="0" pivotButton="0" quotePrefix="0" xfId="0"/>
    <xf numFmtId="0" fontId="18" fillId="7" borderId="3" applyAlignment="1" pivotButton="0" quotePrefix="0" xfId="0">
      <alignment horizontal="left" vertical="center"/>
    </xf>
    <xf numFmtId="0" fontId="23" fillId="0" borderId="3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0" fillId="17" borderId="0" pivotButton="0" quotePrefix="0" xfId="0"/>
    <xf numFmtId="0" fontId="9" fillId="5" borderId="0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/>
    </xf>
    <xf numFmtId="4" fontId="11" fillId="7" borderId="3" applyAlignment="1" pivotButton="0" quotePrefix="0" xfId="0">
      <alignment horizontal="right" vertical="center"/>
    </xf>
    <xf numFmtId="0" fontId="25" fillId="17" borderId="0" applyAlignment="1" pivotButton="0" quotePrefix="0" xfId="0">
      <alignment horizontal="center"/>
    </xf>
    <xf numFmtId="4" fontId="25" fillId="17" borderId="0" pivotButton="0" quotePrefix="0" xfId="0"/>
    <xf numFmtId="0" fontId="26" fillId="2" borderId="0" applyAlignment="1" pivotButton="0" quotePrefix="0" xfId="0">
      <alignment horizontal="center" vertical="center"/>
    </xf>
    <xf numFmtId="0" fontId="18" fillId="8" borderId="3" applyAlignment="1" pivotButton="0" quotePrefix="0" xfId="0">
      <alignment horizontal="left" vertical="center"/>
    </xf>
    <xf numFmtId="0" fontId="3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7" fillId="2" borderId="0" applyAlignment="1" pivotButton="0" quotePrefix="0" xfId="0">
      <alignment horizontal="center" vertical="center"/>
    </xf>
    <xf numFmtId="0" fontId="18" fillId="9" borderId="3" applyAlignment="1" pivotButton="0" quotePrefix="0" xfId="0">
      <alignment horizontal="left" vertical="center"/>
    </xf>
    <xf numFmtId="0" fontId="3" fillId="19" borderId="0" applyAlignment="1" pivotButton="0" quotePrefix="0" xfId="0">
      <alignment horizontal="left" vertical="center"/>
    </xf>
    <xf numFmtId="0" fontId="0" fillId="19" borderId="0" pivotButton="0" quotePrefix="0" xfId="0"/>
    <xf numFmtId="0" fontId="28" fillId="2" borderId="0" applyAlignment="1" pivotButton="0" quotePrefix="0" xfId="0">
      <alignment horizontal="center" vertical="center"/>
    </xf>
    <xf numFmtId="0" fontId="18" fillId="10" borderId="3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 vertical="center"/>
    </xf>
    <xf numFmtId="0" fontId="0" fillId="20" borderId="0" pivotButton="0" quotePrefix="0" xfId="0"/>
    <xf numFmtId="0" fontId="29" fillId="2" borderId="0" applyAlignment="1" pivotButton="0" quotePrefix="0" xfId="0">
      <alignment horizontal="center" vertical="center"/>
    </xf>
    <xf numFmtId="0" fontId="18" fillId="11" borderId="3" applyAlignment="1" pivotButton="0" quotePrefix="0" xfId="0">
      <alignment horizontal="left" vertical="center"/>
    </xf>
    <xf numFmtId="0" fontId="3" fillId="21" borderId="0" applyAlignment="1" pivotButton="0" quotePrefix="0" xfId="0">
      <alignment horizontal="left" vertical="center"/>
    </xf>
    <xf numFmtId="0" fontId="0" fillId="21" borderId="0" pivotButton="0" quotePrefix="0" xfId="0"/>
    <xf numFmtId="0" fontId="30" fillId="2" borderId="0" applyAlignment="1" pivotButton="0" quotePrefix="0" xfId="0">
      <alignment horizontal="center" vertic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10" fontId="33" fillId="0" borderId="0" pivotButton="0" quotePrefix="0" xfId="0"/>
    <xf numFmtId="0" fontId="34" fillId="0" borderId="3" applyAlignment="1" pivotButton="0" quotePrefix="0" xfId="0">
      <alignment horizontal="center"/>
    </xf>
    <xf numFmtId="4" fontId="35" fillId="7" borderId="3" applyAlignment="1" pivotButton="0" quotePrefix="0" xfId="0">
      <alignment horizontal="right" vertical="center"/>
    </xf>
    <xf numFmtId="4" fontId="35" fillId="8" borderId="3" applyAlignment="1" pivotButton="0" quotePrefix="0" xfId="0">
      <alignment horizontal="right" vertical="center"/>
    </xf>
    <xf numFmtId="10" fontId="35" fillId="7" borderId="3" applyAlignment="1" pivotButton="0" quotePrefix="0" xfId="0">
      <alignment horizontal="right" vertical="center"/>
    </xf>
    <xf numFmtId="0" fontId="25" fillId="2" borderId="0" applyAlignment="1" pivotButton="0" quotePrefix="0" xfId="0">
      <alignment horizontal="center"/>
    </xf>
    <xf numFmtId="4" fontId="25" fillId="2" borderId="0" pivotButton="0" quotePrefix="0" xfId="0"/>
    <xf numFmtId="0" fontId="9" fillId="5" borderId="3" applyAlignment="1" pivotButton="0" quotePrefix="0" xfId="0">
      <alignment horizontal="center"/>
    </xf>
    <xf numFmtId="10" fontId="36" fillId="14" borderId="3" pivotButton="0" quotePrefix="0" xfId="0"/>
    <xf numFmtId="4" fontId="35" fillId="14" borderId="3" applyAlignment="1" pivotButton="0" quotePrefix="0" xfId="0">
      <alignment horizontal="right" vertical="center"/>
    </xf>
    <xf numFmtId="10" fontId="36" fillId="15" borderId="3" pivotButton="0" quotePrefix="0" xfId="0"/>
    <xf numFmtId="4" fontId="35" fillId="15" borderId="3" applyAlignment="1" pivotButton="0" quotePrefix="0" xfId="0">
      <alignment horizontal="right" vertical="center"/>
    </xf>
    <xf numFmtId="0" fontId="3" fillId="22" borderId="0" applyAlignment="1" pivotButton="0" quotePrefix="0" xfId="0">
      <alignment horizontal="left" vertical="center"/>
    </xf>
    <xf numFmtId="0" fontId="0" fillId="22" borderId="0" pivotButton="0" quotePrefix="0" xfId="0"/>
    <xf numFmtId="10" fontId="37" fillId="14" borderId="3" pivotButton="0" quotePrefix="0" xfId="0"/>
    <xf numFmtId="10" fontId="37" fillId="15" borderId="3" pivotButton="0" quotePrefix="0" xfId="0"/>
    <xf numFmtId="0" fontId="3" fillId="23" borderId="0" applyAlignment="1" pivotButton="0" quotePrefix="0" xfId="0">
      <alignment horizontal="left" vertical="center"/>
    </xf>
    <xf numFmtId="0" fontId="0" fillId="23" borderId="0" pivotButton="0" quotePrefix="0" xfId="0"/>
    <xf numFmtId="0" fontId="18" fillId="4" borderId="3" applyAlignment="1" pivotButton="0" quotePrefix="0" xfId="0">
      <alignment horizontal="left" vertical="center"/>
    </xf>
    <xf numFmtId="3" fontId="20" fillId="7" borderId="3" applyAlignment="1" pivotButton="0" quotePrefix="0" xfId="0">
      <alignment horizontal="right" vertical="center"/>
    </xf>
    <xf numFmtId="3" fontId="12" fillId="7" borderId="3" applyAlignment="1" pivotButton="0" quotePrefix="0" xfId="0">
      <alignment horizontal="right" vertical="center"/>
    </xf>
    <xf numFmtId="0" fontId="38" fillId="2" borderId="0" applyAlignment="1" pivotButton="0" quotePrefix="0" xfId="0">
      <alignment horizontal="center" vertical="center"/>
    </xf>
    <xf numFmtId="0" fontId="18" fillId="0" borderId="3" pivotButton="0" quotePrefix="0" xfId="0"/>
    <xf numFmtId="0" fontId="11" fillId="0" borderId="3" pivotButton="0" quotePrefix="0" xfId="0"/>
    <xf numFmtId="0" fontId="39" fillId="2" borderId="0" applyAlignment="1" pivotButton="0" quotePrefix="0" xfId="0">
      <alignment horizontal="center"/>
    </xf>
    <xf numFmtId="0" fontId="4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047857"/>
      </font>
      <fill>
        <patternFill patternType="solid">
          <fgColor rgb="00A7F3D0"/>
        </patternFill>
      </fill>
    </dxf>
    <dxf>
      <font>
        <b val="1"/>
        <color rgb="00EF4444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 Pagar por Banco (Bs.)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'Dashboard'!$B$11:$B$15</f>
            </numRef>
          </cat>
          <val>
            <numRef>
              <f>'Dashboard'!$E$11:$E$15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Cuota Mensual por Banco (Bs.)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'Dashboard'!$B$11:$B$15</f>
            </numRef>
          </cat>
          <val>
            <numRef>
              <f>'Dashboard'!$D$11:$D$15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Cuota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Desglose: Capital vs Intereses por Banco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'Dashboard'!C60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'Dashboard'!$B$61:$B$65</f>
            </numRef>
          </cat>
          <val>
            <numRef>
              <f>'Dashboard'!$C$61:$C$65</f>
            </numRef>
          </val>
        </ser>
        <ser>
          <idx val="1"/>
          <order val="1"/>
          <tx>
            <strRef>
              <f>'Dashboard'!D60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cat>
            <numRef>
              <f>'Dashboard'!$B$61:$B$65</f>
            </numRef>
          </cat>
          <val>
            <numRef>
              <f>'Dashboard'!$D$61:$D$65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Evolucion del Saldo del Prestamo</a:t>
            </a:r>
          </a:p>
        </rich>
      </tx>
    </title>
    <plotArea>
      <lineChart>
        <grouping val="standard"/>
        <ser>
          <idx val="0"/>
          <order val="0"/>
          <tx>
            <strRef>
              <f>'Amortizacion'!F5</f>
            </strRef>
          </tx>
          <spPr>
            <a:ln xmlns:a="http://schemas.openxmlformats.org/drawingml/2006/main" w="20000">
              <a:solidFill>
                <a:srgbClr val="0F34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'Amortizacion'!$A$6:$A$365</f>
            </numRef>
          </cat>
          <val>
            <numRef>
              <f>'Amortizacion'!$F$6:$F$365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vs Intereses Acumulados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'Amortizacion'!B386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'Amortizacion'!$A$387:$A$416</f>
            </numRef>
          </cat>
          <val>
            <numRef>
              <f>'Amortizacion'!$B$387:$B$416</f>
            </numRef>
          </val>
        </ser>
        <ser>
          <idx val="1"/>
          <order val="1"/>
          <tx>
            <strRef>
              <f>'Amortizacion'!C386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cat>
            <numRef>
              <f>'Amortizacion'!$A$387:$A$416</f>
            </numRef>
          </cat>
          <val>
            <numRef>
              <f>'Amortizacion'!$C$387:$C$416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43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59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368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384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H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" customWidth="1" min="9" max="9"/>
  </cols>
  <sheetData>
    <row r="1" ht="8" customHeight="1">
      <c r="B1" s="1" t="n"/>
      <c r="C1" s="1" t="n"/>
      <c r="D1" s="1" t="n"/>
      <c r="E1" s="1" t="n"/>
      <c r="F1" s="1" t="n"/>
      <c r="G1" s="1" t="n"/>
      <c r="H1" s="1" t="n"/>
    </row>
    <row r="2" ht="42" customHeight="1">
      <c r="B2" s="2" t="inlineStr">
        <is>
          <t>COMPARADOR DE CREDITOS HIPOTECARIOS</t>
        </is>
      </c>
      <c r="C2" s="1" t="n"/>
      <c r="D2" s="1" t="n"/>
      <c r="E2" s="1" t="n"/>
      <c r="F2" s="1" t="n"/>
      <c r="G2" s="1" t="n"/>
      <c r="H2" s="1" t="n"/>
    </row>
    <row r="3" ht="24" customHeight="1">
      <c r="B3" s="3" t="inlineStr">
        <is>
          <t>No Somos Ignorantes  |  v1.0  |  Encuentra el mejor credito para tu hogar</t>
        </is>
      </c>
      <c r="C3" s="1" t="n"/>
      <c r="D3" s="1" t="n"/>
      <c r="E3" s="1" t="n"/>
      <c r="F3" s="1" t="n"/>
      <c r="G3" s="1" t="n"/>
      <c r="H3" s="1" t="n"/>
    </row>
    <row r="4" ht="8" customHeight="1"/>
    <row r="5" ht="30" customHeight="1">
      <c r="B5" s="4" t="inlineStr">
        <is>
          <t>DATOS DEL PRESTAMO</t>
        </is>
      </c>
      <c r="C5" s="5" t="n"/>
      <c r="D5" s="5" t="n"/>
      <c r="E5" s="5" t="n"/>
      <c r="F5" s="5" t="n"/>
      <c r="G5" s="5" t="n"/>
      <c r="H5" s="5" t="n"/>
    </row>
    <row r="6" ht="32" customHeight="1">
      <c r="B6" s="6" t="inlineStr">
        <is>
          <t>MONTO DEL PRESTAMO (Bs.)</t>
        </is>
      </c>
      <c r="C6" s="7" t="n">
        <v>350000</v>
      </c>
    </row>
    <row r="7" ht="32" customHeight="1">
      <c r="B7" s="6" t="inlineStr">
        <is>
          <t>PLAZO DESEADO (meses)</t>
        </is>
      </c>
      <c r="C7" s="8" t="n">
        <v>240</v>
      </c>
      <c r="E7" s="9">
        <f>IFERROR(C7/12&amp;" anios","")</f>
        <v/>
      </c>
    </row>
    <row r="8" ht="8" customHeight="1"/>
    <row r="9" ht="30" customHeight="1">
      <c r="B9" s="10" t="inlineStr">
        <is>
          <t>COMPARACION RAPIDA</t>
        </is>
      </c>
      <c r="C9" s="11" t="n"/>
      <c r="D9" s="11" t="n"/>
      <c r="E9" s="11" t="n"/>
      <c r="F9" s="11" t="n"/>
      <c r="G9" s="11" t="n"/>
      <c r="H9" s="11" t="n"/>
    </row>
    <row r="10" ht="28" customHeight="1">
      <c r="A10" t="inlineStr"/>
      <c r="B10" s="12" t="inlineStr">
        <is>
          <t>BANCO</t>
        </is>
      </c>
      <c r="C10" s="12" t="inlineStr">
        <is>
          <t>TASA ANUAL</t>
        </is>
      </c>
      <c r="D10" s="12" t="inlineStr">
        <is>
          <t>CUOTA MENSUAL</t>
        </is>
      </c>
      <c r="E10" s="12" t="inlineStr">
        <is>
          <t>TOTAL A PAGAR</t>
        </is>
      </c>
      <c r="F10" s="12" t="inlineStr">
        <is>
          <t>TOTAL INTERESES</t>
        </is>
      </c>
      <c r="G10" s="12" t="inlineStr">
        <is>
          <t>CAE</t>
        </is>
      </c>
      <c r="H10" s="12" t="inlineStr">
        <is>
          <t>DIFERENCIA</t>
        </is>
      </c>
    </row>
    <row r="11" ht="30" customHeight="1">
      <c r="B11" s="13">
        <f>Banco1!C3</f>
        <v/>
      </c>
      <c r="C11" s="14">
        <f>Banco1!C5</f>
        <v/>
      </c>
      <c r="D11" s="15">
        <f>Banco1!C11</f>
        <v/>
      </c>
      <c r="E11" s="16">
        <f>Banco1!C12</f>
        <v/>
      </c>
      <c r="F11" s="16">
        <f>Banco1!C13</f>
        <v/>
      </c>
      <c r="G11" s="14">
        <f>Banco1!C14</f>
        <v/>
      </c>
      <c r="H11" s="16">
        <f>IFERROR(E11-MIN($E$11:$E$15),"")</f>
        <v/>
      </c>
    </row>
    <row r="12" ht="30" customHeight="1">
      <c r="B12" s="17">
        <f>Banco2!C3</f>
        <v/>
      </c>
      <c r="C12" s="18">
        <f>Banco2!C5</f>
        <v/>
      </c>
      <c r="D12" s="19">
        <f>Banco2!C11</f>
        <v/>
      </c>
      <c r="E12" s="20">
        <f>Banco2!C12</f>
        <v/>
      </c>
      <c r="F12" s="20">
        <f>Banco2!C13</f>
        <v/>
      </c>
      <c r="G12" s="18">
        <f>Banco2!C14</f>
        <v/>
      </c>
      <c r="H12" s="20">
        <f>IFERROR(E12-MIN($E$11:$E$15),"")</f>
        <v/>
      </c>
    </row>
    <row r="13" ht="30" customHeight="1">
      <c r="B13" s="21">
        <f>Banco3!C3</f>
        <v/>
      </c>
      <c r="C13" s="22">
        <f>Banco3!C5</f>
        <v/>
      </c>
      <c r="D13" s="23">
        <f>Banco3!C11</f>
        <v/>
      </c>
      <c r="E13" s="24">
        <f>Banco3!C12</f>
        <v/>
      </c>
      <c r="F13" s="24">
        <f>Banco3!C13</f>
        <v/>
      </c>
      <c r="G13" s="22">
        <f>Banco3!C14</f>
        <v/>
      </c>
      <c r="H13" s="24">
        <f>IFERROR(E13-MIN($E$11:$E$15),"")</f>
        <v/>
      </c>
    </row>
    <row r="14" ht="30" customHeight="1">
      <c r="B14" s="25">
        <f>Banco4!C3</f>
        <v/>
      </c>
      <c r="C14" s="26">
        <f>Banco4!C5</f>
        <v/>
      </c>
      <c r="D14" s="27">
        <f>Banco4!C11</f>
        <v/>
      </c>
      <c r="E14" s="28">
        <f>Banco4!C12</f>
        <v/>
      </c>
      <c r="F14" s="28">
        <f>Banco4!C13</f>
        <v/>
      </c>
      <c r="G14" s="26">
        <f>Banco4!C14</f>
        <v/>
      </c>
      <c r="H14" s="28">
        <f>IFERROR(E14-MIN($E$11:$E$15),"")</f>
        <v/>
      </c>
    </row>
    <row r="15" ht="30" customHeight="1">
      <c r="B15" s="29">
        <f>Banco5!C3</f>
        <v/>
      </c>
      <c r="C15" s="30">
        <f>Banco5!C5</f>
        <v/>
      </c>
      <c r="D15" s="31">
        <f>Banco5!C11</f>
        <v/>
      </c>
      <c r="E15" s="32">
        <f>Banco5!C12</f>
        <v/>
      </c>
      <c r="F15" s="32">
        <f>Banco5!C13</f>
        <v/>
      </c>
      <c r="G15" s="30">
        <f>Banco5!C14</f>
        <v/>
      </c>
      <c r="H15" s="32">
        <f>IFERROR(E15-MIN($E$11:$E$15),"")</f>
        <v/>
      </c>
    </row>
    <row r="16" ht="8" customHeight="1"/>
    <row r="17" ht="36" customHeight="1">
      <c r="B17" s="33">
        <f>IFERROR("MEJOR OPCION: "&amp;INDEX(B11:B15,MATCH(MIN(E11:E15),E11:E15,0))&amp;" - Ahorras Bs. "&amp;TEXT(MAX(E11:E15)-MIN(E11:E15),"#,##0")&amp;" vs la peor opcion","Ingresa datos en las hojas de bancos")</f>
        <v/>
      </c>
      <c r="C17" s="34" t="n"/>
      <c r="D17" s="34" t="n"/>
      <c r="E17" s="34" t="n"/>
      <c r="F17" s="34" t="n"/>
      <c r="G17" s="34" t="n"/>
      <c r="H17" s="34" t="n"/>
    </row>
    <row r="18" ht="8" customHeight="1"/>
    <row r="19" ht="30" customHeight="1">
      <c r="B19" s="35" t="inlineStr">
        <is>
          <t>METRICAS CLAVE</t>
        </is>
      </c>
      <c r="C19" s="36" t="n"/>
      <c r="D19" s="36" t="n"/>
      <c r="E19" s="36" t="n"/>
      <c r="F19" s="36" t="n"/>
      <c r="G19" s="36" t="n"/>
      <c r="H19" s="36" t="n"/>
    </row>
    <row r="20" ht="26" customHeight="1">
      <c r="B20" s="37" t="inlineStr">
        <is>
          <t>Cuota mas baja (Bs.)</t>
        </is>
      </c>
      <c r="C20" s="38">
        <f>IFERROR(MIN(D11:D15),0)</f>
        <v/>
      </c>
    </row>
    <row r="21" ht="26" customHeight="1">
      <c r="B21" s="39" t="inlineStr">
        <is>
          <t>Cuota mas alta (Bs.)</t>
        </is>
      </c>
      <c r="C21" s="38">
        <f>IFERROR(MAX(D11:D15),0)</f>
        <v/>
      </c>
    </row>
    <row r="22" ht="26" customHeight="1">
      <c r="B22" s="37" t="inlineStr">
        <is>
          <t>Diferencia mensual (Bs.)</t>
        </is>
      </c>
      <c r="C22" s="38">
        <f>IFERROR(MAX(D11:D15)-MIN(D11:D15),0)</f>
        <v/>
      </c>
    </row>
    <row r="23" ht="26" customHeight="1">
      <c r="B23" s="39" t="inlineStr">
        <is>
          <t>Menor costo total (Bs.)</t>
        </is>
      </c>
      <c r="C23" s="38">
        <f>IFERROR(MIN(E11:E15),0)</f>
        <v/>
      </c>
    </row>
    <row r="24" ht="26" customHeight="1">
      <c r="B24" s="37" t="inlineStr">
        <is>
          <t>Mayor costo total (Bs.)</t>
        </is>
      </c>
      <c r="C24" s="38">
        <f>IFERROR(MAX(E11:E15),0)</f>
        <v/>
      </c>
    </row>
    <row r="25" ht="26" customHeight="1">
      <c r="B25" s="40" t="inlineStr">
        <is>
          <t>Ahorro maximo posible (Bs.)</t>
        </is>
      </c>
      <c r="C25" s="41">
        <f>IFERROR(MAX(E11:E15)-MIN(E11:E15),0)</f>
        <v/>
      </c>
    </row>
    <row r="26" ht="26" customHeight="1">
      <c r="B26" s="37" t="inlineStr">
        <is>
          <t>Tasa promedio (%)</t>
        </is>
      </c>
      <c r="C26" s="42">
        <f>IFERROR(AVERAGE(C11:C15),0)</f>
        <v/>
      </c>
    </row>
    <row r="27" ht="8" customHeight="1"/>
    <row r="60">
      <c r="B60" t="inlineStr">
        <is>
          <t>Banco</t>
        </is>
      </c>
      <c r="C60" t="inlineStr">
        <is>
          <t>Capital</t>
        </is>
      </c>
      <c r="D60" t="inlineStr">
        <is>
          <t>Intereses</t>
        </is>
      </c>
    </row>
    <row r="61">
      <c r="B61">
        <f>B11</f>
        <v/>
      </c>
      <c r="C61" s="43">
        <f>C6</f>
        <v/>
      </c>
      <c r="D61" s="43">
        <f>F11</f>
        <v/>
      </c>
    </row>
    <row r="62">
      <c r="B62">
        <f>B12</f>
        <v/>
      </c>
      <c r="C62" s="43">
        <f>C6</f>
        <v/>
      </c>
      <c r="D62" s="43">
        <f>F12</f>
        <v/>
      </c>
    </row>
    <row r="63">
      <c r="B63">
        <f>B13</f>
        <v/>
      </c>
      <c r="C63" s="43">
        <f>C6</f>
        <v/>
      </c>
      <c r="D63" s="43">
        <f>F13</f>
        <v/>
      </c>
    </row>
    <row r="64">
      <c r="B64">
        <f>B14</f>
        <v/>
      </c>
      <c r="C64" s="43">
        <f>C6</f>
        <v/>
      </c>
      <c r="D64" s="43">
        <f>F14</f>
        <v/>
      </c>
    </row>
    <row r="65">
      <c r="B65">
        <f>B15</f>
        <v/>
      </c>
      <c r="C65" s="43">
        <f>C6</f>
        <v/>
      </c>
      <c r="D65" s="43">
        <f>F15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6">
    <mergeCell ref="C20:D20"/>
    <mergeCell ref="C6:D6"/>
    <mergeCell ref="C7:D7"/>
    <mergeCell ref="B9:H9"/>
    <mergeCell ref="B1:H1"/>
    <mergeCell ref="B17:H17"/>
    <mergeCell ref="B19:H19"/>
    <mergeCell ref="C21:D21"/>
    <mergeCell ref="C24:D24"/>
    <mergeCell ref="C25:D25"/>
    <mergeCell ref="C26:D26"/>
    <mergeCell ref="B2:H2"/>
    <mergeCell ref="C22:D22"/>
    <mergeCell ref="B3:H3"/>
    <mergeCell ref="B5:H5"/>
    <mergeCell ref="C23:D23"/>
  </mergeCells>
  <conditionalFormatting sqref="B11:H11">
    <cfRule type="expression" priority="1" dxfId="0">
      <formula>$E11=MIN($E$11:$E$15)</formula>
    </cfRule>
  </conditionalFormatting>
  <conditionalFormatting sqref="B12:H12">
    <cfRule type="expression" priority="2" dxfId="0">
      <formula>$E12=MIN($E$11:$E$15)</formula>
    </cfRule>
  </conditionalFormatting>
  <conditionalFormatting sqref="B13:H13">
    <cfRule type="expression" priority="3" dxfId="0">
      <formula>$E13=MIN($E$11:$E$15)</formula>
    </cfRule>
  </conditionalFormatting>
  <conditionalFormatting sqref="B14:H14">
    <cfRule type="expression" priority="4" dxfId="0">
      <formula>$E14=MIN($E$11:$E$15)</formula>
    </cfRule>
  </conditionalFormatting>
  <conditionalFormatting sqref="B15:H15">
    <cfRule type="expression" priority="5" dxfId="0">
      <formula>$E15=MIN($E$11:$E$15)</formula>
    </cfRule>
  </conditionalFormatting>
  <conditionalFormatting sqref="E11:E15">
    <cfRule type="dataBar" priority="6">
      <dataBar>
        <cfvo type="min"/>
        <cfvo type="max"/>
        <color rgb="000F3460"/>
      </dataBar>
    </cfRule>
  </conditionalFormatting>
  <conditionalFormatting sqref="D11:D15">
    <cfRule type="dataBar" priority="7">
      <dataBar>
        <cfvo type="min"/>
        <cfvo type="max"/>
        <color rgb="0010B981"/>
      </dataBar>
    </cfRule>
  </conditionalFormatting>
  <conditionalFormatting sqref="H11:H15">
    <cfRule type="cellIs" priority="8" operator="equal" dxfId="0">
      <formula>0</formula>
    </cfRule>
    <cfRule type="cellIs" priority="9" operator="greaterThan" dxfId="1">
      <formula>0</formula>
    </cfRule>
  </conditionalFormatting>
  <dataValidations count="2">
    <dataValidation sqref="C6" showDropDown="0" showInputMessage="0" showErrorMessage="0" allowBlank="0" errorTitle="Monto invalido" error="El monto debe estar entre Bs. 10,000 y Bs. 5,000,000" promptTitle="Monto del Prestamo" prompt="Ingresa el monto del prestamo hipotecario" type="whole" operator="between">
      <formula1>10000</formula1>
      <formula2>5000000</formula2>
    </dataValidation>
    <dataValidation sqref="C7" showDropDown="0" showInputMessage="0" showErrorMessage="0" allowBlank="0" errorTitle="Plazo invalido" error="El plazo debe estar entre 12 y 360 meses (1-30 anios)" promptTitle="Plazo en Meses" prompt="Ingresa el plazo en meses (ej: 240 = 20 anios)" type="whole" operator="between">
      <formula1>12</formula1>
      <formula2>360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B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5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8" customHeight="1">
      <c r="B1" s="1" t="n"/>
      <c r="C1" s="1" t="n"/>
      <c r="D1" s="1" t="n"/>
    </row>
    <row r="2" ht="38" customHeight="1">
      <c r="B2" s="44" t="inlineStr">
        <is>
          <t>BANCO 1 - DATOS DEL CREDITO</t>
        </is>
      </c>
      <c r="C2" s="1" t="n"/>
      <c r="D2" s="1" t="n"/>
    </row>
    <row r="3" ht="32" customHeight="1">
      <c r="B3" s="45" t="inlineStr">
        <is>
          <t>Nombre del Banco</t>
        </is>
      </c>
      <c r="C3" s="46" t="inlineStr">
        <is>
          <t>Banco Nacional de Bolivia</t>
        </is>
      </c>
    </row>
    <row r="4" ht="8" customHeight="1"/>
    <row r="5" ht="30" customHeight="1">
      <c r="B5" s="47" t="inlineStr">
        <is>
          <t>Tasa de interes anual (%)</t>
        </is>
      </c>
      <c r="C5" s="48" t="n">
        <v>0.065</v>
      </c>
    </row>
    <row r="6" ht="30" customHeight="1">
      <c r="B6" s="47" t="inlineStr">
        <is>
          <t>Comision de apertura (%)</t>
        </is>
      </c>
      <c r="C6" s="48" t="n">
        <v>0.01</v>
      </c>
    </row>
    <row r="7" ht="30" customHeight="1">
      <c r="B7" s="47" t="inlineStr">
        <is>
          <t>Seguro de desgravamen anual (%)</t>
        </is>
      </c>
      <c r="C7" s="48" t="n">
        <v>0.0005</v>
      </c>
    </row>
    <row r="8" ht="30" customHeight="1">
      <c r="B8" s="47" t="inlineStr">
        <is>
          <t>Otros costos fijos (Bs.)</t>
        </is>
      </c>
      <c r="C8" s="49" t="n">
        <v>500</v>
      </c>
    </row>
    <row r="9" ht="8" customHeight="1"/>
    <row r="10" ht="30" customHeight="1">
      <c r="B10" s="50" t="inlineStr">
        <is>
          <t>RESULTADOS DEL CALCULO</t>
        </is>
      </c>
      <c r="C10" s="51" t="n"/>
      <c r="D10" s="51" t="n"/>
    </row>
    <row r="11" ht="32" customHeight="1">
      <c r="B11" s="52" t="inlineStr">
        <is>
          <t>Cuota mensual (Bs.)</t>
        </is>
      </c>
      <c r="C11" s="38">
        <f>IFERROR(-PMT(C5/12,Dashboard!$C$7,Dashboard!$C$6)+(Dashboard!$C$6*C7/12),0)</f>
        <v/>
      </c>
    </row>
    <row r="12" ht="32" customHeight="1">
      <c r="B12" s="52" t="inlineStr">
        <is>
          <t>Total a pagar (Bs.)</t>
        </is>
      </c>
      <c r="C12" s="38">
        <f>IFERROR(C11*Dashboard!$C$7+C8+(Dashboard!$C$6*C6),0)</f>
        <v/>
      </c>
    </row>
    <row r="13" ht="32" customHeight="1">
      <c r="B13" s="52" t="inlineStr">
        <is>
          <t>Total intereses (Bs.)</t>
        </is>
      </c>
      <c r="C13" s="38">
        <f>IFERROR(C12-Dashboard!$C$6,0)</f>
        <v/>
      </c>
    </row>
    <row r="14" ht="32" customHeight="1">
      <c r="B14" s="52" t="inlineStr">
        <is>
          <t>CAE - Costo Anual Equivalente</t>
        </is>
      </c>
      <c r="C14" s="42">
        <f>IFERROR(((1+(C5/12+C7/12))^12-1)+C6/IFERROR(Dashboard!$C$7/12,1),0)</f>
        <v/>
      </c>
    </row>
    <row r="15" ht="32" customHeight="1">
      <c r="B15" s="52" t="inlineStr">
        <is>
          <t>Cuota/Ingreso recomendado (%)</t>
        </is>
      </c>
      <c r="C15" s="42">
        <f>IFERROR(IF(D15&gt;0,C11/D15,0),0)</f>
        <v/>
      </c>
      <c r="D15" s="49" t="n">
        <v>8000</v>
      </c>
    </row>
    <row r="16" ht="30" customHeight="1">
      <c r="B16" s="53">
        <f>IF(C15&gt;0.35,"ALERTA: La cuota supera el 35% de tu ingreso. Riesgo alto.","OK: La cuota esta dentro del rango recomendado (&lt;35%)")</f>
        <v/>
      </c>
    </row>
    <row r="17" ht="8" customHeight="1"/>
    <row r="18" ht="30" customHeight="1">
      <c r="B18" s="54" t="inlineStr">
        <is>
          <t>TABLA DE AMORTIZACION (primeros 12 meses)</t>
        </is>
      </c>
      <c r="C18" s="55" t="n"/>
      <c r="D18" s="55" t="n"/>
    </row>
    <row r="19" ht="24" customHeight="1">
      <c r="B19" s="56" t="inlineStr">
        <is>
          <t>MES</t>
        </is>
      </c>
      <c r="C19" s="56" t="inlineStr">
        <is>
          <t>CUOTA (Bs.)</t>
        </is>
      </c>
      <c r="D19" s="56" t="inlineStr">
        <is>
          <t>A CAPITAL (Bs.)</t>
        </is>
      </c>
      <c r="E19" s="56" t="inlineStr">
        <is>
          <t>INTERES (Bs.)</t>
        </is>
      </c>
      <c r="F19" s="56" t="inlineStr">
        <is>
          <t>SALDO (Bs.)</t>
        </is>
      </c>
    </row>
    <row r="20" ht="22" customHeight="1">
      <c r="B20" s="57" t="n">
        <v>1</v>
      </c>
      <c r="C20" s="58">
        <f>IFERROR(C11,0)</f>
        <v/>
      </c>
      <c r="D20" s="58">
        <f>IFERROR(C20-E20,0)</f>
        <v/>
      </c>
      <c r="E20" s="20">
        <f>IFERROR(ROUND(Dashboard!$C$6*C5/12,2),0)</f>
        <v/>
      </c>
      <c r="F20" s="58">
        <f>IFERROR(Dashboard!$C$6-D20,0)</f>
        <v/>
      </c>
    </row>
    <row r="21" ht="22" customHeight="1">
      <c r="B21" s="57" t="n">
        <v>2</v>
      </c>
      <c r="C21" s="58">
        <f>IFERROR(C11,0)</f>
        <v/>
      </c>
      <c r="D21" s="58">
        <f>IFERROR(C21-E21,0)</f>
        <v/>
      </c>
      <c r="E21" s="20">
        <f>IFERROR(ROUND(F20*C5/12,2),0)</f>
        <v/>
      </c>
      <c r="F21" s="58">
        <f>IFERROR(F20-D21,0)</f>
        <v/>
      </c>
    </row>
    <row r="22" ht="22" customHeight="1">
      <c r="B22" s="57" t="n">
        <v>3</v>
      </c>
      <c r="C22" s="58">
        <f>IFERROR(C11,0)</f>
        <v/>
      </c>
      <c r="D22" s="58">
        <f>IFERROR(C22-E22,0)</f>
        <v/>
      </c>
      <c r="E22" s="20">
        <f>IFERROR(ROUND(F21*C5/12,2),0)</f>
        <v/>
      </c>
      <c r="F22" s="58">
        <f>IFERROR(F21-D22,0)</f>
        <v/>
      </c>
    </row>
    <row r="23" ht="22" customHeight="1">
      <c r="B23" s="57" t="n">
        <v>4</v>
      </c>
      <c r="C23" s="58">
        <f>IFERROR(C11,0)</f>
        <v/>
      </c>
      <c r="D23" s="58">
        <f>IFERROR(C23-E23,0)</f>
        <v/>
      </c>
      <c r="E23" s="20">
        <f>IFERROR(ROUND(F22*C5/12,2),0)</f>
        <v/>
      </c>
      <c r="F23" s="58">
        <f>IFERROR(F22-D23,0)</f>
        <v/>
      </c>
    </row>
    <row r="24" ht="22" customHeight="1">
      <c r="B24" s="57" t="n">
        <v>5</v>
      </c>
      <c r="C24" s="58">
        <f>IFERROR(C11,0)</f>
        <v/>
      </c>
      <c r="D24" s="58">
        <f>IFERROR(C24-E24,0)</f>
        <v/>
      </c>
      <c r="E24" s="20">
        <f>IFERROR(ROUND(F23*C5/12,2),0)</f>
        <v/>
      </c>
      <c r="F24" s="58">
        <f>IFERROR(F23-D24,0)</f>
        <v/>
      </c>
    </row>
    <row r="25" ht="22" customHeight="1">
      <c r="B25" s="57" t="n">
        <v>6</v>
      </c>
      <c r="C25" s="58">
        <f>IFERROR(C11,0)</f>
        <v/>
      </c>
      <c r="D25" s="58">
        <f>IFERROR(C25-E25,0)</f>
        <v/>
      </c>
      <c r="E25" s="20">
        <f>IFERROR(ROUND(F24*C5/12,2),0)</f>
        <v/>
      </c>
      <c r="F25" s="58">
        <f>IFERROR(F24-D25,0)</f>
        <v/>
      </c>
    </row>
    <row r="26" ht="22" customHeight="1">
      <c r="B26" s="57" t="n">
        <v>7</v>
      </c>
      <c r="C26" s="58">
        <f>IFERROR(C11,0)</f>
        <v/>
      </c>
      <c r="D26" s="58">
        <f>IFERROR(C26-E26,0)</f>
        <v/>
      </c>
      <c r="E26" s="20">
        <f>IFERROR(ROUND(F25*C5/12,2),0)</f>
        <v/>
      </c>
      <c r="F26" s="58">
        <f>IFERROR(F25-D26,0)</f>
        <v/>
      </c>
    </row>
    <row r="27" ht="22" customHeight="1">
      <c r="B27" s="57" t="n">
        <v>8</v>
      </c>
      <c r="C27" s="58">
        <f>IFERROR(C11,0)</f>
        <v/>
      </c>
      <c r="D27" s="58">
        <f>IFERROR(C27-E27,0)</f>
        <v/>
      </c>
      <c r="E27" s="20">
        <f>IFERROR(ROUND(F26*C5/12,2),0)</f>
        <v/>
      </c>
      <c r="F27" s="58">
        <f>IFERROR(F26-D27,0)</f>
        <v/>
      </c>
    </row>
    <row r="28" ht="22" customHeight="1">
      <c r="B28" s="57" t="n">
        <v>9</v>
      </c>
      <c r="C28" s="58">
        <f>IFERROR(C11,0)</f>
        <v/>
      </c>
      <c r="D28" s="58">
        <f>IFERROR(C28-E28,0)</f>
        <v/>
      </c>
      <c r="E28" s="20">
        <f>IFERROR(ROUND(F27*C5/12,2),0)</f>
        <v/>
      </c>
      <c r="F28" s="58">
        <f>IFERROR(F27-D28,0)</f>
        <v/>
      </c>
    </row>
    <row r="29" ht="22" customHeight="1">
      <c r="B29" s="57" t="n">
        <v>10</v>
      </c>
      <c r="C29" s="58">
        <f>IFERROR(C11,0)</f>
        <v/>
      </c>
      <c r="D29" s="58">
        <f>IFERROR(C29-E29,0)</f>
        <v/>
      </c>
      <c r="E29" s="20">
        <f>IFERROR(ROUND(F28*C5/12,2),0)</f>
        <v/>
      </c>
      <c r="F29" s="58">
        <f>IFERROR(F28-D29,0)</f>
        <v/>
      </c>
    </row>
    <row r="30" ht="22" customHeight="1">
      <c r="B30" s="57" t="n">
        <v>11</v>
      </c>
      <c r="C30" s="58">
        <f>IFERROR(C11,0)</f>
        <v/>
      </c>
      <c r="D30" s="58">
        <f>IFERROR(C30-E30,0)</f>
        <v/>
      </c>
      <c r="E30" s="20">
        <f>IFERROR(ROUND(F29*C5/12,2),0)</f>
        <v/>
      </c>
      <c r="F30" s="58">
        <f>IFERROR(F29-D30,0)</f>
        <v/>
      </c>
    </row>
    <row r="31" ht="22" customHeight="1">
      <c r="B31" s="57" t="n">
        <v>12</v>
      </c>
      <c r="C31" s="58">
        <f>IFERROR(C11,0)</f>
        <v/>
      </c>
      <c r="D31" s="58">
        <f>IFERROR(C31-E31,0)</f>
        <v/>
      </c>
      <c r="E31" s="20">
        <f>IFERROR(ROUND(F30*C5/12,2),0)</f>
        <v/>
      </c>
      <c r="F31" s="58">
        <f>IFERROR(F30-D31,0)</f>
        <v/>
      </c>
    </row>
    <row r="32" ht="26" customHeight="1">
      <c r="B32" s="59" t="inlineStr">
        <is>
          <t>TOTAL 12 MESES</t>
        </is>
      </c>
      <c r="C32" s="60">
        <f>SUM(C20:C31)</f>
        <v/>
      </c>
      <c r="D32" s="60">
        <f>SUM(D20:D31)</f>
        <v/>
      </c>
      <c r="E32" s="60">
        <f>SUM(E20:E31)</f>
        <v/>
      </c>
      <c r="F32" s="60">
        <f>F31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10:D10"/>
    <mergeCell ref="B1:D1"/>
    <mergeCell ref="B18:D18"/>
    <mergeCell ref="B2:D2"/>
    <mergeCell ref="B16:D16"/>
  </mergeCells>
  <conditionalFormatting sqref="B16:D16">
    <cfRule type="expression" priority="1" dxfId="1">
      <formula>C15&gt;0.35</formula>
    </cfRule>
    <cfRule type="expression" priority="2" dxfId="0">
      <formula>C15&lt;=0.35</formula>
    </cfRule>
  </conditionalFormatting>
  <dataValidations count="3">
    <dataValidation sqref="C5" showDropDown="0" showInputMessage="0" showErrorMessage="0" allowBlank="0" errorTitle="Tasa invalida" error="La tasa debe estar entre 0% y 100%" promptTitle="Tasa de Interes Anual" prompt="Ingresa la tasa anual como decimal (ej: 0.065 = 6.5%)" type="decimal" operator="between">
      <formula1>0</formula1>
      <formula2>1</formula2>
    </dataValidation>
    <dataValidation sqref="C6 C7" showDropDown="0" showInputMessage="0" showErrorMessage="0" allowBlank="0" errorTitle="Porcentaje invalido" error="El porcentaje debe estar entre 0% y 50%" type="decimal" operator="between">
      <formula1>0</formula1>
      <formula2>0.5</formula2>
    </dataValidation>
    <dataValidation sqref="C8" showDropDown="0" showInputMessage="0" showErrorMessage="0" allowBlank="0" errorTitle="Costo invalido" error="El costo 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B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5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8" customHeight="1">
      <c r="B1" s="1" t="n"/>
      <c r="C1" s="1" t="n"/>
      <c r="D1" s="1" t="n"/>
    </row>
    <row r="2" ht="38" customHeight="1">
      <c r="B2" s="61" t="inlineStr">
        <is>
          <t>BANCO 2 - DATOS DEL CREDITO</t>
        </is>
      </c>
      <c r="C2" s="1" t="n"/>
      <c r="D2" s="1" t="n"/>
    </row>
    <row r="3" ht="32" customHeight="1">
      <c r="B3" s="45" t="inlineStr">
        <is>
          <t>Nombre del Banco</t>
        </is>
      </c>
      <c r="C3" s="46" t="inlineStr">
        <is>
          <t>Banco Mercantil Santa Cruz</t>
        </is>
      </c>
    </row>
    <row r="4" ht="8" customHeight="1"/>
    <row r="5" ht="30" customHeight="1">
      <c r="B5" s="62" t="inlineStr">
        <is>
          <t>Tasa de interes anual (%)</t>
        </is>
      </c>
      <c r="C5" s="48" t="n">
        <v>0.07000000000000001</v>
      </c>
    </row>
    <row r="6" ht="30" customHeight="1">
      <c r="B6" s="62" t="inlineStr">
        <is>
          <t>Comision de apertura (%)</t>
        </is>
      </c>
      <c r="C6" s="48" t="n">
        <v>0.012</v>
      </c>
    </row>
    <row r="7" ht="30" customHeight="1">
      <c r="B7" s="62" t="inlineStr">
        <is>
          <t>Seguro de desgravamen anual (%)</t>
        </is>
      </c>
      <c r="C7" s="48" t="n">
        <v>0.0006000000000000001</v>
      </c>
    </row>
    <row r="8" ht="30" customHeight="1">
      <c r="B8" s="62" t="inlineStr">
        <is>
          <t>Otros costos fijos (Bs.)</t>
        </is>
      </c>
      <c r="C8" s="49" t="n">
        <v>700</v>
      </c>
    </row>
    <row r="9" ht="8" customHeight="1"/>
    <row r="10" ht="30" customHeight="1">
      <c r="B10" s="63" t="inlineStr">
        <is>
          <t>RESULTADOS DEL CALCULO</t>
        </is>
      </c>
      <c r="C10" s="64" t="n"/>
      <c r="D10" s="64" t="n"/>
    </row>
    <row r="11" ht="32" customHeight="1">
      <c r="B11" s="52" t="inlineStr">
        <is>
          <t>Cuota mensual (Bs.)</t>
        </is>
      </c>
      <c r="C11" s="38">
        <f>IFERROR(-PMT(C5/12,Dashboard!$C$7,Dashboard!$C$6)+(Dashboard!$C$6*C7/12),0)</f>
        <v/>
      </c>
    </row>
    <row r="12" ht="32" customHeight="1">
      <c r="B12" s="52" t="inlineStr">
        <is>
          <t>Total a pagar (Bs.)</t>
        </is>
      </c>
      <c r="C12" s="38">
        <f>IFERROR(C11*Dashboard!$C$7+C8+(Dashboard!$C$6*C6),0)</f>
        <v/>
      </c>
    </row>
    <row r="13" ht="32" customHeight="1">
      <c r="B13" s="52" t="inlineStr">
        <is>
          <t>Total intereses (Bs.)</t>
        </is>
      </c>
      <c r="C13" s="38">
        <f>IFERROR(C12-Dashboard!$C$6,0)</f>
        <v/>
      </c>
    </row>
    <row r="14" ht="32" customHeight="1">
      <c r="B14" s="52" t="inlineStr">
        <is>
          <t>CAE - Costo Anual Equivalente</t>
        </is>
      </c>
      <c r="C14" s="42">
        <f>IFERROR(((1+(C5/12+C7/12))^12-1)+C6/IFERROR(Dashboard!$C$7/12,1),0)</f>
        <v/>
      </c>
    </row>
    <row r="15" ht="32" customHeight="1">
      <c r="B15" s="52" t="inlineStr">
        <is>
          <t>Cuota/Ingreso recomendado (%)</t>
        </is>
      </c>
      <c r="C15" s="42">
        <f>IFERROR(IF(D15&gt;0,C11/D15,0),0)</f>
        <v/>
      </c>
      <c r="D15" s="49" t="n">
        <v>8500</v>
      </c>
    </row>
    <row r="16" ht="30" customHeight="1">
      <c r="B16" s="53">
        <f>IF(C15&gt;0.35,"ALERTA: La cuota supera el 35% de tu ingreso. Riesgo alto.","OK: La cuota esta dentro del rango recomendado (&lt;35%)")</f>
        <v/>
      </c>
    </row>
    <row r="17" ht="8" customHeight="1"/>
    <row r="18" ht="30" customHeight="1">
      <c r="B18" s="54" t="inlineStr">
        <is>
          <t>TABLA DE AMORTIZACION (primeros 12 meses)</t>
        </is>
      </c>
      <c r="C18" s="55" t="n"/>
      <c r="D18" s="55" t="n"/>
    </row>
    <row r="19" ht="24" customHeight="1">
      <c r="B19" s="56" t="inlineStr">
        <is>
          <t>MES</t>
        </is>
      </c>
      <c r="C19" s="56" t="inlineStr">
        <is>
          <t>CUOTA (Bs.)</t>
        </is>
      </c>
      <c r="D19" s="56" t="inlineStr">
        <is>
          <t>A CAPITAL (Bs.)</t>
        </is>
      </c>
      <c r="E19" s="56" t="inlineStr">
        <is>
          <t>INTERES (Bs.)</t>
        </is>
      </c>
      <c r="F19" s="56" t="inlineStr">
        <is>
          <t>SALDO (Bs.)</t>
        </is>
      </c>
    </row>
    <row r="20" ht="22" customHeight="1">
      <c r="B20" s="57" t="n">
        <v>1</v>
      </c>
      <c r="C20" s="58">
        <f>IFERROR(C11,0)</f>
        <v/>
      </c>
      <c r="D20" s="58">
        <f>IFERROR(C20-E20,0)</f>
        <v/>
      </c>
      <c r="E20" s="20">
        <f>IFERROR(ROUND(Dashboard!$C$6*C5/12,2),0)</f>
        <v/>
      </c>
      <c r="F20" s="58">
        <f>IFERROR(Dashboard!$C$6-D20,0)</f>
        <v/>
      </c>
    </row>
    <row r="21" ht="22" customHeight="1">
      <c r="B21" s="57" t="n">
        <v>2</v>
      </c>
      <c r="C21" s="58">
        <f>IFERROR(C11,0)</f>
        <v/>
      </c>
      <c r="D21" s="58">
        <f>IFERROR(C21-E21,0)</f>
        <v/>
      </c>
      <c r="E21" s="20">
        <f>IFERROR(ROUND(F20*C5/12,2),0)</f>
        <v/>
      </c>
      <c r="F21" s="58">
        <f>IFERROR(F20-D21,0)</f>
        <v/>
      </c>
    </row>
    <row r="22" ht="22" customHeight="1">
      <c r="B22" s="57" t="n">
        <v>3</v>
      </c>
      <c r="C22" s="58">
        <f>IFERROR(C11,0)</f>
        <v/>
      </c>
      <c r="D22" s="58">
        <f>IFERROR(C22-E22,0)</f>
        <v/>
      </c>
      <c r="E22" s="20">
        <f>IFERROR(ROUND(F21*C5/12,2),0)</f>
        <v/>
      </c>
      <c r="F22" s="58">
        <f>IFERROR(F21-D22,0)</f>
        <v/>
      </c>
    </row>
    <row r="23" ht="22" customHeight="1">
      <c r="B23" s="57" t="n">
        <v>4</v>
      </c>
      <c r="C23" s="58">
        <f>IFERROR(C11,0)</f>
        <v/>
      </c>
      <c r="D23" s="58">
        <f>IFERROR(C23-E23,0)</f>
        <v/>
      </c>
      <c r="E23" s="20">
        <f>IFERROR(ROUND(F22*C5/12,2),0)</f>
        <v/>
      </c>
      <c r="F23" s="58">
        <f>IFERROR(F22-D23,0)</f>
        <v/>
      </c>
    </row>
    <row r="24" ht="22" customHeight="1">
      <c r="B24" s="57" t="n">
        <v>5</v>
      </c>
      <c r="C24" s="58">
        <f>IFERROR(C11,0)</f>
        <v/>
      </c>
      <c r="D24" s="58">
        <f>IFERROR(C24-E24,0)</f>
        <v/>
      </c>
      <c r="E24" s="20">
        <f>IFERROR(ROUND(F23*C5/12,2),0)</f>
        <v/>
      </c>
      <c r="F24" s="58">
        <f>IFERROR(F23-D24,0)</f>
        <v/>
      </c>
    </row>
    <row r="25" ht="22" customHeight="1">
      <c r="B25" s="57" t="n">
        <v>6</v>
      </c>
      <c r="C25" s="58">
        <f>IFERROR(C11,0)</f>
        <v/>
      </c>
      <c r="D25" s="58">
        <f>IFERROR(C25-E25,0)</f>
        <v/>
      </c>
      <c r="E25" s="20">
        <f>IFERROR(ROUND(F24*C5/12,2),0)</f>
        <v/>
      </c>
      <c r="F25" s="58">
        <f>IFERROR(F24-D25,0)</f>
        <v/>
      </c>
    </row>
    <row r="26" ht="22" customHeight="1">
      <c r="B26" s="57" t="n">
        <v>7</v>
      </c>
      <c r="C26" s="58">
        <f>IFERROR(C11,0)</f>
        <v/>
      </c>
      <c r="D26" s="58">
        <f>IFERROR(C26-E26,0)</f>
        <v/>
      </c>
      <c r="E26" s="20">
        <f>IFERROR(ROUND(F25*C5/12,2),0)</f>
        <v/>
      </c>
      <c r="F26" s="58">
        <f>IFERROR(F25-D26,0)</f>
        <v/>
      </c>
    </row>
    <row r="27" ht="22" customHeight="1">
      <c r="B27" s="57" t="n">
        <v>8</v>
      </c>
      <c r="C27" s="58">
        <f>IFERROR(C11,0)</f>
        <v/>
      </c>
      <c r="D27" s="58">
        <f>IFERROR(C27-E27,0)</f>
        <v/>
      </c>
      <c r="E27" s="20">
        <f>IFERROR(ROUND(F26*C5/12,2),0)</f>
        <v/>
      </c>
      <c r="F27" s="58">
        <f>IFERROR(F26-D27,0)</f>
        <v/>
      </c>
    </row>
    <row r="28" ht="22" customHeight="1">
      <c r="B28" s="57" t="n">
        <v>9</v>
      </c>
      <c r="C28" s="58">
        <f>IFERROR(C11,0)</f>
        <v/>
      </c>
      <c r="D28" s="58">
        <f>IFERROR(C28-E28,0)</f>
        <v/>
      </c>
      <c r="E28" s="20">
        <f>IFERROR(ROUND(F27*C5/12,2),0)</f>
        <v/>
      </c>
      <c r="F28" s="58">
        <f>IFERROR(F27-D28,0)</f>
        <v/>
      </c>
    </row>
    <row r="29" ht="22" customHeight="1">
      <c r="B29" s="57" t="n">
        <v>10</v>
      </c>
      <c r="C29" s="58">
        <f>IFERROR(C11,0)</f>
        <v/>
      </c>
      <c r="D29" s="58">
        <f>IFERROR(C29-E29,0)</f>
        <v/>
      </c>
      <c r="E29" s="20">
        <f>IFERROR(ROUND(F28*C5/12,2),0)</f>
        <v/>
      </c>
      <c r="F29" s="58">
        <f>IFERROR(F28-D29,0)</f>
        <v/>
      </c>
    </row>
    <row r="30" ht="22" customHeight="1">
      <c r="B30" s="57" t="n">
        <v>11</v>
      </c>
      <c r="C30" s="58">
        <f>IFERROR(C11,0)</f>
        <v/>
      </c>
      <c r="D30" s="58">
        <f>IFERROR(C30-E30,0)</f>
        <v/>
      </c>
      <c r="E30" s="20">
        <f>IFERROR(ROUND(F29*C5/12,2),0)</f>
        <v/>
      </c>
      <c r="F30" s="58">
        <f>IFERROR(F29-D30,0)</f>
        <v/>
      </c>
    </row>
    <row r="31" ht="22" customHeight="1">
      <c r="B31" s="57" t="n">
        <v>12</v>
      </c>
      <c r="C31" s="58">
        <f>IFERROR(C11,0)</f>
        <v/>
      </c>
      <c r="D31" s="58">
        <f>IFERROR(C31-E31,0)</f>
        <v/>
      </c>
      <c r="E31" s="20">
        <f>IFERROR(ROUND(F30*C5/12,2),0)</f>
        <v/>
      </c>
      <c r="F31" s="58">
        <f>IFERROR(F30-D31,0)</f>
        <v/>
      </c>
    </row>
    <row r="32" ht="26" customHeight="1">
      <c r="B32" s="59" t="inlineStr">
        <is>
          <t>TOTAL 12 MESES</t>
        </is>
      </c>
      <c r="C32" s="60">
        <f>SUM(C20:C31)</f>
        <v/>
      </c>
      <c r="D32" s="60">
        <f>SUM(D20:D31)</f>
        <v/>
      </c>
      <c r="E32" s="60">
        <f>SUM(E20:E31)</f>
        <v/>
      </c>
      <c r="F32" s="60">
        <f>F31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10:D10"/>
    <mergeCell ref="B1:D1"/>
    <mergeCell ref="B18:D18"/>
    <mergeCell ref="B2:D2"/>
    <mergeCell ref="B16:D16"/>
  </mergeCells>
  <conditionalFormatting sqref="B16:D16">
    <cfRule type="expression" priority="1" dxfId="1">
      <formula>C15&gt;0.35</formula>
    </cfRule>
    <cfRule type="expression" priority="2" dxfId="0">
      <formula>C15&lt;=0.35</formula>
    </cfRule>
  </conditionalFormatting>
  <dataValidations count="3">
    <dataValidation sqref="C5" showDropDown="0" showInputMessage="0" showErrorMessage="0" allowBlank="0" errorTitle="Tasa invalida" error="La tasa debe estar entre 0% y 100%" promptTitle="Tasa de Interes Anual" prompt="Ingresa la tasa anual como decimal (ej: 0.065 = 6.5%)" type="decimal" operator="between">
      <formula1>0</formula1>
      <formula2>1</formula2>
    </dataValidation>
    <dataValidation sqref="C6 C7" showDropDown="0" showInputMessage="0" showErrorMessage="0" allowBlank="0" errorTitle="Porcentaje invalido" error="El porcentaje debe estar entre 0% y 50%" type="decimal" operator="between">
      <formula1>0</formula1>
      <formula2>0.5</formula2>
    </dataValidation>
    <dataValidation sqref="C8" showDropDown="0" showInputMessage="0" showErrorMessage="0" allowBlank="0" errorTitle="Costo invalido" error="El costo 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B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5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8" customHeight="1">
      <c r="B1" s="1" t="n"/>
      <c r="C1" s="1" t="n"/>
      <c r="D1" s="1" t="n"/>
    </row>
    <row r="2" ht="38" customHeight="1">
      <c r="B2" s="65" t="inlineStr">
        <is>
          <t>BANCO 3 - DATOS DEL CREDITO</t>
        </is>
      </c>
      <c r="C2" s="1" t="n"/>
      <c r="D2" s="1" t="n"/>
    </row>
    <row r="3" ht="32" customHeight="1">
      <c r="B3" s="45" t="inlineStr">
        <is>
          <t>Nombre del Banco</t>
        </is>
      </c>
      <c r="C3" s="46" t="inlineStr">
        <is>
          <t>Banco Union</t>
        </is>
      </c>
    </row>
    <row r="4" ht="8" customHeight="1"/>
    <row r="5" ht="30" customHeight="1">
      <c r="B5" s="66" t="inlineStr">
        <is>
          <t>Tasa de interes anual (%)</t>
        </is>
      </c>
      <c r="C5" s="48" t="n">
        <v>0.075</v>
      </c>
    </row>
    <row r="6" ht="30" customHeight="1">
      <c r="B6" s="66" t="inlineStr">
        <is>
          <t>Comision de apertura (%)</t>
        </is>
      </c>
      <c r="C6" s="48" t="n">
        <v>0.014</v>
      </c>
    </row>
    <row r="7" ht="30" customHeight="1">
      <c r="B7" s="66" t="inlineStr">
        <is>
          <t>Seguro de desgravamen anual (%)</t>
        </is>
      </c>
      <c r="C7" s="48" t="n">
        <v>0.0007</v>
      </c>
    </row>
    <row r="8" ht="30" customHeight="1">
      <c r="B8" s="66" t="inlineStr">
        <is>
          <t>Otros costos fijos (Bs.)</t>
        </is>
      </c>
      <c r="C8" s="49" t="n">
        <v>900</v>
      </c>
    </row>
    <row r="9" ht="8" customHeight="1"/>
    <row r="10" ht="30" customHeight="1">
      <c r="B10" s="67" t="inlineStr">
        <is>
          <t>RESULTADOS DEL CALCULO</t>
        </is>
      </c>
      <c r="C10" s="68" t="n"/>
      <c r="D10" s="68" t="n"/>
    </row>
    <row r="11" ht="32" customHeight="1">
      <c r="B11" s="52" t="inlineStr">
        <is>
          <t>Cuota mensual (Bs.)</t>
        </is>
      </c>
      <c r="C11" s="38">
        <f>IFERROR(-PMT(C5/12,Dashboard!$C$7,Dashboard!$C$6)+(Dashboard!$C$6*C7/12),0)</f>
        <v/>
      </c>
    </row>
    <row r="12" ht="32" customHeight="1">
      <c r="B12" s="52" t="inlineStr">
        <is>
          <t>Total a pagar (Bs.)</t>
        </is>
      </c>
      <c r="C12" s="38">
        <f>IFERROR(C11*Dashboard!$C$7+C8+(Dashboard!$C$6*C6),0)</f>
        <v/>
      </c>
    </row>
    <row r="13" ht="32" customHeight="1">
      <c r="B13" s="52" t="inlineStr">
        <is>
          <t>Total intereses (Bs.)</t>
        </is>
      </c>
      <c r="C13" s="38">
        <f>IFERROR(C12-Dashboard!$C$6,0)</f>
        <v/>
      </c>
    </row>
    <row r="14" ht="32" customHeight="1">
      <c r="B14" s="52" t="inlineStr">
        <is>
          <t>CAE - Costo Anual Equivalente</t>
        </is>
      </c>
      <c r="C14" s="42">
        <f>IFERROR(((1+(C5/12+C7/12))^12-1)+C6/IFERROR(Dashboard!$C$7/12,1),0)</f>
        <v/>
      </c>
    </row>
    <row r="15" ht="32" customHeight="1">
      <c r="B15" s="52" t="inlineStr">
        <is>
          <t>Cuota/Ingreso recomendado (%)</t>
        </is>
      </c>
      <c r="C15" s="42">
        <f>IFERROR(IF(D15&gt;0,C11/D15,0),0)</f>
        <v/>
      </c>
      <c r="D15" s="49" t="n">
        <v>9000</v>
      </c>
    </row>
    <row r="16" ht="30" customHeight="1">
      <c r="B16" s="53">
        <f>IF(C15&gt;0.35,"ALERTA: La cuota supera el 35% de tu ingreso. Riesgo alto.","OK: La cuota esta dentro del rango recomendado (&lt;35%)")</f>
        <v/>
      </c>
    </row>
    <row r="17" ht="8" customHeight="1"/>
    <row r="18" ht="30" customHeight="1">
      <c r="B18" s="54" t="inlineStr">
        <is>
          <t>TABLA DE AMORTIZACION (primeros 12 meses)</t>
        </is>
      </c>
      <c r="C18" s="55" t="n"/>
      <c r="D18" s="55" t="n"/>
    </row>
    <row r="19" ht="24" customHeight="1">
      <c r="B19" s="56" t="inlineStr">
        <is>
          <t>MES</t>
        </is>
      </c>
      <c r="C19" s="56" t="inlineStr">
        <is>
          <t>CUOTA (Bs.)</t>
        </is>
      </c>
      <c r="D19" s="56" t="inlineStr">
        <is>
          <t>A CAPITAL (Bs.)</t>
        </is>
      </c>
      <c r="E19" s="56" t="inlineStr">
        <is>
          <t>INTERES (Bs.)</t>
        </is>
      </c>
      <c r="F19" s="56" t="inlineStr">
        <is>
          <t>SALDO (Bs.)</t>
        </is>
      </c>
    </row>
    <row r="20" ht="22" customHeight="1">
      <c r="B20" s="57" t="n">
        <v>1</v>
      </c>
      <c r="C20" s="58">
        <f>IFERROR(C11,0)</f>
        <v/>
      </c>
      <c r="D20" s="58">
        <f>IFERROR(C20-E20,0)</f>
        <v/>
      </c>
      <c r="E20" s="20">
        <f>IFERROR(ROUND(Dashboard!$C$6*C5/12,2),0)</f>
        <v/>
      </c>
      <c r="F20" s="58">
        <f>IFERROR(Dashboard!$C$6-D20,0)</f>
        <v/>
      </c>
    </row>
    <row r="21" ht="22" customHeight="1">
      <c r="B21" s="57" t="n">
        <v>2</v>
      </c>
      <c r="C21" s="58">
        <f>IFERROR(C11,0)</f>
        <v/>
      </c>
      <c r="D21" s="58">
        <f>IFERROR(C21-E21,0)</f>
        <v/>
      </c>
      <c r="E21" s="20">
        <f>IFERROR(ROUND(F20*C5/12,2),0)</f>
        <v/>
      </c>
      <c r="F21" s="58">
        <f>IFERROR(F20-D21,0)</f>
        <v/>
      </c>
    </row>
    <row r="22" ht="22" customHeight="1">
      <c r="B22" s="57" t="n">
        <v>3</v>
      </c>
      <c r="C22" s="58">
        <f>IFERROR(C11,0)</f>
        <v/>
      </c>
      <c r="D22" s="58">
        <f>IFERROR(C22-E22,0)</f>
        <v/>
      </c>
      <c r="E22" s="20">
        <f>IFERROR(ROUND(F21*C5/12,2),0)</f>
        <v/>
      </c>
      <c r="F22" s="58">
        <f>IFERROR(F21-D22,0)</f>
        <v/>
      </c>
    </row>
    <row r="23" ht="22" customHeight="1">
      <c r="B23" s="57" t="n">
        <v>4</v>
      </c>
      <c r="C23" s="58">
        <f>IFERROR(C11,0)</f>
        <v/>
      </c>
      <c r="D23" s="58">
        <f>IFERROR(C23-E23,0)</f>
        <v/>
      </c>
      <c r="E23" s="20">
        <f>IFERROR(ROUND(F22*C5/12,2),0)</f>
        <v/>
      </c>
      <c r="F23" s="58">
        <f>IFERROR(F22-D23,0)</f>
        <v/>
      </c>
    </row>
    <row r="24" ht="22" customHeight="1">
      <c r="B24" s="57" t="n">
        <v>5</v>
      </c>
      <c r="C24" s="58">
        <f>IFERROR(C11,0)</f>
        <v/>
      </c>
      <c r="D24" s="58">
        <f>IFERROR(C24-E24,0)</f>
        <v/>
      </c>
      <c r="E24" s="20">
        <f>IFERROR(ROUND(F23*C5/12,2),0)</f>
        <v/>
      </c>
      <c r="F24" s="58">
        <f>IFERROR(F23-D24,0)</f>
        <v/>
      </c>
    </row>
    <row r="25" ht="22" customHeight="1">
      <c r="B25" s="57" t="n">
        <v>6</v>
      </c>
      <c r="C25" s="58">
        <f>IFERROR(C11,0)</f>
        <v/>
      </c>
      <c r="D25" s="58">
        <f>IFERROR(C25-E25,0)</f>
        <v/>
      </c>
      <c r="E25" s="20">
        <f>IFERROR(ROUND(F24*C5/12,2),0)</f>
        <v/>
      </c>
      <c r="F25" s="58">
        <f>IFERROR(F24-D25,0)</f>
        <v/>
      </c>
    </row>
    <row r="26" ht="22" customHeight="1">
      <c r="B26" s="57" t="n">
        <v>7</v>
      </c>
      <c r="C26" s="58">
        <f>IFERROR(C11,0)</f>
        <v/>
      </c>
      <c r="D26" s="58">
        <f>IFERROR(C26-E26,0)</f>
        <v/>
      </c>
      <c r="E26" s="20">
        <f>IFERROR(ROUND(F25*C5/12,2),0)</f>
        <v/>
      </c>
      <c r="F26" s="58">
        <f>IFERROR(F25-D26,0)</f>
        <v/>
      </c>
    </row>
    <row r="27" ht="22" customHeight="1">
      <c r="B27" s="57" t="n">
        <v>8</v>
      </c>
      <c r="C27" s="58">
        <f>IFERROR(C11,0)</f>
        <v/>
      </c>
      <c r="D27" s="58">
        <f>IFERROR(C27-E27,0)</f>
        <v/>
      </c>
      <c r="E27" s="20">
        <f>IFERROR(ROUND(F26*C5/12,2),0)</f>
        <v/>
      </c>
      <c r="F27" s="58">
        <f>IFERROR(F26-D27,0)</f>
        <v/>
      </c>
    </row>
    <row r="28" ht="22" customHeight="1">
      <c r="B28" s="57" t="n">
        <v>9</v>
      </c>
      <c r="C28" s="58">
        <f>IFERROR(C11,0)</f>
        <v/>
      </c>
      <c r="D28" s="58">
        <f>IFERROR(C28-E28,0)</f>
        <v/>
      </c>
      <c r="E28" s="20">
        <f>IFERROR(ROUND(F27*C5/12,2),0)</f>
        <v/>
      </c>
      <c r="F28" s="58">
        <f>IFERROR(F27-D28,0)</f>
        <v/>
      </c>
    </row>
    <row r="29" ht="22" customHeight="1">
      <c r="B29" s="57" t="n">
        <v>10</v>
      </c>
      <c r="C29" s="58">
        <f>IFERROR(C11,0)</f>
        <v/>
      </c>
      <c r="D29" s="58">
        <f>IFERROR(C29-E29,0)</f>
        <v/>
      </c>
      <c r="E29" s="20">
        <f>IFERROR(ROUND(F28*C5/12,2),0)</f>
        <v/>
      </c>
      <c r="F29" s="58">
        <f>IFERROR(F28-D29,0)</f>
        <v/>
      </c>
    </row>
    <row r="30" ht="22" customHeight="1">
      <c r="B30" s="57" t="n">
        <v>11</v>
      </c>
      <c r="C30" s="58">
        <f>IFERROR(C11,0)</f>
        <v/>
      </c>
      <c r="D30" s="58">
        <f>IFERROR(C30-E30,0)</f>
        <v/>
      </c>
      <c r="E30" s="20">
        <f>IFERROR(ROUND(F29*C5/12,2),0)</f>
        <v/>
      </c>
      <c r="F30" s="58">
        <f>IFERROR(F29-D30,0)</f>
        <v/>
      </c>
    </row>
    <row r="31" ht="22" customHeight="1">
      <c r="B31" s="57" t="n">
        <v>12</v>
      </c>
      <c r="C31" s="58">
        <f>IFERROR(C11,0)</f>
        <v/>
      </c>
      <c r="D31" s="58">
        <f>IFERROR(C31-E31,0)</f>
        <v/>
      </c>
      <c r="E31" s="20">
        <f>IFERROR(ROUND(F30*C5/12,2),0)</f>
        <v/>
      </c>
      <c r="F31" s="58">
        <f>IFERROR(F30-D31,0)</f>
        <v/>
      </c>
    </row>
    <row r="32" ht="26" customHeight="1">
      <c r="B32" s="59" t="inlineStr">
        <is>
          <t>TOTAL 12 MESES</t>
        </is>
      </c>
      <c r="C32" s="60">
        <f>SUM(C20:C31)</f>
        <v/>
      </c>
      <c r="D32" s="60">
        <f>SUM(D20:D31)</f>
        <v/>
      </c>
      <c r="E32" s="60">
        <f>SUM(E20:E31)</f>
        <v/>
      </c>
      <c r="F32" s="60">
        <f>F31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10:D10"/>
    <mergeCell ref="B1:D1"/>
    <mergeCell ref="B18:D18"/>
    <mergeCell ref="B2:D2"/>
    <mergeCell ref="B16:D16"/>
  </mergeCells>
  <conditionalFormatting sqref="B16:D16">
    <cfRule type="expression" priority="1" dxfId="1">
      <formula>C15&gt;0.35</formula>
    </cfRule>
    <cfRule type="expression" priority="2" dxfId="0">
      <formula>C15&lt;=0.35</formula>
    </cfRule>
  </conditionalFormatting>
  <dataValidations count="3">
    <dataValidation sqref="C5" showDropDown="0" showInputMessage="0" showErrorMessage="0" allowBlank="0" errorTitle="Tasa invalida" error="La tasa debe estar entre 0% y 100%" promptTitle="Tasa de Interes Anual" prompt="Ingresa la tasa anual como decimal (ej: 0.065 = 6.5%)" type="decimal" operator="between">
      <formula1>0</formula1>
      <formula2>1</formula2>
    </dataValidation>
    <dataValidation sqref="C6 C7" showDropDown="0" showInputMessage="0" showErrorMessage="0" allowBlank="0" errorTitle="Porcentaje invalido" error="El porcentaje debe estar entre 0% y 50%" type="decimal" operator="between">
      <formula1>0</formula1>
      <formula2>0.5</formula2>
    </dataValidation>
    <dataValidation sqref="C8" showDropDown="0" showInputMessage="0" showErrorMessage="0" allowBlank="0" errorTitle="Costo invalido" error="El costo 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B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5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8" customHeight="1">
      <c r="B1" s="1" t="n"/>
      <c r="C1" s="1" t="n"/>
      <c r="D1" s="1" t="n"/>
    </row>
    <row r="2" ht="38" customHeight="1">
      <c r="B2" s="69" t="inlineStr">
        <is>
          <t>BANCO 4 - DATOS DEL CREDITO</t>
        </is>
      </c>
      <c r="C2" s="1" t="n"/>
      <c r="D2" s="1" t="n"/>
    </row>
    <row r="3" ht="32" customHeight="1">
      <c r="B3" s="45" t="inlineStr">
        <is>
          <t>Nombre del Banco</t>
        </is>
      </c>
      <c r="C3" s="46" t="inlineStr">
        <is>
          <t>BancoSol</t>
        </is>
      </c>
    </row>
    <row r="4" ht="8" customHeight="1"/>
    <row r="5" ht="30" customHeight="1">
      <c r="B5" s="70" t="inlineStr">
        <is>
          <t>Tasa de interes anual (%)</t>
        </is>
      </c>
      <c r="C5" s="48" t="n">
        <v>0.08</v>
      </c>
    </row>
    <row r="6" ht="30" customHeight="1">
      <c r="B6" s="70" t="inlineStr">
        <is>
          <t>Comision de apertura (%)</t>
        </is>
      </c>
      <c r="C6" s="48" t="n">
        <v>0.016</v>
      </c>
    </row>
    <row r="7" ht="30" customHeight="1">
      <c r="B7" s="70" t="inlineStr">
        <is>
          <t>Seguro de desgravamen anual (%)</t>
        </is>
      </c>
      <c r="C7" s="48" t="n">
        <v>0.0008</v>
      </c>
    </row>
    <row r="8" ht="30" customHeight="1">
      <c r="B8" s="70" t="inlineStr">
        <is>
          <t>Otros costos fijos (Bs.)</t>
        </is>
      </c>
      <c r="C8" s="49" t="n">
        <v>1100</v>
      </c>
    </row>
    <row r="9" ht="8" customHeight="1"/>
    <row r="10" ht="30" customHeight="1">
      <c r="B10" s="71" t="inlineStr">
        <is>
          <t>RESULTADOS DEL CALCULO</t>
        </is>
      </c>
      <c r="C10" s="72" t="n"/>
      <c r="D10" s="72" t="n"/>
    </row>
    <row r="11" ht="32" customHeight="1">
      <c r="B11" s="52" t="inlineStr">
        <is>
          <t>Cuota mensual (Bs.)</t>
        </is>
      </c>
      <c r="C11" s="38">
        <f>IFERROR(-PMT(C5/12,Dashboard!$C$7,Dashboard!$C$6)+(Dashboard!$C$6*C7/12),0)</f>
        <v/>
      </c>
    </row>
    <row r="12" ht="32" customHeight="1">
      <c r="B12" s="52" t="inlineStr">
        <is>
          <t>Total a pagar (Bs.)</t>
        </is>
      </c>
      <c r="C12" s="38">
        <f>IFERROR(C11*Dashboard!$C$7+C8+(Dashboard!$C$6*C6),0)</f>
        <v/>
      </c>
    </row>
    <row r="13" ht="32" customHeight="1">
      <c r="B13" s="52" t="inlineStr">
        <is>
          <t>Total intereses (Bs.)</t>
        </is>
      </c>
      <c r="C13" s="38">
        <f>IFERROR(C12-Dashboard!$C$6,0)</f>
        <v/>
      </c>
    </row>
    <row r="14" ht="32" customHeight="1">
      <c r="B14" s="52" t="inlineStr">
        <is>
          <t>CAE - Costo Anual Equivalente</t>
        </is>
      </c>
      <c r="C14" s="42">
        <f>IFERROR(((1+(C5/12+C7/12))^12-1)+C6/IFERROR(Dashboard!$C$7/12,1),0)</f>
        <v/>
      </c>
    </row>
    <row r="15" ht="32" customHeight="1">
      <c r="B15" s="52" t="inlineStr">
        <is>
          <t>Cuota/Ingreso recomendado (%)</t>
        </is>
      </c>
      <c r="C15" s="42">
        <f>IFERROR(IF(D15&gt;0,C11/D15,0),0)</f>
        <v/>
      </c>
      <c r="D15" s="49" t="n">
        <v>9500</v>
      </c>
    </row>
    <row r="16" ht="30" customHeight="1">
      <c r="B16" s="53">
        <f>IF(C15&gt;0.35,"ALERTA: La cuota supera el 35% de tu ingreso. Riesgo alto.","OK: La cuota esta dentro del rango recomendado (&lt;35%)")</f>
        <v/>
      </c>
    </row>
    <row r="17" ht="8" customHeight="1"/>
    <row r="18" ht="30" customHeight="1">
      <c r="B18" s="54" t="inlineStr">
        <is>
          <t>TABLA DE AMORTIZACION (primeros 12 meses)</t>
        </is>
      </c>
      <c r="C18" s="55" t="n"/>
      <c r="D18" s="55" t="n"/>
    </row>
    <row r="19" ht="24" customHeight="1">
      <c r="B19" s="56" t="inlineStr">
        <is>
          <t>MES</t>
        </is>
      </c>
      <c r="C19" s="56" t="inlineStr">
        <is>
          <t>CUOTA (Bs.)</t>
        </is>
      </c>
      <c r="D19" s="56" t="inlineStr">
        <is>
          <t>A CAPITAL (Bs.)</t>
        </is>
      </c>
      <c r="E19" s="56" t="inlineStr">
        <is>
          <t>INTERES (Bs.)</t>
        </is>
      </c>
      <c r="F19" s="56" t="inlineStr">
        <is>
          <t>SALDO (Bs.)</t>
        </is>
      </c>
    </row>
    <row r="20" ht="22" customHeight="1">
      <c r="B20" s="57" t="n">
        <v>1</v>
      </c>
      <c r="C20" s="58">
        <f>IFERROR(C11,0)</f>
        <v/>
      </c>
      <c r="D20" s="58">
        <f>IFERROR(C20-E20,0)</f>
        <v/>
      </c>
      <c r="E20" s="20">
        <f>IFERROR(ROUND(Dashboard!$C$6*C5/12,2),0)</f>
        <v/>
      </c>
      <c r="F20" s="58">
        <f>IFERROR(Dashboard!$C$6-D20,0)</f>
        <v/>
      </c>
    </row>
    <row r="21" ht="22" customHeight="1">
      <c r="B21" s="57" t="n">
        <v>2</v>
      </c>
      <c r="C21" s="58">
        <f>IFERROR(C11,0)</f>
        <v/>
      </c>
      <c r="D21" s="58">
        <f>IFERROR(C21-E21,0)</f>
        <v/>
      </c>
      <c r="E21" s="20">
        <f>IFERROR(ROUND(F20*C5/12,2),0)</f>
        <v/>
      </c>
      <c r="F21" s="58">
        <f>IFERROR(F20-D21,0)</f>
        <v/>
      </c>
    </row>
    <row r="22" ht="22" customHeight="1">
      <c r="B22" s="57" t="n">
        <v>3</v>
      </c>
      <c r="C22" s="58">
        <f>IFERROR(C11,0)</f>
        <v/>
      </c>
      <c r="D22" s="58">
        <f>IFERROR(C22-E22,0)</f>
        <v/>
      </c>
      <c r="E22" s="20">
        <f>IFERROR(ROUND(F21*C5/12,2),0)</f>
        <v/>
      </c>
      <c r="F22" s="58">
        <f>IFERROR(F21-D22,0)</f>
        <v/>
      </c>
    </row>
    <row r="23" ht="22" customHeight="1">
      <c r="B23" s="57" t="n">
        <v>4</v>
      </c>
      <c r="C23" s="58">
        <f>IFERROR(C11,0)</f>
        <v/>
      </c>
      <c r="D23" s="58">
        <f>IFERROR(C23-E23,0)</f>
        <v/>
      </c>
      <c r="E23" s="20">
        <f>IFERROR(ROUND(F22*C5/12,2),0)</f>
        <v/>
      </c>
      <c r="F23" s="58">
        <f>IFERROR(F22-D23,0)</f>
        <v/>
      </c>
    </row>
    <row r="24" ht="22" customHeight="1">
      <c r="B24" s="57" t="n">
        <v>5</v>
      </c>
      <c r="C24" s="58">
        <f>IFERROR(C11,0)</f>
        <v/>
      </c>
      <c r="D24" s="58">
        <f>IFERROR(C24-E24,0)</f>
        <v/>
      </c>
      <c r="E24" s="20">
        <f>IFERROR(ROUND(F23*C5/12,2),0)</f>
        <v/>
      </c>
      <c r="F24" s="58">
        <f>IFERROR(F23-D24,0)</f>
        <v/>
      </c>
    </row>
    <row r="25" ht="22" customHeight="1">
      <c r="B25" s="57" t="n">
        <v>6</v>
      </c>
      <c r="C25" s="58">
        <f>IFERROR(C11,0)</f>
        <v/>
      </c>
      <c r="D25" s="58">
        <f>IFERROR(C25-E25,0)</f>
        <v/>
      </c>
      <c r="E25" s="20">
        <f>IFERROR(ROUND(F24*C5/12,2),0)</f>
        <v/>
      </c>
      <c r="F25" s="58">
        <f>IFERROR(F24-D25,0)</f>
        <v/>
      </c>
    </row>
    <row r="26" ht="22" customHeight="1">
      <c r="B26" s="57" t="n">
        <v>7</v>
      </c>
      <c r="C26" s="58">
        <f>IFERROR(C11,0)</f>
        <v/>
      </c>
      <c r="D26" s="58">
        <f>IFERROR(C26-E26,0)</f>
        <v/>
      </c>
      <c r="E26" s="20">
        <f>IFERROR(ROUND(F25*C5/12,2),0)</f>
        <v/>
      </c>
      <c r="F26" s="58">
        <f>IFERROR(F25-D26,0)</f>
        <v/>
      </c>
    </row>
    <row r="27" ht="22" customHeight="1">
      <c r="B27" s="57" t="n">
        <v>8</v>
      </c>
      <c r="C27" s="58">
        <f>IFERROR(C11,0)</f>
        <v/>
      </c>
      <c r="D27" s="58">
        <f>IFERROR(C27-E27,0)</f>
        <v/>
      </c>
      <c r="E27" s="20">
        <f>IFERROR(ROUND(F26*C5/12,2),0)</f>
        <v/>
      </c>
      <c r="F27" s="58">
        <f>IFERROR(F26-D27,0)</f>
        <v/>
      </c>
    </row>
    <row r="28" ht="22" customHeight="1">
      <c r="B28" s="57" t="n">
        <v>9</v>
      </c>
      <c r="C28" s="58">
        <f>IFERROR(C11,0)</f>
        <v/>
      </c>
      <c r="D28" s="58">
        <f>IFERROR(C28-E28,0)</f>
        <v/>
      </c>
      <c r="E28" s="20">
        <f>IFERROR(ROUND(F27*C5/12,2),0)</f>
        <v/>
      </c>
      <c r="F28" s="58">
        <f>IFERROR(F27-D28,0)</f>
        <v/>
      </c>
    </row>
    <row r="29" ht="22" customHeight="1">
      <c r="B29" s="57" t="n">
        <v>10</v>
      </c>
      <c r="C29" s="58">
        <f>IFERROR(C11,0)</f>
        <v/>
      </c>
      <c r="D29" s="58">
        <f>IFERROR(C29-E29,0)</f>
        <v/>
      </c>
      <c r="E29" s="20">
        <f>IFERROR(ROUND(F28*C5/12,2),0)</f>
        <v/>
      </c>
      <c r="F29" s="58">
        <f>IFERROR(F28-D29,0)</f>
        <v/>
      </c>
    </row>
    <row r="30" ht="22" customHeight="1">
      <c r="B30" s="57" t="n">
        <v>11</v>
      </c>
      <c r="C30" s="58">
        <f>IFERROR(C11,0)</f>
        <v/>
      </c>
      <c r="D30" s="58">
        <f>IFERROR(C30-E30,0)</f>
        <v/>
      </c>
      <c r="E30" s="20">
        <f>IFERROR(ROUND(F29*C5/12,2),0)</f>
        <v/>
      </c>
      <c r="F30" s="58">
        <f>IFERROR(F29-D30,0)</f>
        <v/>
      </c>
    </row>
    <row r="31" ht="22" customHeight="1">
      <c r="B31" s="57" t="n">
        <v>12</v>
      </c>
      <c r="C31" s="58">
        <f>IFERROR(C11,0)</f>
        <v/>
      </c>
      <c r="D31" s="58">
        <f>IFERROR(C31-E31,0)</f>
        <v/>
      </c>
      <c r="E31" s="20">
        <f>IFERROR(ROUND(F30*C5/12,2),0)</f>
        <v/>
      </c>
      <c r="F31" s="58">
        <f>IFERROR(F30-D31,0)</f>
        <v/>
      </c>
    </row>
    <row r="32" ht="26" customHeight="1">
      <c r="B32" s="59" t="inlineStr">
        <is>
          <t>TOTAL 12 MESES</t>
        </is>
      </c>
      <c r="C32" s="60">
        <f>SUM(C20:C31)</f>
        <v/>
      </c>
      <c r="D32" s="60">
        <f>SUM(D20:D31)</f>
        <v/>
      </c>
      <c r="E32" s="60">
        <f>SUM(E20:E31)</f>
        <v/>
      </c>
      <c r="F32" s="60">
        <f>F31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10:D10"/>
    <mergeCell ref="B1:D1"/>
    <mergeCell ref="B18:D18"/>
    <mergeCell ref="B2:D2"/>
    <mergeCell ref="B16:D16"/>
  </mergeCells>
  <conditionalFormatting sqref="B16:D16">
    <cfRule type="expression" priority="1" dxfId="1">
      <formula>C15&gt;0.35</formula>
    </cfRule>
    <cfRule type="expression" priority="2" dxfId="0">
      <formula>C15&lt;=0.35</formula>
    </cfRule>
  </conditionalFormatting>
  <dataValidations count="3">
    <dataValidation sqref="C5" showDropDown="0" showInputMessage="0" showErrorMessage="0" allowBlank="0" errorTitle="Tasa invalida" error="La tasa debe estar entre 0% y 100%" promptTitle="Tasa de Interes Anual" prompt="Ingresa la tasa anual como decimal (ej: 0.065 = 6.5%)" type="decimal" operator="between">
      <formula1>0</formula1>
      <formula2>1</formula2>
    </dataValidation>
    <dataValidation sqref="C6 C7" showDropDown="0" showInputMessage="0" showErrorMessage="0" allowBlank="0" errorTitle="Porcentaje invalido" error="El porcentaje debe estar entre 0% y 50%" type="decimal" operator="between">
      <formula1>0</formula1>
      <formula2>0.5</formula2>
    </dataValidation>
    <dataValidation sqref="C8" showDropDown="0" showInputMessage="0" showErrorMessage="0" allowBlank="0" errorTitle="Costo invalido" error="El costo 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B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5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8" customHeight="1">
      <c r="B1" s="1" t="n"/>
      <c r="C1" s="1" t="n"/>
      <c r="D1" s="1" t="n"/>
    </row>
    <row r="2" ht="38" customHeight="1">
      <c r="B2" s="73" t="inlineStr">
        <is>
          <t>BANCO 5 - DATOS DEL CREDITO</t>
        </is>
      </c>
      <c r="C2" s="1" t="n"/>
      <c r="D2" s="1" t="n"/>
    </row>
    <row r="3" ht="32" customHeight="1">
      <c r="B3" s="45" t="inlineStr">
        <is>
          <t>Nombre del Banco</t>
        </is>
      </c>
      <c r="C3" s="46" t="inlineStr">
        <is>
          <t>Banco BISA</t>
        </is>
      </c>
    </row>
    <row r="4" ht="8" customHeight="1"/>
    <row r="5" ht="30" customHeight="1">
      <c r="B5" s="74" t="inlineStr">
        <is>
          <t>Tasa de interes anual (%)</t>
        </is>
      </c>
      <c r="C5" s="48" t="n">
        <v>0.08500000000000001</v>
      </c>
    </row>
    <row r="6" ht="30" customHeight="1">
      <c r="B6" s="74" t="inlineStr">
        <is>
          <t>Comision de apertura (%)</t>
        </is>
      </c>
      <c r="C6" s="48" t="n">
        <v>0.018</v>
      </c>
    </row>
    <row r="7" ht="30" customHeight="1">
      <c r="B7" s="74" t="inlineStr">
        <is>
          <t>Seguro de desgravamen anual (%)</t>
        </is>
      </c>
      <c r="C7" s="48" t="n">
        <v>0.0009</v>
      </c>
    </row>
    <row r="8" ht="30" customHeight="1">
      <c r="B8" s="74" t="inlineStr">
        <is>
          <t>Otros costos fijos (Bs.)</t>
        </is>
      </c>
      <c r="C8" s="49" t="n">
        <v>1300</v>
      </c>
    </row>
    <row r="9" ht="8" customHeight="1"/>
    <row r="10" ht="30" customHeight="1">
      <c r="B10" s="75" t="inlineStr">
        <is>
          <t>RESULTADOS DEL CALCULO</t>
        </is>
      </c>
      <c r="C10" s="76" t="n"/>
      <c r="D10" s="76" t="n"/>
    </row>
    <row r="11" ht="32" customHeight="1">
      <c r="B11" s="52" t="inlineStr">
        <is>
          <t>Cuota mensual (Bs.)</t>
        </is>
      </c>
      <c r="C11" s="38">
        <f>IFERROR(-PMT(C5/12,Dashboard!$C$7,Dashboard!$C$6)+(Dashboard!$C$6*C7/12),0)</f>
        <v/>
      </c>
    </row>
    <row r="12" ht="32" customHeight="1">
      <c r="B12" s="52" t="inlineStr">
        <is>
          <t>Total a pagar (Bs.)</t>
        </is>
      </c>
      <c r="C12" s="38">
        <f>IFERROR(C11*Dashboard!$C$7+C8+(Dashboard!$C$6*C6),0)</f>
        <v/>
      </c>
    </row>
    <row r="13" ht="32" customHeight="1">
      <c r="B13" s="52" t="inlineStr">
        <is>
          <t>Total intereses (Bs.)</t>
        </is>
      </c>
      <c r="C13" s="38">
        <f>IFERROR(C12-Dashboard!$C$6,0)</f>
        <v/>
      </c>
    </row>
    <row r="14" ht="32" customHeight="1">
      <c r="B14" s="52" t="inlineStr">
        <is>
          <t>CAE - Costo Anual Equivalente</t>
        </is>
      </c>
      <c r="C14" s="42">
        <f>IFERROR(((1+(C5/12+C7/12))^12-1)+C6/IFERROR(Dashboard!$C$7/12,1),0)</f>
        <v/>
      </c>
    </row>
    <row r="15" ht="32" customHeight="1">
      <c r="B15" s="52" t="inlineStr">
        <is>
          <t>Cuota/Ingreso recomendado (%)</t>
        </is>
      </c>
      <c r="C15" s="42">
        <f>IFERROR(IF(D15&gt;0,C11/D15,0),0)</f>
        <v/>
      </c>
      <c r="D15" s="49" t="n">
        <v>10000</v>
      </c>
    </row>
    <row r="16" ht="30" customHeight="1">
      <c r="B16" s="53">
        <f>IF(C15&gt;0.35,"ALERTA: La cuota supera el 35% de tu ingreso. Riesgo alto.","OK: La cuota esta dentro del rango recomendado (&lt;35%)")</f>
        <v/>
      </c>
    </row>
    <row r="17" ht="8" customHeight="1"/>
    <row r="18" ht="30" customHeight="1">
      <c r="B18" s="54" t="inlineStr">
        <is>
          <t>TABLA DE AMORTIZACION (primeros 12 meses)</t>
        </is>
      </c>
      <c r="C18" s="55" t="n"/>
      <c r="D18" s="55" t="n"/>
    </row>
    <row r="19" ht="24" customHeight="1">
      <c r="B19" s="56" t="inlineStr">
        <is>
          <t>MES</t>
        </is>
      </c>
      <c r="C19" s="56" t="inlineStr">
        <is>
          <t>CUOTA (Bs.)</t>
        </is>
      </c>
      <c r="D19" s="56" t="inlineStr">
        <is>
          <t>A CAPITAL (Bs.)</t>
        </is>
      </c>
      <c r="E19" s="56" t="inlineStr">
        <is>
          <t>INTERES (Bs.)</t>
        </is>
      </c>
      <c r="F19" s="56" t="inlineStr">
        <is>
          <t>SALDO (Bs.)</t>
        </is>
      </c>
    </row>
    <row r="20" ht="22" customHeight="1">
      <c r="B20" s="57" t="n">
        <v>1</v>
      </c>
      <c r="C20" s="58">
        <f>IFERROR(C11,0)</f>
        <v/>
      </c>
      <c r="D20" s="58">
        <f>IFERROR(C20-E20,0)</f>
        <v/>
      </c>
      <c r="E20" s="20">
        <f>IFERROR(ROUND(Dashboard!$C$6*C5/12,2),0)</f>
        <v/>
      </c>
      <c r="F20" s="58">
        <f>IFERROR(Dashboard!$C$6-D20,0)</f>
        <v/>
      </c>
    </row>
    <row r="21" ht="22" customHeight="1">
      <c r="B21" s="57" t="n">
        <v>2</v>
      </c>
      <c r="C21" s="58">
        <f>IFERROR(C11,0)</f>
        <v/>
      </c>
      <c r="D21" s="58">
        <f>IFERROR(C21-E21,0)</f>
        <v/>
      </c>
      <c r="E21" s="20">
        <f>IFERROR(ROUND(F20*C5/12,2),0)</f>
        <v/>
      </c>
      <c r="F21" s="58">
        <f>IFERROR(F20-D21,0)</f>
        <v/>
      </c>
    </row>
    <row r="22" ht="22" customHeight="1">
      <c r="B22" s="57" t="n">
        <v>3</v>
      </c>
      <c r="C22" s="58">
        <f>IFERROR(C11,0)</f>
        <v/>
      </c>
      <c r="D22" s="58">
        <f>IFERROR(C22-E22,0)</f>
        <v/>
      </c>
      <c r="E22" s="20">
        <f>IFERROR(ROUND(F21*C5/12,2),0)</f>
        <v/>
      </c>
      <c r="F22" s="58">
        <f>IFERROR(F21-D22,0)</f>
        <v/>
      </c>
    </row>
    <row r="23" ht="22" customHeight="1">
      <c r="B23" s="57" t="n">
        <v>4</v>
      </c>
      <c r="C23" s="58">
        <f>IFERROR(C11,0)</f>
        <v/>
      </c>
      <c r="D23" s="58">
        <f>IFERROR(C23-E23,0)</f>
        <v/>
      </c>
      <c r="E23" s="20">
        <f>IFERROR(ROUND(F22*C5/12,2),0)</f>
        <v/>
      </c>
      <c r="F23" s="58">
        <f>IFERROR(F22-D23,0)</f>
        <v/>
      </c>
    </row>
    <row r="24" ht="22" customHeight="1">
      <c r="B24" s="57" t="n">
        <v>5</v>
      </c>
      <c r="C24" s="58">
        <f>IFERROR(C11,0)</f>
        <v/>
      </c>
      <c r="D24" s="58">
        <f>IFERROR(C24-E24,0)</f>
        <v/>
      </c>
      <c r="E24" s="20">
        <f>IFERROR(ROUND(F23*C5/12,2),0)</f>
        <v/>
      </c>
      <c r="F24" s="58">
        <f>IFERROR(F23-D24,0)</f>
        <v/>
      </c>
    </row>
    <row r="25" ht="22" customHeight="1">
      <c r="B25" s="57" t="n">
        <v>6</v>
      </c>
      <c r="C25" s="58">
        <f>IFERROR(C11,0)</f>
        <v/>
      </c>
      <c r="D25" s="58">
        <f>IFERROR(C25-E25,0)</f>
        <v/>
      </c>
      <c r="E25" s="20">
        <f>IFERROR(ROUND(F24*C5/12,2),0)</f>
        <v/>
      </c>
      <c r="F25" s="58">
        <f>IFERROR(F24-D25,0)</f>
        <v/>
      </c>
    </row>
    <row r="26" ht="22" customHeight="1">
      <c r="B26" s="57" t="n">
        <v>7</v>
      </c>
      <c r="C26" s="58">
        <f>IFERROR(C11,0)</f>
        <v/>
      </c>
      <c r="D26" s="58">
        <f>IFERROR(C26-E26,0)</f>
        <v/>
      </c>
      <c r="E26" s="20">
        <f>IFERROR(ROUND(F25*C5/12,2),0)</f>
        <v/>
      </c>
      <c r="F26" s="58">
        <f>IFERROR(F25-D26,0)</f>
        <v/>
      </c>
    </row>
    <row r="27" ht="22" customHeight="1">
      <c r="B27" s="57" t="n">
        <v>8</v>
      </c>
      <c r="C27" s="58">
        <f>IFERROR(C11,0)</f>
        <v/>
      </c>
      <c r="D27" s="58">
        <f>IFERROR(C27-E27,0)</f>
        <v/>
      </c>
      <c r="E27" s="20">
        <f>IFERROR(ROUND(F26*C5/12,2),0)</f>
        <v/>
      </c>
      <c r="F27" s="58">
        <f>IFERROR(F26-D27,0)</f>
        <v/>
      </c>
    </row>
    <row r="28" ht="22" customHeight="1">
      <c r="B28" s="57" t="n">
        <v>9</v>
      </c>
      <c r="C28" s="58">
        <f>IFERROR(C11,0)</f>
        <v/>
      </c>
      <c r="D28" s="58">
        <f>IFERROR(C28-E28,0)</f>
        <v/>
      </c>
      <c r="E28" s="20">
        <f>IFERROR(ROUND(F27*C5/12,2),0)</f>
        <v/>
      </c>
      <c r="F28" s="58">
        <f>IFERROR(F27-D28,0)</f>
        <v/>
      </c>
    </row>
    <row r="29" ht="22" customHeight="1">
      <c r="B29" s="57" t="n">
        <v>10</v>
      </c>
      <c r="C29" s="58">
        <f>IFERROR(C11,0)</f>
        <v/>
      </c>
      <c r="D29" s="58">
        <f>IFERROR(C29-E29,0)</f>
        <v/>
      </c>
      <c r="E29" s="20">
        <f>IFERROR(ROUND(F28*C5/12,2),0)</f>
        <v/>
      </c>
      <c r="F29" s="58">
        <f>IFERROR(F28-D29,0)</f>
        <v/>
      </c>
    </row>
    <row r="30" ht="22" customHeight="1">
      <c r="B30" s="57" t="n">
        <v>11</v>
      </c>
      <c r="C30" s="58">
        <f>IFERROR(C11,0)</f>
        <v/>
      </c>
      <c r="D30" s="58">
        <f>IFERROR(C30-E30,0)</f>
        <v/>
      </c>
      <c r="E30" s="20">
        <f>IFERROR(ROUND(F29*C5/12,2),0)</f>
        <v/>
      </c>
      <c r="F30" s="58">
        <f>IFERROR(F29-D30,0)</f>
        <v/>
      </c>
    </row>
    <row r="31" ht="22" customHeight="1">
      <c r="B31" s="57" t="n">
        <v>12</v>
      </c>
      <c r="C31" s="58">
        <f>IFERROR(C11,0)</f>
        <v/>
      </c>
      <c r="D31" s="58">
        <f>IFERROR(C31-E31,0)</f>
        <v/>
      </c>
      <c r="E31" s="20">
        <f>IFERROR(ROUND(F30*C5/12,2),0)</f>
        <v/>
      </c>
      <c r="F31" s="58">
        <f>IFERROR(F30-D31,0)</f>
        <v/>
      </c>
    </row>
    <row r="32" ht="26" customHeight="1">
      <c r="B32" s="59" t="inlineStr">
        <is>
          <t>TOTAL 12 MESES</t>
        </is>
      </c>
      <c r="C32" s="60">
        <f>SUM(C20:C31)</f>
        <v/>
      </c>
      <c r="D32" s="60">
        <f>SUM(D20:D31)</f>
        <v/>
      </c>
      <c r="E32" s="60">
        <f>SUM(E20:E31)</f>
        <v/>
      </c>
      <c r="F32" s="60">
        <f>F31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10:D10"/>
    <mergeCell ref="B1:D1"/>
    <mergeCell ref="B18:D18"/>
    <mergeCell ref="B2:D2"/>
    <mergeCell ref="B16:D16"/>
  </mergeCells>
  <conditionalFormatting sqref="B16:D16">
    <cfRule type="expression" priority="1" dxfId="1">
      <formula>C15&gt;0.35</formula>
    </cfRule>
    <cfRule type="expression" priority="2" dxfId="0">
      <formula>C15&lt;=0.35</formula>
    </cfRule>
  </conditionalFormatting>
  <dataValidations count="3">
    <dataValidation sqref="C5" showDropDown="0" showInputMessage="0" showErrorMessage="0" allowBlank="0" errorTitle="Tasa invalida" error="La tasa debe estar entre 0% y 100%" promptTitle="Tasa de Interes Anual" prompt="Ingresa la tasa anual como decimal (ej: 0.065 = 6.5%)" type="decimal" operator="between">
      <formula1>0</formula1>
      <formula2>1</formula2>
    </dataValidation>
    <dataValidation sqref="C6 C7" showDropDown="0" showInputMessage="0" showErrorMessage="0" allowBlank="0" errorTitle="Porcentaje invalido" error="El porcentaje debe estar entre 0% y 50%" type="decimal" operator="between">
      <formula1>0</formula1>
      <formula2>0.5</formula2>
    </dataValidation>
    <dataValidation sqref="C8" showDropDown="0" showInputMessage="0" showErrorMessage="0" allowBlank="0" errorTitle="Costo invalido" error="El costo 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82F6"/>
    <outlinePr summaryBelow="1" summaryRight="1"/>
    <pageSetUpPr/>
  </sheetPr>
  <dimension ref="A1:G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40" customHeight="1">
      <c r="A1" s="77" t="inlineStr">
        <is>
          <t>TABLA DE AMORTIZACION COMPLETA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3" t="inlineStr">
        <is>
          <t>Amortizacion Frances (cuota fija) - Selecciona el banco a analizar</t>
        </is>
      </c>
      <c r="B2" s="1" t="n"/>
      <c r="C2" s="1" t="n"/>
      <c r="D2" s="1" t="n"/>
      <c r="E2" s="1" t="n"/>
      <c r="F2" s="1" t="n"/>
      <c r="G2" s="1" t="n"/>
    </row>
    <row r="3" ht="32" customHeight="1">
      <c r="A3" s="78" t="inlineStr">
        <is>
          <t>Selecciona Banco:</t>
        </is>
      </c>
      <c r="B3" s="8" t="n">
        <v>1</v>
      </c>
      <c r="C3" s="79" t="inlineStr">
        <is>
          <t>Banco:</t>
        </is>
      </c>
      <c r="D3" s="80">
        <f>IFERROR(CHOOSE(B3,Banco1!C3,Banco2!C3,Banco3!C3,Banco4!C3,Banco5!C3),"")</f>
        <v/>
      </c>
      <c r="E3" s="79" t="inlineStr">
        <is>
          <t>Tasa:</t>
        </is>
      </c>
      <c r="F3" s="81">
        <f>IFERROR(CHOOSE(B3,Banco1!C5,Banco2!C5,Banco3!C5,Banco4!C5,Banco5!C5),"")</f>
        <v/>
      </c>
    </row>
    <row r="4" ht="8" customHeight="1"/>
    <row r="5" ht="28" customHeight="1">
      <c r="A5" s="56" t="inlineStr">
        <is>
          <t>MES</t>
        </is>
      </c>
      <c r="B5" s="56" t="inlineStr">
        <is>
          <t>SALDO INICIAL</t>
        </is>
      </c>
      <c r="C5" s="56" t="inlineStr">
        <is>
          <t>CUOTA</t>
        </is>
      </c>
      <c r="D5" s="56" t="inlineStr">
        <is>
          <t>A CAPITAL</t>
        </is>
      </c>
      <c r="E5" s="56" t="inlineStr">
        <is>
          <t>A INTERESES</t>
        </is>
      </c>
      <c r="F5" s="56" t="inlineStr">
        <is>
          <t>SALDO FINAL</t>
        </is>
      </c>
      <c r="G5" s="56" t="inlineStr">
        <is>
          <t>% PAGADO</t>
        </is>
      </c>
    </row>
    <row r="6" ht="20" customHeight="1">
      <c r="A6" s="82" t="n">
        <v>1</v>
      </c>
      <c r="B6" s="83">
        <f>Dashboard!C6</f>
        <v/>
      </c>
      <c r="C6" s="83">
        <f>IF(B6&lt;=0.01,0,IFERROR(-PMT(CHOOSE($B$3,Banco1!$C$5,Banco2!$C$5,Banco3!$C$5,Banco4!$C$5,Banco5!$C$5)/12,Dashboard!$C$7,Dashboard!$C$6),0))</f>
        <v/>
      </c>
      <c r="D6" s="83">
        <f>IF(B6&lt;=0.01,0,MIN(C6-E6,B6))</f>
        <v/>
      </c>
      <c r="E6" s="84">
        <f>IF(B6&lt;=0.01,0,ROUND(B6*CHOOSE($B$3,Banco1!$C$5,Banco2!$C$5,Banco3!$C$5,Banco4!$C$5,Banco5!$C$5)/12,2))</f>
        <v/>
      </c>
      <c r="F6" s="83">
        <f>IF(B6&lt;=0.01,0,MAX(B6-D6,0))</f>
        <v/>
      </c>
      <c r="G6" s="85">
        <f>IFERROR(IF(Dashboard!C6&gt;0,1-(F6/Dashboard!C6),0),0)</f>
        <v/>
      </c>
    </row>
    <row r="7" ht="20" customHeight="1">
      <c r="A7" s="82" t="n">
        <v>2</v>
      </c>
      <c r="B7" s="83">
        <f>IF(F6&lt;=0.01,0,F6)</f>
        <v/>
      </c>
      <c r="C7" s="83">
        <f>IF(B7&lt;=0.01,0,IFERROR(-PMT(CHOOSE($B$3,Banco1!$C$5,Banco2!$C$5,Banco3!$C$5,Banco4!$C$5,Banco5!$C$5)/12,Dashboard!$C$7,Dashboard!$C$6),0))</f>
        <v/>
      </c>
      <c r="D7" s="83">
        <f>IF(B7&lt;=0.01,0,MIN(C7-E7,B7))</f>
        <v/>
      </c>
      <c r="E7" s="84">
        <f>IF(B7&lt;=0.01,0,ROUND(B7*CHOOSE($B$3,Banco1!$C$5,Banco2!$C$5,Banco3!$C$5,Banco4!$C$5,Banco5!$C$5)/12,2))</f>
        <v/>
      </c>
      <c r="F7" s="83">
        <f>IF(B7&lt;=0.01,0,MAX(B7-D7,0))</f>
        <v/>
      </c>
      <c r="G7" s="85">
        <f>IFERROR(IF(Dashboard!C6&gt;0,1-(F7/Dashboard!C6),0),0)</f>
        <v/>
      </c>
    </row>
    <row r="8" ht="20" customHeight="1">
      <c r="A8" s="82" t="n">
        <v>3</v>
      </c>
      <c r="B8" s="83">
        <f>IF(F7&lt;=0.01,0,F7)</f>
        <v/>
      </c>
      <c r="C8" s="83">
        <f>IF(B8&lt;=0.01,0,IFERROR(-PMT(CHOOSE($B$3,Banco1!$C$5,Banco2!$C$5,Banco3!$C$5,Banco4!$C$5,Banco5!$C$5)/12,Dashboard!$C$7,Dashboard!$C$6),0))</f>
        <v/>
      </c>
      <c r="D8" s="83">
        <f>IF(B8&lt;=0.01,0,MIN(C8-E8,B8))</f>
        <v/>
      </c>
      <c r="E8" s="84">
        <f>IF(B8&lt;=0.01,0,ROUND(B8*CHOOSE($B$3,Banco1!$C$5,Banco2!$C$5,Banco3!$C$5,Banco4!$C$5,Banco5!$C$5)/12,2))</f>
        <v/>
      </c>
      <c r="F8" s="83">
        <f>IF(B8&lt;=0.01,0,MAX(B8-D8,0))</f>
        <v/>
      </c>
      <c r="G8" s="85">
        <f>IFERROR(IF(Dashboard!C6&gt;0,1-(F8/Dashboard!C6),0),0)</f>
        <v/>
      </c>
    </row>
    <row r="9" ht="20" customHeight="1">
      <c r="A9" s="82" t="n">
        <v>4</v>
      </c>
      <c r="B9" s="83">
        <f>IF(F8&lt;=0.01,0,F8)</f>
        <v/>
      </c>
      <c r="C9" s="83">
        <f>IF(B9&lt;=0.01,0,IFERROR(-PMT(CHOOSE($B$3,Banco1!$C$5,Banco2!$C$5,Banco3!$C$5,Banco4!$C$5,Banco5!$C$5)/12,Dashboard!$C$7,Dashboard!$C$6),0))</f>
        <v/>
      </c>
      <c r="D9" s="83">
        <f>IF(B9&lt;=0.01,0,MIN(C9-E9,B9))</f>
        <v/>
      </c>
      <c r="E9" s="84">
        <f>IF(B9&lt;=0.01,0,ROUND(B9*CHOOSE($B$3,Banco1!$C$5,Banco2!$C$5,Banco3!$C$5,Banco4!$C$5,Banco5!$C$5)/12,2))</f>
        <v/>
      </c>
      <c r="F9" s="83">
        <f>IF(B9&lt;=0.01,0,MAX(B9-D9,0))</f>
        <v/>
      </c>
      <c r="G9" s="85">
        <f>IFERROR(IF(Dashboard!C6&gt;0,1-(F9/Dashboard!C6),0),0)</f>
        <v/>
      </c>
    </row>
    <row r="10" ht="20" customHeight="1">
      <c r="A10" s="82" t="n">
        <v>5</v>
      </c>
      <c r="B10" s="83">
        <f>IF(F9&lt;=0.01,0,F9)</f>
        <v/>
      </c>
      <c r="C10" s="83">
        <f>IF(B10&lt;=0.01,0,IFERROR(-PMT(CHOOSE($B$3,Banco1!$C$5,Banco2!$C$5,Banco3!$C$5,Banco4!$C$5,Banco5!$C$5)/12,Dashboard!$C$7,Dashboard!$C$6),0))</f>
        <v/>
      </c>
      <c r="D10" s="83">
        <f>IF(B10&lt;=0.01,0,MIN(C10-E10,B10))</f>
        <v/>
      </c>
      <c r="E10" s="84">
        <f>IF(B10&lt;=0.01,0,ROUND(B10*CHOOSE($B$3,Banco1!$C$5,Banco2!$C$5,Banco3!$C$5,Banco4!$C$5,Banco5!$C$5)/12,2))</f>
        <v/>
      </c>
      <c r="F10" s="83">
        <f>IF(B10&lt;=0.01,0,MAX(B10-D10,0))</f>
        <v/>
      </c>
      <c r="G10" s="85">
        <f>IFERROR(IF(Dashboard!C6&gt;0,1-(F10/Dashboard!C6),0),0)</f>
        <v/>
      </c>
    </row>
    <row r="11" ht="20" customHeight="1">
      <c r="A11" s="82" t="n">
        <v>6</v>
      </c>
      <c r="B11" s="83">
        <f>IF(F10&lt;=0.01,0,F10)</f>
        <v/>
      </c>
      <c r="C11" s="83">
        <f>IF(B11&lt;=0.01,0,IFERROR(-PMT(CHOOSE($B$3,Banco1!$C$5,Banco2!$C$5,Banco3!$C$5,Banco4!$C$5,Banco5!$C$5)/12,Dashboard!$C$7,Dashboard!$C$6),0))</f>
        <v/>
      </c>
      <c r="D11" s="83">
        <f>IF(B11&lt;=0.01,0,MIN(C11-E11,B11))</f>
        <v/>
      </c>
      <c r="E11" s="84">
        <f>IF(B11&lt;=0.01,0,ROUND(B11*CHOOSE($B$3,Banco1!$C$5,Banco2!$C$5,Banco3!$C$5,Banco4!$C$5,Banco5!$C$5)/12,2))</f>
        <v/>
      </c>
      <c r="F11" s="83">
        <f>IF(B11&lt;=0.01,0,MAX(B11-D11,0))</f>
        <v/>
      </c>
      <c r="G11" s="85">
        <f>IFERROR(IF(Dashboard!C6&gt;0,1-(F11/Dashboard!C6),0),0)</f>
        <v/>
      </c>
    </row>
    <row r="12" ht="20" customHeight="1">
      <c r="A12" s="82" t="n">
        <v>7</v>
      </c>
      <c r="B12" s="83">
        <f>IF(F11&lt;=0.01,0,F11)</f>
        <v/>
      </c>
      <c r="C12" s="83">
        <f>IF(B12&lt;=0.01,0,IFERROR(-PMT(CHOOSE($B$3,Banco1!$C$5,Banco2!$C$5,Banco3!$C$5,Banco4!$C$5,Banco5!$C$5)/12,Dashboard!$C$7,Dashboard!$C$6),0))</f>
        <v/>
      </c>
      <c r="D12" s="83">
        <f>IF(B12&lt;=0.01,0,MIN(C12-E12,B12))</f>
        <v/>
      </c>
      <c r="E12" s="84">
        <f>IF(B12&lt;=0.01,0,ROUND(B12*CHOOSE($B$3,Banco1!$C$5,Banco2!$C$5,Banco3!$C$5,Banco4!$C$5,Banco5!$C$5)/12,2))</f>
        <v/>
      </c>
      <c r="F12" s="83">
        <f>IF(B12&lt;=0.01,0,MAX(B12-D12,0))</f>
        <v/>
      </c>
      <c r="G12" s="85">
        <f>IFERROR(IF(Dashboard!C6&gt;0,1-(F12/Dashboard!C6),0),0)</f>
        <v/>
      </c>
    </row>
    <row r="13" ht="20" customHeight="1">
      <c r="A13" s="82" t="n">
        <v>8</v>
      </c>
      <c r="B13" s="83">
        <f>IF(F12&lt;=0.01,0,F12)</f>
        <v/>
      </c>
      <c r="C13" s="83">
        <f>IF(B13&lt;=0.01,0,IFERROR(-PMT(CHOOSE($B$3,Banco1!$C$5,Banco2!$C$5,Banco3!$C$5,Banco4!$C$5,Banco5!$C$5)/12,Dashboard!$C$7,Dashboard!$C$6),0))</f>
        <v/>
      </c>
      <c r="D13" s="83">
        <f>IF(B13&lt;=0.01,0,MIN(C13-E13,B13))</f>
        <v/>
      </c>
      <c r="E13" s="84">
        <f>IF(B13&lt;=0.01,0,ROUND(B13*CHOOSE($B$3,Banco1!$C$5,Banco2!$C$5,Banco3!$C$5,Banco4!$C$5,Banco5!$C$5)/12,2))</f>
        <v/>
      </c>
      <c r="F13" s="83">
        <f>IF(B13&lt;=0.01,0,MAX(B13-D13,0))</f>
        <v/>
      </c>
      <c r="G13" s="85">
        <f>IFERROR(IF(Dashboard!C6&gt;0,1-(F13/Dashboard!C6),0),0)</f>
        <v/>
      </c>
    </row>
    <row r="14" ht="20" customHeight="1">
      <c r="A14" s="82" t="n">
        <v>9</v>
      </c>
      <c r="B14" s="83">
        <f>IF(F13&lt;=0.01,0,F13)</f>
        <v/>
      </c>
      <c r="C14" s="83">
        <f>IF(B14&lt;=0.01,0,IFERROR(-PMT(CHOOSE($B$3,Banco1!$C$5,Banco2!$C$5,Banco3!$C$5,Banco4!$C$5,Banco5!$C$5)/12,Dashboard!$C$7,Dashboard!$C$6),0))</f>
        <v/>
      </c>
      <c r="D14" s="83">
        <f>IF(B14&lt;=0.01,0,MIN(C14-E14,B14))</f>
        <v/>
      </c>
      <c r="E14" s="84">
        <f>IF(B14&lt;=0.01,0,ROUND(B14*CHOOSE($B$3,Banco1!$C$5,Banco2!$C$5,Banco3!$C$5,Banco4!$C$5,Banco5!$C$5)/12,2))</f>
        <v/>
      </c>
      <c r="F14" s="83">
        <f>IF(B14&lt;=0.01,0,MAX(B14-D14,0))</f>
        <v/>
      </c>
      <c r="G14" s="85">
        <f>IFERROR(IF(Dashboard!C6&gt;0,1-(F14/Dashboard!C6),0),0)</f>
        <v/>
      </c>
    </row>
    <row r="15" ht="20" customHeight="1">
      <c r="A15" s="82" t="n">
        <v>10</v>
      </c>
      <c r="B15" s="83">
        <f>IF(F14&lt;=0.01,0,F14)</f>
        <v/>
      </c>
      <c r="C15" s="83">
        <f>IF(B15&lt;=0.01,0,IFERROR(-PMT(CHOOSE($B$3,Banco1!$C$5,Banco2!$C$5,Banco3!$C$5,Banco4!$C$5,Banco5!$C$5)/12,Dashboard!$C$7,Dashboard!$C$6),0))</f>
        <v/>
      </c>
      <c r="D15" s="83">
        <f>IF(B15&lt;=0.01,0,MIN(C15-E15,B15))</f>
        <v/>
      </c>
      <c r="E15" s="84">
        <f>IF(B15&lt;=0.01,0,ROUND(B15*CHOOSE($B$3,Banco1!$C$5,Banco2!$C$5,Banco3!$C$5,Banco4!$C$5,Banco5!$C$5)/12,2))</f>
        <v/>
      </c>
      <c r="F15" s="83">
        <f>IF(B15&lt;=0.01,0,MAX(B15-D15,0))</f>
        <v/>
      </c>
      <c r="G15" s="85">
        <f>IFERROR(IF(Dashboard!C6&gt;0,1-(F15/Dashboard!C6),0),0)</f>
        <v/>
      </c>
    </row>
    <row r="16" ht="20" customHeight="1">
      <c r="A16" s="82" t="n">
        <v>11</v>
      </c>
      <c r="B16" s="83">
        <f>IF(F15&lt;=0.01,0,F15)</f>
        <v/>
      </c>
      <c r="C16" s="83">
        <f>IF(B16&lt;=0.01,0,IFERROR(-PMT(CHOOSE($B$3,Banco1!$C$5,Banco2!$C$5,Banco3!$C$5,Banco4!$C$5,Banco5!$C$5)/12,Dashboard!$C$7,Dashboard!$C$6),0))</f>
        <v/>
      </c>
      <c r="D16" s="83">
        <f>IF(B16&lt;=0.01,0,MIN(C16-E16,B16))</f>
        <v/>
      </c>
      <c r="E16" s="84">
        <f>IF(B16&lt;=0.01,0,ROUND(B16*CHOOSE($B$3,Banco1!$C$5,Banco2!$C$5,Banco3!$C$5,Banco4!$C$5,Banco5!$C$5)/12,2))</f>
        <v/>
      </c>
      <c r="F16" s="83">
        <f>IF(B16&lt;=0.01,0,MAX(B16-D16,0))</f>
        <v/>
      </c>
      <c r="G16" s="85">
        <f>IFERROR(IF(Dashboard!C6&gt;0,1-(F16/Dashboard!C6),0),0)</f>
        <v/>
      </c>
    </row>
    <row r="17" ht="20" customHeight="1">
      <c r="A17" s="82" t="n">
        <v>12</v>
      </c>
      <c r="B17" s="83">
        <f>IF(F16&lt;=0.01,0,F16)</f>
        <v/>
      </c>
      <c r="C17" s="83">
        <f>IF(B17&lt;=0.01,0,IFERROR(-PMT(CHOOSE($B$3,Banco1!$C$5,Banco2!$C$5,Banco3!$C$5,Banco4!$C$5,Banco5!$C$5)/12,Dashboard!$C$7,Dashboard!$C$6),0))</f>
        <v/>
      </c>
      <c r="D17" s="83">
        <f>IF(B17&lt;=0.01,0,MIN(C17-E17,B17))</f>
        <v/>
      </c>
      <c r="E17" s="84">
        <f>IF(B17&lt;=0.01,0,ROUND(B17*CHOOSE($B$3,Banco1!$C$5,Banco2!$C$5,Banco3!$C$5,Banco4!$C$5,Banco5!$C$5)/12,2))</f>
        <v/>
      </c>
      <c r="F17" s="83">
        <f>IF(B17&lt;=0.01,0,MAX(B17-D17,0))</f>
        <v/>
      </c>
      <c r="G17" s="85">
        <f>IFERROR(IF(Dashboard!C6&gt;0,1-(F17/Dashboard!C6),0),0)</f>
        <v/>
      </c>
    </row>
    <row r="18" ht="20" customHeight="1">
      <c r="A18" s="82" t="n">
        <v>13</v>
      </c>
      <c r="B18" s="83">
        <f>IF(F17&lt;=0.01,0,F17)</f>
        <v/>
      </c>
      <c r="C18" s="83">
        <f>IF(B18&lt;=0.01,0,IFERROR(-PMT(CHOOSE($B$3,Banco1!$C$5,Banco2!$C$5,Banco3!$C$5,Banco4!$C$5,Banco5!$C$5)/12,Dashboard!$C$7,Dashboard!$C$6),0))</f>
        <v/>
      </c>
      <c r="D18" s="83">
        <f>IF(B18&lt;=0.01,0,MIN(C18-E18,B18))</f>
        <v/>
      </c>
      <c r="E18" s="84">
        <f>IF(B18&lt;=0.01,0,ROUND(B18*CHOOSE($B$3,Banco1!$C$5,Banco2!$C$5,Banco3!$C$5,Banco4!$C$5,Banco5!$C$5)/12,2))</f>
        <v/>
      </c>
      <c r="F18" s="83">
        <f>IF(B18&lt;=0.01,0,MAX(B18-D18,0))</f>
        <v/>
      </c>
      <c r="G18" s="85">
        <f>IFERROR(IF(Dashboard!C6&gt;0,1-(F18/Dashboard!C6),0),0)</f>
        <v/>
      </c>
    </row>
    <row r="19" ht="20" customHeight="1">
      <c r="A19" s="82" t="n">
        <v>14</v>
      </c>
      <c r="B19" s="83">
        <f>IF(F18&lt;=0.01,0,F18)</f>
        <v/>
      </c>
      <c r="C19" s="83">
        <f>IF(B19&lt;=0.01,0,IFERROR(-PMT(CHOOSE($B$3,Banco1!$C$5,Banco2!$C$5,Banco3!$C$5,Banco4!$C$5,Banco5!$C$5)/12,Dashboard!$C$7,Dashboard!$C$6),0))</f>
        <v/>
      </c>
      <c r="D19" s="83">
        <f>IF(B19&lt;=0.01,0,MIN(C19-E19,B19))</f>
        <v/>
      </c>
      <c r="E19" s="84">
        <f>IF(B19&lt;=0.01,0,ROUND(B19*CHOOSE($B$3,Banco1!$C$5,Banco2!$C$5,Banco3!$C$5,Banco4!$C$5,Banco5!$C$5)/12,2))</f>
        <v/>
      </c>
      <c r="F19" s="83">
        <f>IF(B19&lt;=0.01,0,MAX(B19-D19,0))</f>
        <v/>
      </c>
      <c r="G19" s="85">
        <f>IFERROR(IF(Dashboard!C6&gt;0,1-(F19/Dashboard!C6),0),0)</f>
        <v/>
      </c>
    </row>
    <row r="20" ht="20" customHeight="1">
      <c r="A20" s="82" t="n">
        <v>15</v>
      </c>
      <c r="B20" s="83">
        <f>IF(F19&lt;=0.01,0,F19)</f>
        <v/>
      </c>
      <c r="C20" s="83">
        <f>IF(B20&lt;=0.01,0,IFERROR(-PMT(CHOOSE($B$3,Banco1!$C$5,Banco2!$C$5,Banco3!$C$5,Banco4!$C$5,Banco5!$C$5)/12,Dashboard!$C$7,Dashboard!$C$6),0))</f>
        <v/>
      </c>
      <c r="D20" s="83">
        <f>IF(B20&lt;=0.01,0,MIN(C20-E20,B20))</f>
        <v/>
      </c>
      <c r="E20" s="84">
        <f>IF(B20&lt;=0.01,0,ROUND(B20*CHOOSE($B$3,Banco1!$C$5,Banco2!$C$5,Banco3!$C$5,Banco4!$C$5,Banco5!$C$5)/12,2))</f>
        <v/>
      </c>
      <c r="F20" s="83">
        <f>IF(B20&lt;=0.01,0,MAX(B20-D20,0))</f>
        <v/>
      </c>
      <c r="G20" s="85">
        <f>IFERROR(IF(Dashboard!C6&gt;0,1-(F20/Dashboard!C6),0),0)</f>
        <v/>
      </c>
    </row>
    <row r="21" ht="20" customHeight="1">
      <c r="A21" s="82" t="n">
        <v>16</v>
      </c>
      <c r="B21" s="83">
        <f>IF(F20&lt;=0.01,0,F20)</f>
        <v/>
      </c>
      <c r="C21" s="83">
        <f>IF(B21&lt;=0.01,0,IFERROR(-PMT(CHOOSE($B$3,Banco1!$C$5,Banco2!$C$5,Banco3!$C$5,Banco4!$C$5,Banco5!$C$5)/12,Dashboard!$C$7,Dashboard!$C$6),0))</f>
        <v/>
      </c>
      <c r="D21" s="83">
        <f>IF(B21&lt;=0.01,0,MIN(C21-E21,B21))</f>
        <v/>
      </c>
      <c r="E21" s="84">
        <f>IF(B21&lt;=0.01,0,ROUND(B21*CHOOSE($B$3,Banco1!$C$5,Banco2!$C$5,Banco3!$C$5,Banco4!$C$5,Banco5!$C$5)/12,2))</f>
        <v/>
      </c>
      <c r="F21" s="83">
        <f>IF(B21&lt;=0.01,0,MAX(B21-D21,0))</f>
        <v/>
      </c>
      <c r="G21" s="85">
        <f>IFERROR(IF(Dashboard!C6&gt;0,1-(F21/Dashboard!C6),0),0)</f>
        <v/>
      </c>
    </row>
    <row r="22" ht="20" customHeight="1">
      <c r="A22" s="82" t="n">
        <v>17</v>
      </c>
      <c r="B22" s="83">
        <f>IF(F21&lt;=0.01,0,F21)</f>
        <v/>
      </c>
      <c r="C22" s="83">
        <f>IF(B22&lt;=0.01,0,IFERROR(-PMT(CHOOSE($B$3,Banco1!$C$5,Banco2!$C$5,Banco3!$C$5,Banco4!$C$5,Banco5!$C$5)/12,Dashboard!$C$7,Dashboard!$C$6),0))</f>
        <v/>
      </c>
      <c r="D22" s="83">
        <f>IF(B22&lt;=0.01,0,MIN(C22-E22,B22))</f>
        <v/>
      </c>
      <c r="E22" s="84">
        <f>IF(B22&lt;=0.01,0,ROUND(B22*CHOOSE($B$3,Banco1!$C$5,Banco2!$C$5,Banco3!$C$5,Banco4!$C$5,Banco5!$C$5)/12,2))</f>
        <v/>
      </c>
      <c r="F22" s="83">
        <f>IF(B22&lt;=0.01,0,MAX(B22-D22,0))</f>
        <v/>
      </c>
      <c r="G22" s="85">
        <f>IFERROR(IF(Dashboard!C6&gt;0,1-(F22/Dashboard!C6),0),0)</f>
        <v/>
      </c>
    </row>
    <row r="23" ht="20" customHeight="1">
      <c r="A23" s="82" t="n">
        <v>18</v>
      </c>
      <c r="B23" s="83">
        <f>IF(F22&lt;=0.01,0,F22)</f>
        <v/>
      </c>
      <c r="C23" s="83">
        <f>IF(B23&lt;=0.01,0,IFERROR(-PMT(CHOOSE($B$3,Banco1!$C$5,Banco2!$C$5,Banco3!$C$5,Banco4!$C$5,Banco5!$C$5)/12,Dashboard!$C$7,Dashboard!$C$6),0))</f>
        <v/>
      </c>
      <c r="D23" s="83">
        <f>IF(B23&lt;=0.01,0,MIN(C23-E23,B23))</f>
        <v/>
      </c>
      <c r="E23" s="84">
        <f>IF(B23&lt;=0.01,0,ROUND(B23*CHOOSE($B$3,Banco1!$C$5,Banco2!$C$5,Banco3!$C$5,Banco4!$C$5,Banco5!$C$5)/12,2))</f>
        <v/>
      </c>
      <c r="F23" s="83">
        <f>IF(B23&lt;=0.01,0,MAX(B23-D23,0))</f>
        <v/>
      </c>
      <c r="G23" s="85">
        <f>IFERROR(IF(Dashboard!C6&gt;0,1-(F23/Dashboard!C6),0),0)</f>
        <v/>
      </c>
    </row>
    <row r="24" ht="20" customHeight="1">
      <c r="A24" s="82" t="n">
        <v>19</v>
      </c>
      <c r="B24" s="83">
        <f>IF(F23&lt;=0.01,0,F23)</f>
        <v/>
      </c>
      <c r="C24" s="83">
        <f>IF(B24&lt;=0.01,0,IFERROR(-PMT(CHOOSE($B$3,Banco1!$C$5,Banco2!$C$5,Banco3!$C$5,Banco4!$C$5,Banco5!$C$5)/12,Dashboard!$C$7,Dashboard!$C$6),0))</f>
        <v/>
      </c>
      <c r="D24" s="83">
        <f>IF(B24&lt;=0.01,0,MIN(C24-E24,B24))</f>
        <v/>
      </c>
      <c r="E24" s="84">
        <f>IF(B24&lt;=0.01,0,ROUND(B24*CHOOSE($B$3,Banco1!$C$5,Banco2!$C$5,Banco3!$C$5,Banco4!$C$5,Banco5!$C$5)/12,2))</f>
        <v/>
      </c>
      <c r="F24" s="83">
        <f>IF(B24&lt;=0.01,0,MAX(B24-D24,0))</f>
        <v/>
      </c>
      <c r="G24" s="85">
        <f>IFERROR(IF(Dashboard!C6&gt;0,1-(F24/Dashboard!C6),0),0)</f>
        <v/>
      </c>
    </row>
    <row r="25" ht="20" customHeight="1">
      <c r="A25" s="82" t="n">
        <v>20</v>
      </c>
      <c r="B25" s="83">
        <f>IF(F24&lt;=0.01,0,F24)</f>
        <v/>
      </c>
      <c r="C25" s="83">
        <f>IF(B25&lt;=0.01,0,IFERROR(-PMT(CHOOSE($B$3,Banco1!$C$5,Banco2!$C$5,Banco3!$C$5,Banco4!$C$5,Banco5!$C$5)/12,Dashboard!$C$7,Dashboard!$C$6),0))</f>
        <v/>
      </c>
      <c r="D25" s="83">
        <f>IF(B25&lt;=0.01,0,MIN(C25-E25,B25))</f>
        <v/>
      </c>
      <c r="E25" s="84">
        <f>IF(B25&lt;=0.01,0,ROUND(B25*CHOOSE($B$3,Banco1!$C$5,Banco2!$C$5,Banco3!$C$5,Banco4!$C$5,Banco5!$C$5)/12,2))</f>
        <v/>
      </c>
      <c r="F25" s="83">
        <f>IF(B25&lt;=0.01,0,MAX(B25-D25,0))</f>
        <v/>
      </c>
      <c r="G25" s="85">
        <f>IFERROR(IF(Dashboard!C6&gt;0,1-(F25/Dashboard!C6),0),0)</f>
        <v/>
      </c>
    </row>
    <row r="26" ht="20" customHeight="1">
      <c r="A26" s="82" t="n">
        <v>21</v>
      </c>
      <c r="B26" s="83">
        <f>IF(F25&lt;=0.01,0,F25)</f>
        <v/>
      </c>
      <c r="C26" s="83">
        <f>IF(B26&lt;=0.01,0,IFERROR(-PMT(CHOOSE($B$3,Banco1!$C$5,Banco2!$C$5,Banco3!$C$5,Banco4!$C$5,Banco5!$C$5)/12,Dashboard!$C$7,Dashboard!$C$6),0))</f>
        <v/>
      </c>
      <c r="D26" s="83">
        <f>IF(B26&lt;=0.01,0,MIN(C26-E26,B26))</f>
        <v/>
      </c>
      <c r="E26" s="84">
        <f>IF(B26&lt;=0.01,0,ROUND(B26*CHOOSE($B$3,Banco1!$C$5,Banco2!$C$5,Banco3!$C$5,Banco4!$C$5,Banco5!$C$5)/12,2))</f>
        <v/>
      </c>
      <c r="F26" s="83">
        <f>IF(B26&lt;=0.01,0,MAX(B26-D26,0))</f>
        <v/>
      </c>
      <c r="G26" s="85">
        <f>IFERROR(IF(Dashboard!C6&gt;0,1-(F26/Dashboard!C6),0),0)</f>
        <v/>
      </c>
    </row>
    <row r="27" ht="20" customHeight="1">
      <c r="A27" s="82" t="n">
        <v>22</v>
      </c>
      <c r="B27" s="83">
        <f>IF(F26&lt;=0.01,0,F26)</f>
        <v/>
      </c>
      <c r="C27" s="83">
        <f>IF(B27&lt;=0.01,0,IFERROR(-PMT(CHOOSE($B$3,Banco1!$C$5,Banco2!$C$5,Banco3!$C$5,Banco4!$C$5,Banco5!$C$5)/12,Dashboard!$C$7,Dashboard!$C$6),0))</f>
        <v/>
      </c>
      <c r="D27" s="83">
        <f>IF(B27&lt;=0.01,0,MIN(C27-E27,B27))</f>
        <v/>
      </c>
      <c r="E27" s="84">
        <f>IF(B27&lt;=0.01,0,ROUND(B27*CHOOSE($B$3,Banco1!$C$5,Banco2!$C$5,Banco3!$C$5,Banco4!$C$5,Banco5!$C$5)/12,2))</f>
        <v/>
      </c>
      <c r="F27" s="83">
        <f>IF(B27&lt;=0.01,0,MAX(B27-D27,0))</f>
        <v/>
      </c>
      <c r="G27" s="85">
        <f>IFERROR(IF(Dashboard!C6&gt;0,1-(F27/Dashboard!C6),0),0)</f>
        <v/>
      </c>
    </row>
    <row r="28" ht="20" customHeight="1">
      <c r="A28" s="82" t="n">
        <v>23</v>
      </c>
      <c r="B28" s="83">
        <f>IF(F27&lt;=0.01,0,F27)</f>
        <v/>
      </c>
      <c r="C28" s="83">
        <f>IF(B28&lt;=0.01,0,IFERROR(-PMT(CHOOSE($B$3,Banco1!$C$5,Banco2!$C$5,Banco3!$C$5,Banco4!$C$5,Banco5!$C$5)/12,Dashboard!$C$7,Dashboard!$C$6),0))</f>
        <v/>
      </c>
      <c r="D28" s="83">
        <f>IF(B28&lt;=0.01,0,MIN(C28-E28,B28))</f>
        <v/>
      </c>
      <c r="E28" s="84">
        <f>IF(B28&lt;=0.01,0,ROUND(B28*CHOOSE($B$3,Banco1!$C$5,Banco2!$C$5,Banco3!$C$5,Banco4!$C$5,Banco5!$C$5)/12,2))</f>
        <v/>
      </c>
      <c r="F28" s="83">
        <f>IF(B28&lt;=0.01,0,MAX(B28-D28,0))</f>
        <v/>
      </c>
      <c r="G28" s="85">
        <f>IFERROR(IF(Dashboard!C6&gt;0,1-(F28/Dashboard!C6),0),0)</f>
        <v/>
      </c>
    </row>
    <row r="29" ht="20" customHeight="1">
      <c r="A29" s="82" t="n">
        <v>24</v>
      </c>
      <c r="B29" s="83">
        <f>IF(F28&lt;=0.01,0,F28)</f>
        <v/>
      </c>
      <c r="C29" s="83">
        <f>IF(B29&lt;=0.01,0,IFERROR(-PMT(CHOOSE($B$3,Banco1!$C$5,Banco2!$C$5,Banco3!$C$5,Banco4!$C$5,Banco5!$C$5)/12,Dashboard!$C$7,Dashboard!$C$6),0))</f>
        <v/>
      </c>
      <c r="D29" s="83">
        <f>IF(B29&lt;=0.01,0,MIN(C29-E29,B29))</f>
        <v/>
      </c>
      <c r="E29" s="84">
        <f>IF(B29&lt;=0.01,0,ROUND(B29*CHOOSE($B$3,Banco1!$C$5,Banco2!$C$5,Banco3!$C$5,Banco4!$C$5,Banco5!$C$5)/12,2))</f>
        <v/>
      </c>
      <c r="F29" s="83">
        <f>IF(B29&lt;=0.01,0,MAX(B29-D29,0))</f>
        <v/>
      </c>
      <c r="G29" s="85">
        <f>IFERROR(IF(Dashboard!C6&gt;0,1-(F29/Dashboard!C6),0),0)</f>
        <v/>
      </c>
    </row>
    <row r="30" ht="20" customHeight="1">
      <c r="A30" s="82" t="n">
        <v>25</v>
      </c>
      <c r="B30" s="83">
        <f>IF(F29&lt;=0.01,0,F29)</f>
        <v/>
      </c>
      <c r="C30" s="83">
        <f>IF(B30&lt;=0.01,0,IFERROR(-PMT(CHOOSE($B$3,Banco1!$C$5,Banco2!$C$5,Banco3!$C$5,Banco4!$C$5,Banco5!$C$5)/12,Dashboard!$C$7,Dashboard!$C$6),0))</f>
        <v/>
      </c>
      <c r="D30" s="83">
        <f>IF(B30&lt;=0.01,0,MIN(C30-E30,B30))</f>
        <v/>
      </c>
      <c r="E30" s="84">
        <f>IF(B30&lt;=0.01,0,ROUND(B30*CHOOSE($B$3,Banco1!$C$5,Banco2!$C$5,Banco3!$C$5,Banco4!$C$5,Banco5!$C$5)/12,2))</f>
        <v/>
      </c>
      <c r="F30" s="83">
        <f>IF(B30&lt;=0.01,0,MAX(B30-D30,0))</f>
        <v/>
      </c>
      <c r="G30" s="85">
        <f>IFERROR(IF(Dashboard!C6&gt;0,1-(F30/Dashboard!C6),0),0)</f>
        <v/>
      </c>
    </row>
    <row r="31" ht="20" customHeight="1">
      <c r="A31" s="82" t="n">
        <v>26</v>
      </c>
      <c r="B31" s="83">
        <f>IF(F30&lt;=0.01,0,F30)</f>
        <v/>
      </c>
      <c r="C31" s="83">
        <f>IF(B31&lt;=0.01,0,IFERROR(-PMT(CHOOSE($B$3,Banco1!$C$5,Banco2!$C$5,Banco3!$C$5,Banco4!$C$5,Banco5!$C$5)/12,Dashboard!$C$7,Dashboard!$C$6),0))</f>
        <v/>
      </c>
      <c r="D31" s="83">
        <f>IF(B31&lt;=0.01,0,MIN(C31-E31,B31))</f>
        <v/>
      </c>
      <c r="E31" s="84">
        <f>IF(B31&lt;=0.01,0,ROUND(B31*CHOOSE($B$3,Banco1!$C$5,Banco2!$C$5,Banco3!$C$5,Banco4!$C$5,Banco5!$C$5)/12,2))</f>
        <v/>
      </c>
      <c r="F31" s="83">
        <f>IF(B31&lt;=0.01,0,MAX(B31-D31,0))</f>
        <v/>
      </c>
      <c r="G31" s="85">
        <f>IFERROR(IF(Dashboard!C6&gt;0,1-(F31/Dashboard!C6),0),0)</f>
        <v/>
      </c>
    </row>
    <row r="32" ht="20" customHeight="1">
      <c r="A32" s="82" t="n">
        <v>27</v>
      </c>
      <c r="B32" s="83">
        <f>IF(F31&lt;=0.01,0,F31)</f>
        <v/>
      </c>
      <c r="C32" s="83">
        <f>IF(B32&lt;=0.01,0,IFERROR(-PMT(CHOOSE($B$3,Banco1!$C$5,Banco2!$C$5,Banco3!$C$5,Banco4!$C$5,Banco5!$C$5)/12,Dashboard!$C$7,Dashboard!$C$6),0))</f>
        <v/>
      </c>
      <c r="D32" s="83">
        <f>IF(B32&lt;=0.01,0,MIN(C32-E32,B32))</f>
        <v/>
      </c>
      <c r="E32" s="84">
        <f>IF(B32&lt;=0.01,0,ROUND(B32*CHOOSE($B$3,Banco1!$C$5,Banco2!$C$5,Banco3!$C$5,Banco4!$C$5,Banco5!$C$5)/12,2))</f>
        <v/>
      </c>
      <c r="F32" s="83">
        <f>IF(B32&lt;=0.01,0,MAX(B32-D32,0))</f>
        <v/>
      </c>
      <c r="G32" s="85">
        <f>IFERROR(IF(Dashboard!C6&gt;0,1-(F32/Dashboard!C6),0),0)</f>
        <v/>
      </c>
    </row>
    <row r="33" ht="20" customHeight="1">
      <c r="A33" s="82" t="n">
        <v>28</v>
      </c>
      <c r="B33" s="83">
        <f>IF(F32&lt;=0.01,0,F32)</f>
        <v/>
      </c>
      <c r="C33" s="83">
        <f>IF(B33&lt;=0.01,0,IFERROR(-PMT(CHOOSE($B$3,Banco1!$C$5,Banco2!$C$5,Banco3!$C$5,Banco4!$C$5,Banco5!$C$5)/12,Dashboard!$C$7,Dashboard!$C$6),0))</f>
        <v/>
      </c>
      <c r="D33" s="83">
        <f>IF(B33&lt;=0.01,0,MIN(C33-E33,B33))</f>
        <v/>
      </c>
      <c r="E33" s="84">
        <f>IF(B33&lt;=0.01,0,ROUND(B33*CHOOSE($B$3,Banco1!$C$5,Banco2!$C$5,Banco3!$C$5,Banco4!$C$5,Banco5!$C$5)/12,2))</f>
        <v/>
      </c>
      <c r="F33" s="83">
        <f>IF(B33&lt;=0.01,0,MAX(B33-D33,0))</f>
        <v/>
      </c>
      <c r="G33" s="85">
        <f>IFERROR(IF(Dashboard!C6&gt;0,1-(F33/Dashboard!C6),0),0)</f>
        <v/>
      </c>
    </row>
    <row r="34" ht="20" customHeight="1">
      <c r="A34" s="82" t="n">
        <v>29</v>
      </c>
      <c r="B34" s="83">
        <f>IF(F33&lt;=0.01,0,F33)</f>
        <v/>
      </c>
      <c r="C34" s="83">
        <f>IF(B34&lt;=0.01,0,IFERROR(-PMT(CHOOSE($B$3,Banco1!$C$5,Banco2!$C$5,Banco3!$C$5,Banco4!$C$5,Banco5!$C$5)/12,Dashboard!$C$7,Dashboard!$C$6),0))</f>
        <v/>
      </c>
      <c r="D34" s="83">
        <f>IF(B34&lt;=0.01,0,MIN(C34-E34,B34))</f>
        <v/>
      </c>
      <c r="E34" s="84">
        <f>IF(B34&lt;=0.01,0,ROUND(B34*CHOOSE($B$3,Banco1!$C$5,Banco2!$C$5,Banco3!$C$5,Banco4!$C$5,Banco5!$C$5)/12,2))</f>
        <v/>
      </c>
      <c r="F34" s="83">
        <f>IF(B34&lt;=0.01,0,MAX(B34-D34,0))</f>
        <v/>
      </c>
      <c r="G34" s="85">
        <f>IFERROR(IF(Dashboard!C6&gt;0,1-(F34/Dashboard!C6),0),0)</f>
        <v/>
      </c>
    </row>
    <row r="35" ht="20" customHeight="1">
      <c r="A35" s="82" t="n">
        <v>30</v>
      </c>
      <c r="B35" s="83">
        <f>IF(F34&lt;=0.01,0,F34)</f>
        <v/>
      </c>
      <c r="C35" s="83">
        <f>IF(B35&lt;=0.01,0,IFERROR(-PMT(CHOOSE($B$3,Banco1!$C$5,Banco2!$C$5,Banco3!$C$5,Banco4!$C$5,Banco5!$C$5)/12,Dashboard!$C$7,Dashboard!$C$6),0))</f>
        <v/>
      </c>
      <c r="D35" s="83">
        <f>IF(B35&lt;=0.01,0,MIN(C35-E35,B35))</f>
        <v/>
      </c>
      <c r="E35" s="84">
        <f>IF(B35&lt;=0.01,0,ROUND(B35*CHOOSE($B$3,Banco1!$C$5,Banco2!$C$5,Banco3!$C$5,Banco4!$C$5,Banco5!$C$5)/12,2))</f>
        <v/>
      </c>
      <c r="F35" s="83">
        <f>IF(B35&lt;=0.01,0,MAX(B35-D35,0))</f>
        <v/>
      </c>
      <c r="G35" s="85">
        <f>IFERROR(IF(Dashboard!C6&gt;0,1-(F35/Dashboard!C6),0),0)</f>
        <v/>
      </c>
    </row>
    <row r="36" ht="20" customHeight="1">
      <c r="A36" s="82" t="n">
        <v>31</v>
      </c>
      <c r="B36" s="83">
        <f>IF(F35&lt;=0.01,0,F35)</f>
        <v/>
      </c>
      <c r="C36" s="83">
        <f>IF(B36&lt;=0.01,0,IFERROR(-PMT(CHOOSE($B$3,Banco1!$C$5,Banco2!$C$5,Banco3!$C$5,Banco4!$C$5,Banco5!$C$5)/12,Dashboard!$C$7,Dashboard!$C$6),0))</f>
        <v/>
      </c>
      <c r="D36" s="83">
        <f>IF(B36&lt;=0.01,0,MIN(C36-E36,B36))</f>
        <v/>
      </c>
      <c r="E36" s="84">
        <f>IF(B36&lt;=0.01,0,ROUND(B36*CHOOSE($B$3,Banco1!$C$5,Banco2!$C$5,Banco3!$C$5,Banco4!$C$5,Banco5!$C$5)/12,2))</f>
        <v/>
      </c>
      <c r="F36" s="83">
        <f>IF(B36&lt;=0.01,0,MAX(B36-D36,0))</f>
        <v/>
      </c>
      <c r="G36" s="85">
        <f>IFERROR(IF(Dashboard!C6&gt;0,1-(F36/Dashboard!C6),0),0)</f>
        <v/>
      </c>
    </row>
    <row r="37" ht="20" customHeight="1">
      <c r="A37" s="82" t="n">
        <v>32</v>
      </c>
      <c r="B37" s="83">
        <f>IF(F36&lt;=0.01,0,F36)</f>
        <v/>
      </c>
      <c r="C37" s="83">
        <f>IF(B37&lt;=0.01,0,IFERROR(-PMT(CHOOSE($B$3,Banco1!$C$5,Banco2!$C$5,Banco3!$C$5,Banco4!$C$5,Banco5!$C$5)/12,Dashboard!$C$7,Dashboard!$C$6),0))</f>
        <v/>
      </c>
      <c r="D37" s="83">
        <f>IF(B37&lt;=0.01,0,MIN(C37-E37,B37))</f>
        <v/>
      </c>
      <c r="E37" s="84">
        <f>IF(B37&lt;=0.01,0,ROUND(B37*CHOOSE($B$3,Banco1!$C$5,Banco2!$C$5,Banco3!$C$5,Banco4!$C$5,Banco5!$C$5)/12,2))</f>
        <v/>
      </c>
      <c r="F37" s="83">
        <f>IF(B37&lt;=0.01,0,MAX(B37-D37,0))</f>
        <v/>
      </c>
      <c r="G37" s="85">
        <f>IFERROR(IF(Dashboard!C6&gt;0,1-(F37/Dashboard!C6),0),0)</f>
        <v/>
      </c>
    </row>
    <row r="38" ht="20" customHeight="1">
      <c r="A38" s="82" t="n">
        <v>33</v>
      </c>
      <c r="B38" s="83">
        <f>IF(F37&lt;=0.01,0,F37)</f>
        <v/>
      </c>
      <c r="C38" s="83">
        <f>IF(B38&lt;=0.01,0,IFERROR(-PMT(CHOOSE($B$3,Banco1!$C$5,Banco2!$C$5,Banco3!$C$5,Banco4!$C$5,Banco5!$C$5)/12,Dashboard!$C$7,Dashboard!$C$6),0))</f>
        <v/>
      </c>
      <c r="D38" s="83">
        <f>IF(B38&lt;=0.01,0,MIN(C38-E38,B38))</f>
        <v/>
      </c>
      <c r="E38" s="84">
        <f>IF(B38&lt;=0.01,0,ROUND(B38*CHOOSE($B$3,Banco1!$C$5,Banco2!$C$5,Banco3!$C$5,Banco4!$C$5,Banco5!$C$5)/12,2))</f>
        <v/>
      </c>
      <c r="F38" s="83">
        <f>IF(B38&lt;=0.01,0,MAX(B38-D38,0))</f>
        <v/>
      </c>
      <c r="G38" s="85">
        <f>IFERROR(IF(Dashboard!C6&gt;0,1-(F38/Dashboard!C6),0),0)</f>
        <v/>
      </c>
    </row>
    <row r="39" ht="20" customHeight="1">
      <c r="A39" s="82" t="n">
        <v>34</v>
      </c>
      <c r="B39" s="83">
        <f>IF(F38&lt;=0.01,0,F38)</f>
        <v/>
      </c>
      <c r="C39" s="83">
        <f>IF(B39&lt;=0.01,0,IFERROR(-PMT(CHOOSE($B$3,Banco1!$C$5,Banco2!$C$5,Banco3!$C$5,Banco4!$C$5,Banco5!$C$5)/12,Dashboard!$C$7,Dashboard!$C$6),0))</f>
        <v/>
      </c>
      <c r="D39" s="83">
        <f>IF(B39&lt;=0.01,0,MIN(C39-E39,B39))</f>
        <v/>
      </c>
      <c r="E39" s="84">
        <f>IF(B39&lt;=0.01,0,ROUND(B39*CHOOSE($B$3,Banco1!$C$5,Banco2!$C$5,Banco3!$C$5,Banco4!$C$5,Banco5!$C$5)/12,2))</f>
        <v/>
      </c>
      <c r="F39" s="83">
        <f>IF(B39&lt;=0.01,0,MAX(B39-D39,0))</f>
        <v/>
      </c>
      <c r="G39" s="85">
        <f>IFERROR(IF(Dashboard!C6&gt;0,1-(F39/Dashboard!C6),0),0)</f>
        <v/>
      </c>
    </row>
    <row r="40" ht="20" customHeight="1">
      <c r="A40" s="82" t="n">
        <v>35</v>
      </c>
      <c r="B40" s="83">
        <f>IF(F39&lt;=0.01,0,F39)</f>
        <v/>
      </c>
      <c r="C40" s="83">
        <f>IF(B40&lt;=0.01,0,IFERROR(-PMT(CHOOSE($B$3,Banco1!$C$5,Banco2!$C$5,Banco3!$C$5,Banco4!$C$5,Banco5!$C$5)/12,Dashboard!$C$7,Dashboard!$C$6),0))</f>
        <v/>
      </c>
      <c r="D40" s="83">
        <f>IF(B40&lt;=0.01,0,MIN(C40-E40,B40))</f>
        <v/>
      </c>
      <c r="E40" s="84">
        <f>IF(B40&lt;=0.01,0,ROUND(B40*CHOOSE($B$3,Banco1!$C$5,Banco2!$C$5,Banco3!$C$5,Banco4!$C$5,Banco5!$C$5)/12,2))</f>
        <v/>
      </c>
      <c r="F40" s="83">
        <f>IF(B40&lt;=0.01,0,MAX(B40-D40,0))</f>
        <v/>
      </c>
      <c r="G40" s="85">
        <f>IFERROR(IF(Dashboard!C6&gt;0,1-(F40/Dashboard!C6),0),0)</f>
        <v/>
      </c>
    </row>
    <row r="41" ht="20" customHeight="1">
      <c r="A41" s="82" t="n">
        <v>36</v>
      </c>
      <c r="B41" s="83">
        <f>IF(F40&lt;=0.01,0,F40)</f>
        <v/>
      </c>
      <c r="C41" s="83">
        <f>IF(B41&lt;=0.01,0,IFERROR(-PMT(CHOOSE($B$3,Banco1!$C$5,Banco2!$C$5,Banco3!$C$5,Banco4!$C$5,Banco5!$C$5)/12,Dashboard!$C$7,Dashboard!$C$6),0))</f>
        <v/>
      </c>
      <c r="D41" s="83">
        <f>IF(B41&lt;=0.01,0,MIN(C41-E41,B41))</f>
        <v/>
      </c>
      <c r="E41" s="84">
        <f>IF(B41&lt;=0.01,0,ROUND(B41*CHOOSE($B$3,Banco1!$C$5,Banco2!$C$5,Banco3!$C$5,Banco4!$C$5,Banco5!$C$5)/12,2))</f>
        <v/>
      </c>
      <c r="F41" s="83">
        <f>IF(B41&lt;=0.01,0,MAX(B41-D41,0))</f>
        <v/>
      </c>
      <c r="G41" s="85">
        <f>IFERROR(IF(Dashboard!C6&gt;0,1-(F41/Dashboard!C6),0),0)</f>
        <v/>
      </c>
    </row>
    <row r="42" ht="20" customHeight="1">
      <c r="A42" s="82" t="n">
        <v>37</v>
      </c>
      <c r="B42" s="83">
        <f>IF(F41&lt;=0.01,0,F41)</f>
        <v/>
      </c>
      <c r="C42" s="83">
        <f>IF(B42&lt;=0.01,0,IFERROR(-PMT(CHOOSE($B$3,Banco1!$C$5,Banco2!$C$5,Banco3!$C$5,Banco4!$C$5,Banco5!$C$5)/12,Dashboard!$C$7,Dashboard!$C$6),0))</f>
        <v/>
      </c>
      <c r="D42" s="83">
        <f>IF(B42&lt;=0.01,0,MIN(C42-E42,B42))</f>
        <v/>
      </c>
      <c r="E42" s="84">
        <f>IF(B42&lt;=0.01,0,ROUND(B42*CHOOSE($B$3,Banco1!$C$5,Banco2!$C$5,Banco3!$C$5,Banco4!$C$5,Banco5!$C$5)/12,2))</f>
        <v/>
      </c>
      <c r="F42" s="83">
        <f>IF(B42&lt;=0.01,0,MAX(B42-D42,0))</f>
        <v/>
      </c>
      <c r="G42" s="85">
        <f>IFERROR(IF(Dashboard!C6&gt;0,1-(F42/Dashboard!C6),0),0)</f>
        <v/>
      </c>
    </row>
    <row r="43" ht="20" customHeight="1">
      <c r="A43" s="82" t="n">
        <v>38</v>
      </c>
      <c r="B43" s="83">
        <f>IF(F42&lt;=0.01,0,F42)</f>
        <v/>
      </c>
      <c r="C43" s="83">
        <f>IF(B43&lt;=0.01,0,IFERROR(-PMT(CHOOSE($B$3,Banco1!$C$5,Banco2!$C$5,Banco3!$C$5,Banco4!$C$5,Banco5!$C$5)/12,Dashboard!$C$7,Dashboard!$C$6),0))</f>
        <v/>
      </c>
      <c r="D43" s="83">
        <f>IF(B43&lt;=0.01,0,MIN(C43-E43,B43))</f>
        <v/>
      </c>
      <c r="E43" s="84">
        <f>IF(B43&lt;=0.01,0,ROUND(B43*CHOOSE($B$3,Banco1!$C$5,Banco2!$C$5,Banco3!$C$5,Banco4!$C$5,Banco5!$C$5)/12,2))</f>
        <v/>
      </c>
      <c r="F43" s="83">
        <f>IF(B43&lt;=0.01,0,MAX(B43-D43,0))</f>
        <v/>
      </c>
      <c r="G43" s="85">
        <f>IFERROR(IF(Dashboard!C6&gt;0,1-(F43/Dashboard!C6),0),0)</f>
        <v/>
      </c>
    </row>
    <row r="44" ht="20" customHeight="1">
      <c r="A44" s="82" t="n">
        <v>39</v>
      </c>
      <c r="B44" s="83">
        <f>IF(F43&lt;=0.01,0,F43)</f>
        <v/>
      </c>
      <c r="C44" s="83">
        <f>IF(B44&lt;=0.01,0,IFERROR(-PMT(CHOOSE($B$3,Banco1!$C$5,Banco2!$C$5,Banco3!$C$5,Banco4!$C$5,Banco5!$C$5)/12,Dashboard!$C$7,Dashboard!$C$6),0))</f>
        <v/>
      </c>
      <c r="D44" s="83">
        <f>IF(B44&lt;=0.01,0,MIN(C44-E44,B44))</f>
        <v/>
      </c>
      <c r="E44" s="84">
        <f>IF(B44&lt;=0.01,0,ROUND(B44*CHOOSE($B$3,Banco1!$C$5,Banco2!$C$5,Banco3!$C$5,Banco4!$C$5,Banco5!$C$5)/12,2))</f>
        <v/>
      </c>
      <c r="F44" s="83">
        <f>IF(B44&lt;=0.01,0,MAX(B44-D44,0))</f>
        <v/>
      </c>
      <c r="G44" s="85">
        <f>IFERROR(IF(Dashboard!C6&gt;0,1-(F44/Dashboard!C6),0),0)</f>
        <v/>
      </c>
    </row>
    <row r="45" ht="20" customHeight="1">
      <c r="A45" s="82" t="n">
        <v>40</v>
      </c>
      <c r="B45" s="83">
        <f>IF(F44&lt;=0.01,0,F44)</f>
        <v/>
      </c>
      <c r="C45" s="83">
        <f>IF(B45&lt;=0.01,0,IFERROR(-PMT(CHOOSE($B$3,Banco1!$C$5,Banco2!$C$5,Banco3!$C$5,Banco4!$C$5,Banco5!$C$5)/12,Dashboard!$C$7,Dashboard!$C$6),0))</f>
        <v/>
      </c>
      <c r="D45" s="83">
        <f>IF(B45&lt;=0.01,0,MIN(C45-E45,B45))</f>
        <v/>
      </c>
      <c r="E45" s="84">
        <f>IF(B45&lt;=0.01,0,ROUND(B45*CHOOSE($B$3,Banco1!$C$5,Banco2!$C$5,Banco3!$C$5,Banco4!$C$5,Banco5!$C$5)/12,2))</f>
        <v/>
      </c>
      <c r="F45" s="83">
        <f>IF(B45&lt;=0.01,0,MAX(B45-D45,0))</f>
        <v/>
      </c>
      <c r="G45" s="85">
        <f>IFERROR(IF(Dashboard!C6&gt;0,1-(F45/Dashboard!C6),0),0)</f>
        <v/>
      </c>
    </row>
    <row r="46" ht="20" customHeight="1">
      <c r="A46" s="82" t="n">
        <v>41</v>
      </c>
      <c r="B46" s="83">
        <f>IF(F45&lt;=0.01,0,F45)</f>
        <v/>
      </c>
      <c r="C46" s="83">
        <f>IF(B46&lt;=0.01,0,IFERROR(-PMT(CHOOSE($B$3,Banco1!$C$5,Banco2!$C$5,Banco3!$C$5,Banco4!$C$5,Banco5!$C$5)/12,Dashboard!$C$7,Dashboard!$C$6),0))</f>
        <v/>
      </c>
      <c r="D46" s="83">
        <f>IF(B46&lt;=0.01,0,MIN(C46-E46,B46))</f>
        <v/>
      </c>
      <c r="E46" s="84">
        <f>IF(B46&lt;=0.01,0,ROUND(B46*CHOOSE($B$3,Banco1!$C$5,Banco2!$C$5,Banco3!$C$5,Banco4!$C$5,Banco5!$C$5)/12,2))</f>
        <v/>
      </c>
      <c r="F46" s="83">
        <f>IF(B46&lt;=0.01,0,MAX(B46-D46,0))</f>
        <v/>
      </c>
      <c r="G46" s="85">
        <f>IFERROR(IF(Dashboard!C6&gt;0,1-(F46/Dashboard!C6),0),0)</f>
        <v/>
      </c>
    </row>
    <row r="47" ht="20" customHeight="1">
      <c r="A47" s="82" t="n">
        <v>42</v>
      </c>
      <c r="B47" s="83">
        <f>IF(F46&lt;=0.01,0,F46)</f>
        <v/>
      </c>
      <c r="C47" s="83">
        <f>IF(B47&lt;=0.01,0,IFERROR(-PMT(CHOOSE($B$3,Banco1!$C$5,Banco2!$C$5,Banco3!$C$5,Banco4!$C$5,Banco5!$C$5)/12,Dashboard!$C$7,Dashboard!$C$6),0))</f>
        <v/>
      </c>
      <c r="D47" s="83">
        <f>IF(B47&lt;=0.01,0,MIN(C47-E47,B47))</f>
        <v/>
      </c>
      <c r="E47" s="84">
        <f>IF(B47&lt;=0.01,0,ROUND(B47*CHOOSE($B$3,Banco1!$C$5,Banco2!$C$5,Banco3!$C$5,Banco4!$C$5,Banco5!$C$5)/12,2))</f>
        <v/>
      </c>
      <c r="F47" s="83">
        <f>IF(B47&lt;=0.01,0,MAX(B47-D47,0))</f>
        <v/>
      </c>
      <c r="G47" s="85">
        <f>IFERROR(IF(Dashboard!C6&gt;0,1-(F47/Dashboard!C6),0),0)</f>
        <v/>
      </c>
    </row>
    <row r="48" ht="20" customHeight="1">
      <c r="A48" s="82" t="n">
        <v>43</v>
      </c>
      <c r="B48" s="83">
        <f>IF(F47&lt;=0.01,0,F47)</f>
        <v/>
      </c>
      <c r="C48" s="83">
        <f>IF(B48&lt;=0.01,0,IFERROR(-PMT(CHOOSE($B$3,Banco1!$C$5,Banco2!$C$5,Banco3!$C$5,Banco4!$C$5,Banco5!$C$5)/12,Dashboard!$C$7,Dashboard!$C$6),0))</f>
        <v/>
      </c>
      <c r="D48" s="83">
        <f>IF(B48&lt;=0.01,0,MIN(C48-E48,B48))</f>
        <v/>
      </c>
      <c r="E48" s="84">
        <f>IF(B48&lt;=0.01,0,ROUND(B48*CHOOSE($B$3,Banco1!$C$5,Banco2!$C$5,Banco3!$C$5,Banco4!$C$5,Banco5!$C$5)/12,2))</f>
        <v/>
      </c>
      <c r="F48" s="83">
        <f>IF(B48&lt;=0.01,0,MAX(B48-D48,0))</f>
        <v/>
      </c>
      <c r="G48" s="85">
        <f>IFERROR(IF(Dashboard!C6&gt;0,1-(F48/Dashboard!C6),0),0)</f>
        <v/>
      </c>
    </row>
    <row r="49" ht="20" customHeight="1">
      <c r="A49" s="82" t="n">
        <v>44</v>
      </c>
      <c r="B49" s="83">
        <f>IF(F48&lt;=0.01,0,F48)</f>
        <v/>
      </c>
      <c r="C49" s="83">
        <f>IF(B49&lt;=0.01,0,IFERROR(-PMT(CHOOSE($B$3,Banco1!$C$5,Banco2!$C$5,Banco3!$C$5,Banco4!$C$5,Banco5!$C$5)/12,Dashboard!$C$7,Dashboard!$C$6),0))</f>
        <v/>
      </c>
      <c r="D49" s="83">
        <f>IF(B49&lt;=0.01,0,MIN(C49-E49,B49))</f>
        <v/>
      </c>
      <c r="E49" s="84">
        <f>IF(B49&lt;=0.01,0,ROUND(B49*CHOOSE($B$3,Banco1!$C$5,Banco2!$C$5,Banco3!$C$5,Banco4!$C$5,Banco5!$C$5)/12,2))</f>
        <v/>
      </c>
      <c r="F49" s="83">
        <f>IF(B49&lt;=0.01,0,MAX(B49-D49,0))</f>
        <v/>
      </c>
      <c r="G49" s="85">
        <f>IFERROR(IF(Dashboard!C6&gt;0,1-(F49/Dashboard!C6),0),0)</f>
        <v/>
      </c>
    </row>
    <row r="50" ht="20" customHeight="1">
      <c r="A50" s="82" t="n">
        <v>45</v>
      </c>
      <c r="B50" s="83">
        <f>IF(F49&lt;=0.01,0,F49)</f>
        <v/>
      </c>
      <c r="C50" s="83">
        <f>IF(B50&lt;=0.01,0,IFERROR(-PMT(CHOOSE($B$3,Banco1!$C$5,Banco2!$C$5,Banco3!$C$5,Banco4!$C$5,Banco5!$C$5)/12,Dashboard!$C$7,Dashboard!$C$6),0))</f>
        <v/>
      </c>
      <c r="D50" s="83">
        <f>IF(B50&lt;=0.01,0,MIN(C50-E50,B50))</f>
        <v/>
      </c>
      <c r="E50" s="84">
        <f>IF(B50&lt;=0.01,0,ROUND(B50*CHOOSE($B$3,Banco1!$C$5,Banco2!$C$5,Banco3!$C$5,Banco4!$C$5,Banco5!$C$5)/12,2))</f>
        <v/>
      </c>
      <c r="F50" s="83">
        <f>IF(B50&lt;=0.01,0,MAX(B50-D50,0))</f>
        <v/>
      </c>
      <c r="G50" s="85">
        <f>IFERROR(IF(Dashboard!C6&gt;0,1-(F50/Dashboard!C6),0),0)</f>
        <v/>
      </c>
    </row>
    <row r="51" ht="20" customHeight="1">
      <c r="A51" s="82" t="n">
        <v>46</v>
      </c>
      <c r="B51" s="83">
        <f>IF(F50&lt;=0.01,0,F50)</f>
        <v/>
      </c>
      <c r="C51" s="83">
        <f>IF(B51&lt;=0.01,0,IFERROR(-PMT(CHOOSE($B$3,Banco1!$C$5,Banco2!$C$5,Banco3!$C$5,Banco4!$C$5,Banco5!$C$5)/12,Dashboard!$C$7,Dashboard!$C$6),0))</f>
        <v/>
      </c>
      <c r="D51" s="83">
        <f>IF(B51&lt;=0.01,0,MIN(C51-E51,B51))</f>
        <v/>
      </c>
      <c r="E51" s="84">
        <f>IF(B51&lt;=0.01,0,ROUND(B51*CHOOSE($B$3,Banco1!$C$5,Banco2!$C$5,Banco3!$C$5,Banco4!$C$5,Banco5!$C$5)/12,2))</f>
        <v/>
      </c>
      <c r="F51" s="83">
        <f>IF(B51&lt;=0.01,0,MAX(B51-D51,0))</f>
        <v/>
      </c>
      <c r="G51" s="85">
        <f>IFERROR(IF(Dashboard!C6&gt;0,1-(F51/Dashboard!C6),0),0)</f>
        <v/>
      </c>
    </row>
    <row r="52" ht="20" customHeight="1">
      <c r="A52" s="82" t="n">
        <v>47</v>
      </c>
      <c r="B52" s="83">
        <f>IF(F51&lt;=0.01,0,F51)</f>
        <v/>
      </c>
      <c r="C52" s="83">
        <f>IF(B52&lt;=0.01,0,IFERROR(-PMT(CHOOSE($B$3,Banco1!$C$5,Banco2!$C$5,Banco3!$C$5,Banco4!$C$5,Banco5!$C$5)/12,Dashboard!$C$7,Dashboard!$C$6),0))</f>
        <v/>
      </c>
      <c r="D52" s="83">
        <f>IF(B52&lt;=0.01,0,MIN(C52-E52,B52))</f>
        <v/>
      </c>
      <c r="E52" s="84">
        <f>IF(B52&lt;=0.01,0,ROUND(B52*CHOOSE($B$3,Banco1!$C$5,Banco2!$C$5,Banco3!$C$5,Banco4!$C$5,Banco5!$C$5)/12,2))</f>
        <v/>
      </c>
      <c r="F52" s="83">
        <f>IF(B52&lt;=0.01,0,MAX(B52-D52,0))</f>
        <v/>
      </c>
      <c r="G52" s="85">
        <f>IFERROR(IF(Dashboard!C6&gt;0,1-(F52/Dashboard!C6),0),0)</f>
        <v/>
      </c>
    </row>
    <row r="53" ht="20" customHeight="1">
      <c r="A53" s="82" t="n">
        <v>48</v>
      </c>
      <c r="B53" s="83">
        <f>IF(F52&lt;=0.01,0,F52)</f>
        <v/>
      </c>
      <c r="C53" s="83">
        <f>IF(B53&lt;=0.01,0,IFERROR(-PMT(CHOOSE($B$3,Banco1!$C$5,Banco2!$C$5,Banco3!$C$5,Banco4!$C$5,Banco5!$C$5)/12,Dashboard!$C$7,Dashboard!$C$6),0))</f>
        <v/>
      </c>
      <c r="D53" s="83">
        <f>IF(B53&lt;=0.01,0,MIN(C53-E53,B53))</f>
        <v/>
      </c>
      <c r="E53" s="84">
        <f>IF(B53&lt;=0.01,0,ROUND(B53*CHOOSE($B$3,Banco1!$C$5,Banco2!$C$5,Banco3!$C$5,Banco4!$C$5,Banco5!$C$5)/12,2))</f>
        <v/>
      </c>
      <c r="F53" s="83">
        <f>IF(B53&lt;=0.01,0,MAX(B53-D53,0))</f>
        <v/>
      </c>
      <c r="G53" s="85">
        <f>IFERROR(IF(Dashboard!C6&gt;0,1-(F53/Dashboard!C6),0),0)</f>
        <v/>
      </c>
    </row>
    <row r="54" ht="20" customHeight="1">
      <c r="A54" s="82" t="n">
        <v>49</v>
      </c>
      <c r="B54" s="83">
        <f>IF(F53&lt;=0.01,0,F53)</f>
        <v/>
      </c>
      <c r="C54" s="83">
        <f>IF(B54&lt;=0.01,0,IFERROR(-PMT(CHOOSE($B$3,Banco1!$C$5,Banco2!$C$5,Banco3!$C$5,Banco4!$C$5,Banco5!$C$5)/12,Dashboard!$C$7,Dashboard!$C$6),0))</f>
        <v/>
      </c>
      <c r="D54" s="83">
        <f>IF(B54&lt;=0.01,0,MIN(C54-E54,B54))</f>
        <v/>
      </c>
      <c r="E54" s="84">
        <f>IF(B54&lt;=0.01,0,ROUND(B54*CHOOSE($B$3,Banco1!$C$5,Banco2!$C$5,Banco3!$C$5,Banco4!$C$5,Banco5!$C$5)/12,2))</f>
        <v/>
      </c>
      <c r="F54" s="83">
        <f>IF(B54&lt;=0.01,0,MAX(B54-D54,0))</f>
        <v/>
      </c>
      <c r="G54" s="85">
        <f>IFERROR(IF(Dashboard!C6&gt;0,1-(F54/Dashboard!C6),0),0)</f>
        <v/>
      </c>
    </row>
    <row r="55" ht="20" customHeight="1">
      <c r="A55" s="82" t="n">
        <v>50</v>
      </c>
      <c r="B55" s="83">
        <f>IF(F54&lt;=0.01,0,F54)</f>
        <v/>
      </c>
      <c r="C55" s="83">
        <f>IF(B55&lt;=0.01,0,IFERROR(-PMT(CHOOSE($B$3,Banco1!$C$5,Banco2!$C$5,Banco3!$C$5,Banco4!$C$5,Banco5!$C$5)/12,Dashboard!$C$7,Dashboard!$C$6),0))</f>
        <v/>
      </c>
      <c r="D55" s="83">
        <f>IF(B55&lt;=0.01,0,MIN(C55-E55,B55))</f>
        <v/>
      </c>
      <c r="E55" s="84">
        <f>IF(B55&lt;=0.01,0,ROUND(B55*CHOOSE($B$3,Banco1!$C$5,Banco2!$C$5,Banco3!$C$5,Banco4!$C$5,Banco5!$C$5)/12,2))</f>
        <v/>
      </c>
      <c r="F55" s="83">
        <f>IF(B55&lt;=0.01,0,MAX(B55-D55,0))</f>
        <v/>
      </c>
      <c r="G55" s="85">
        <f>IFERROR(IF(Dashboard!C6&gt;0,1-(F55/Dashboard!C6),0),0)</f>
        <v/>
      </c>
    </row>
    <row r="56" ht="20" customHeight="1">
      <c r="A56" s="82" t="n">
        <v>51</v>
      </c>
      <c r="B56" s="83">
        <f>IF(F55&lt;=0.01,0,F55)</f>
        <v/>
      </c>
      <c r="C56" s="83">
        <f>IF(B56&lt;=0.01,0,IFERROR(-PMT(CHOOSE($B$3,Banco1!$C$5,Banco2!$C$5,Banco3!$C$5,Banco4!$C$5,Banco5!$C$5)/12,Dashboard!$C$7,Dashboard!$C$6),0))</f>
        <v/>
      </c>
      <c r="D56" s="83">
        <f>IF(B56&lt;=0.01,0,MIN(C56-E56,B56))</f>
        <v/>
      </c>
      <c r="E56" s="84">
        <f>IF(B56&lt;=0.01,0,ROUND(B56*CHOOSE($B$3,Banco1!$C$5,Banco2!$C$5,Banco3!$C$5,Banco4!$C$5,Banco5!$C$5)/12,2))</f>
        <v/>
      </c>
      <c r="F56" s="83">
        <f>IF(B56&lt;=0.01,0,MAX(B56-D56,0))</f>
        <v/>
      </c>
      <c r="G56" s="85">
        <f>IFERROR(IF(Dashboard!C6&gt;0,1-(F56/Dashboard!C6),0),0)</f>
        <v/>
      </c>
    </row>
    <row r="57" ht="20" customHeight="1">
      <c r="A57" s="82" t="n">
        <v>52</v>
      </c>
      <c r="B57" s="83">
        <f>IF(F56&lt;=0.01,0,F56)</f>
        <v/>
      </c>
      <c r="C57" s="83">
        <f>IF(B57&lt;=0.01,0,IFERROR(-PMT(CHOOSE($B$3,Banco1!$C$5,Banco2!$C$5,Banco3!$C$5,Banco4!$C$5,Banco5!$C$5)/12,Dashboard!$C$7,Dashboard!$C$6),0))</f>
        <v/>
      </c>
      <c r="D57" s="83">
        <f>IF(B57&lt;=0.01,0,MIN(C57-E57,B57))</f>
        <v/>
      </c>
      <c r="E57" s="84">
        <f>IF(B57&lt;=0.01,0,ROUND(B57*CHOOSE($B$3,Banco1!$C$5,Banco2!$C$5,Banco3!$C$5,Banco4!$C$5,Banco5!$C$5)/12,2))</f>
        <v/>
      </c>
      <c r="F57" s="83">
        <f>IF(B57&lt;=0.01,0,MAX(B57-D57,0))</f>
        <v/>
      </c>
      <c r="G57" s="85">
        <f>IFERROR(IF(Dashboard!C6&gt;0,1-(F57/Dashboard!C6),0),0)</f>
        <v/>
      </c>
    </row>
    <row r="58" ht="20" customHeight="1">
      <c r="A58" s="82" t="n">
        <v>53</v>
      </c>
      <c r="B58" s="83">
        <f>IF(F57&lt;=0.01,0,F57)</f>
        <v/>
      </c>
      <c r="C58" s="83">
        <f>IF(B58&lt;=0.01,0,IFERROR(-PMT(CHOOSE($B$3,Banco1!$C$5,Banco2!$C$5,Banco3!$C$5,Banco4!$C$5,Banco5!$C$5)/12,Dashboard!$C$7,Dashboard!$C$6),0))</f>
        <v/>
      </c>
      <c r="D58" s="83">
        <f>IF(B58&lt;=0.01,0,MIN(C58-E58,B58))</f>
        <v/>
      </c>
      <c r="E58" s="84">
        <f>IF(B58&lt;=0.01,0,ROUND(B58*CHOOSE($B$3,Banco1!$C$5,Banco2!$C$5,Banco3!$C$5,Banco4!$C$5,Banco5!$C$5)/12,2))</f>
        <v/>
      </c>
      <c r="F58" s="83">
        <f>IF(B58&lt;=0.01,0,MAX(B58-D58,0))</f>
        <v/>
      </c>
      <c r="G58" s="85">
        <f>IFERROR(IF(Dashboard!C6&gt;0,1-(F58/Dashboard!C6),0),0)</f>
        <v/>
      </c>
    </row>
    <row r="59" ht="20" customHeight="1">
      <c r="A59" s="82" t="n">
        <v>54</v>
      </c>
      <c r="B59" s="83">
        <f>IF(F58&lt;=0.01,0,F58)</f>
        <v/>
      </c>
      <c r="C59" s="83">
        <f>IF(B59&lt;=0.01,0,IFERROR(-PMT(CHOOSE($B$3,Banco1!$C$5,Banco2!$C$5,Banco3!$C$5,Banco4!$C$5,Banco5!$C$5)/12,Dashboard!$C$7,Dashboard!$C$6),0))</f>
        <v/>
      </c>
      <c r="D59" s="83">
        <f>IF(B59&lt;=0.01,0,MIN(C59-E59,B59))</f>
        <v/>
      </c>
      <c r="E59" s="84">
        <f>IF(B59&lt;=0.01,0,ROUND(B59*CHOOSE($B$3,Banco1!$C$5,Banco2!$C$5,Banco3!$C$5,Banco4!$C$5,Banco5!$C$5)/12,2))</f>
        <v/>
      </c>
      <c r="F59" s="83">
        <f>IF(B59&lt;=0.01,0,MAX(B59-D59,0))</f>
        <v/>
      </c>
      <c r="G59" s="85">
        <f>IFERROR(IF(Dashboard!C6&gt;0,1-(F59/Dashboard!C6),0),0)</f>
        <v/>
      </c>
    </row>
    <row r="60" ht="20" customHeight="1">
      <c r="A60" s="82" t="n">
        <v>55</v>
      </c>
      <c r="B60" s="83">
        <f>IF(F59&lt;=0.01,0,F59)</f>
        <v/>
      </c>
      <c r="C60" s="83">
        <f>IF(B60&lt;=0.01,0,IFERROR(-PMT(CHOOSE($B$3,Banco1!$C$5,Banco2!$C$5,Banco3!$C$5,Banco4!$C$5,Banco5!$C$5)/12,Dashboard!$C$7,Dashboard!$C$6),0))</f>
        <v/>
      </c>
      <c r="D60" s="83">
        <f>IF(B60&lt;=0.01,0,MIN(C60-E60,B60))</f>
        <v/>
      </c>
      <c r="E60" s="84">
        <f>IF(B60&lt;=0.01,0,ROUND(B60*CHOOSE($B$3,Banco1!$C$5,Banco2!$C$5,Banco3!$C$5,Banco4!$C$5,Banco5!$C$5)/12,2))</f>
        <v/>
      </c>
      <c r="F60" s="83">
        <f>IF(B60&lt;=0.01,0,MAX(B60-D60,0))</f>
        <v/>
      </c>
      <c r="G60" s="85">
        <f>IFERROR(IF(Dashboard!C6&gt;0,1-(F60/Dashboard!C6),0),0)</f>
        <v/>
      </c>
    </row>
    <row r="61" ht="20" customHeight="1">
      <c r="A61" s="82" t="n">
        <v>56</v>
      </c>
      <c r="B61" s="83">
        <f>IF(F60&lt;=0.01,0,F60)</f>
        <v/>
      </c>
      <c r="C61" s="83">
        <f>IF(B61&lt;=0.01,0,IFERROR(-PMT(CHOOSE($B$3,Banco1!$C$5,Banco2!$C$5,Banco3!$C$5,Banco4!$C$5,Banco5!$C$5)/12,Dashboard!$C$7,Dashboard!$C$6),0))</f>
        <v/>
      </c>
      <c r="D61" s="83">
        <f>IF(B61&lt;=0.01,0,MIN(C61-E61,B61))</f>
        <v/>
      </c>
      <c r="E61" s="84">
        <f>IF(B61&lt;=0.01,0,ROUND(B61*CHOOSE($B$3,Banco1!$C$5,Banco2!$C$5,Banco3!$C$5,Banco4!$C$5,Banco5!$C$5)/12,2))</f>
        <v/>
      </c>
      <c r="F61" s="83">
        <f>IF(B61&lt;=0.01,0,MAX(B61-D61,0))</f>
        <v/>
      </c>
      <c r="G61" s="85">
        <f>IFERROR(IF(Dashboard!C6&gt;0,1-(F61/Dashboard!C6),0),0)</f>
        <v/>
      </c>
    </row>
    <row r="62" ht="20" customHeight="1">
      <c r="A62" s="82" t="n">
        <v>57</v>
      </c>
      <c r="B62" s="83">
        <f>IF(F61&lt;=0.01,0,F61)</f>
        <v/>
      </c>
      <c r="C62" s="83">
        <f>IF(B62&lt;=0.01,0,IFERROR(-PMT(CHOOSE($B$3,Banco1!$C$5,Banco2!$C$5,Banco3!$C$5,Banco4!$C$5,Banco5!$C$5)/12,Dashboard!$C$7,Dashboard!$C$6),0))</f>
        <v/>
      </c>
      <c r="D62" s="83">
        <f>IF(B62&lt;=0.01,0,MIN(C62-E62,B62))</f>
        <v/>
      </c>
      <c r="E62" s="84">
        <f>IF(B62&lt;=0.01,0,ROUND(B62*CHOOSE($B$3,Banco1!$C$5,Banco2!$C$5,Banco3!$C$5,Banco4!$C$5,Banco5!$C$5)/12,2))</f>
        <v/>
      </c>
      <c r="F62" s="83">
        <f>IF(B62&lt;=0.01,0,MAX(B62-D62,0))</f>
        <v/>
      </c>
      <c r="G62" s="85">
        <f>IFERROR(IF(Dashboard!C6&gt;0,1-(F62/Dashboard!C6),0),0)</f>
        <v/>
      </c>
    </row>
    <row r="63" ht="20" customHeight="1">
      <c r="A63" s="82" t="n">
        <v>58</v>
      </c>
      <c r="B63" s="83">
        <f>IF(F62&lt;=0.01,0,F62)</f>
        <v/>
      </c>
      <c r="C63" s="83">
        <f>IF(B63&lt;=0.01,0,IFERROR(-PMT(CHOOSE($B$3,Banco1!$C$5,Banco2!$C$5,Banco3!$C$5,Banco4!$C$5,Banco5!$C$5)/12,Dashboard!$C$7,Dashboard!$C$6),0))</f>
        <v/>
      </c>
      <c r="D63" s="83">
        <f>IF(B63&lt;=0.01,0,MIN(C63-E63,B63))</f>
        <v/>
      </c>
      <c r="E63" s="84">
        <f>IF(B63&lt;=0.01,0,ROUND(B63*CHOOSE($B$3,Banco1!$C$5,Banco2!$C$5,Banco3!$C$5,Banco4!$C$5,Banco5!$C$5)/12,2))</f>
        <v/>
      </c>
      <c r="F63" s="83">
        <f>IF(B63&lt;=0.01,0,MAX(B63-D63,0))</f>
        <v/>
      </c>
      <c r="G63" s="85">
        <f>IFERROR(IF(Dashboard!C6&gt;0,1-(F63/Dashboard!C6),0),0)</f>
        <v/>
      </c>
    </row>
    <row r="64" ht="20" customHeight="1">
      <c r="A64" s="82" t="n">
        <v>59</v>
      </c>
      <c r="B64" s="83">
        <f>IF(F63&lt;=0.01,0,F63)</f>
        <v/>
      </c>
      <c r="C64" s="83">
        <f>IF(B64&lt;=0.01,0,IFERROR(-PMT(CHOOSE($B$3,Banco1!$C$5,Banco2!$C$5,Banco3!$C$5,Banco4!$C$5,Banco5!$C$5)/12,Dashboard!$C$7,Dashboard!$C$6),0))</f>
        <v/>
      </c>
      <c r="D64" s="83">
        <f>IF(B64&lt;=0.01,0,MIN(C64-E64,B64))</f>
        <v/>
      </c>
      <c r="E64" s="84">
        <f>IF(B64&lt;=0.01,0,ROUND(B64*CHOOSE($B$3,Banco1!$C$5,Banco2!$C$5,Banco3!$C$5,Banco4!$C$5,Banco5!$C$5)/12,2))</f>
        <v/>
      </c>
      <c r="F64" s="83">
        <f>IF(B64&lt;=0.01,0,MAX(B64-D64,0))</f>
        <v/>
      </c>
      <c r="G64" s="85">
        <f>IFERROR(IF(Dashboard!C6&gt;0,1-(F64/Dashboard!C6),0),0)</f>
        <v/>
      </c>
    </row>
    <row r="65" ht="20" customHeight="1">
      <c r="A65" s="82" t="n">
        <v>60</v>
      </c>
      <c r="B65" s="83">
        <f>IF(F64&lt;=0.01,0,F64)</f>
        <v/>
      </c>
      <c r="C65" s="83">
        <f>IF(B65&lt;=0.01,0,IFERROR(-PMT(CHOOSE($B$3,Banco1!$C$5,Banco2!$C$5,Banco3!$C$5,Banco4!$C$5,Banco5!$C$5)/12,Dashboard!$C$7,Dashboard!$C$6),0))</f>
        <v/>
      </c>
      <c r="D65" s="83">
        <f>IF(B65&lt;=0.01,0,MIN(C65-E65,B65))</f>
        <v/>
      </c>
      <c r="E65" s="84">
        <f>IF(B65&lt;=0.01,0,ROUND(B65*CHOOSE($B$3,Banco1!$C$5,Banco2!$C$5,Banco3!$C$5,Banco4!$C$5,Banco5!$C$5)/12,2))</f>
        <v/>
      </c>
      <c r="F65" s="83">
        <f>IF(B65&lt;=0.01,0,MAX(B65-D65,0))</f>
        <v/>
      </c>
      <c r="G65" s="85">
        <f>IFERROR(IF(Dashboard!C6&gt;0,1-(F65/Dashboard!C6),0),0)</f>
        <v/>
      </c>
    </row>
    <row r="66" ht="20" customHeight="1">
      <c r="A66" s="82" t="n">
        <v>61</v>
      </c>
      <c r="B66" s="83">
        <f>IF(F65&lt;=0.01,0,F65)</f>
        <v/>
      </c>
      <c r="C66" s="83">
        <f>IF(B66&lt;=0.01,0,IFERROR(-PMT(CHOOSE($B$3,Banco1!$C$5,Banco2!$C$5,Banco3!$C$5,Banco4!$C$5,Banco5!$C$5)/12,Dashboard!$C$7,Dashboard!$C$6),0))</f>
        <v/>
      </c>
      <c r="D66" s="83">
        <f>IF(B66&lt;=0.01,0,MIN(C66-E66,B66))</f>
        <v/>
      </c>
      <c r="E66" s="84">
        <f>IF(B66&lt;=0.01,0,ROUND(B66*CHOOSE($B$3,Banco1!$C$5,Banco2!$C$5,Banco3!$C$5,Banco4!$C$5,Banco5!$C$5)/12,2))</f>
        <v/>
      </c>
      <c r="F66" s="83">
        <f>IF(B66&lt;=0.01,0,MAX(B66-D66,0))</f>
        <v/>
      </c>
      <c r="G66" s="85">
        <f>IFERROR(IF(Dashboard!C6&gt;0,1-(F66/Dashboard!C6),0),0)</f>
        <v/>
      </c>
    </row>
    <row r="67" ht="20" customHeight="1">
      <c r="A67" s="82" t="n">
        <v>62</v>
      </c>
      <c r="B67" s="83">
        <f>IF(F66&lt;=0.01,0,F66)</f>
        <v/>
      </c>
      <c r="C67" s="83">
        <f>IF(B67&lt;=0.01,0,IFERROR(-PMT(CHOOSE($B$3,Banco1!$C$5,Banco2!$C$5,Banco3!$C$5,Banco4!$C$5,Banco5!$C$5)/12,Dashboard!$C$7,Dashboard!$C$6),0))</f>
        <v/>
      </c>
      <c r="D67" s="83">
        <f>IF(B67&lt;=0.01,0,MIN(C67-E67,B67))</f>
        <v/>
      </c>
      <c r="E67" s="84">
        <f>IF(B67&lt;=0.01,0,ROUND(B67*CHOOSE($B$3,Banco1!$C$5,Banco2!$C$5,Banco3!$C$5,Banco4!$C$5,Banco5!$C$5)/12,2))</f>
        <v/>
      </c>
      <c r="F67" s="83">
        <f>IF(B67&lt;=0.01,0,MAX(B67-D67,0))</f>
        <v/>
      </c>
      <c r="G67" s="85">
        <f>IFERROR(IF(Dashboard!C6&gt;0,1-(F67/Dashboard!C6),0),0)</f>
        <v/>
      </c>
    </row>
    <row r="68" ht="20" customHeight="1">
      <c r="A68" s="82" t="n">
        <v>63</v>
      </c>
      <c r="B68" s="83">
        <f>IF(F67&lt;=0.01,0,F67)</f>
        <v/>
      </c>
      <c r="C68" s="83">
        <f>IF(B68&lt;=0.01,0,IFERROR(-PMT(CHOOSE($B$3,Banco1!$C$5,Banco2!$C$5,Banco3!$C$5,Banco4!$C$5,Banco5!$C$5)/12,Dashboard!$C$7,Dashboard!$C$6),0))</f>
        <v/>
      </c>
      <c r="D68" s="83">
        <f>IF(B68&lt;=0.01,0,MIN(C68-E68,B68))</f>
        <v/>
      </c>
      <c r="E68" s="84">
        <f>IF(B68&lt;=0.01,0,ROUND(B68*CHOOSE($B$3,Banco1!$C$5,Banco2!$C$5,Banco3!$C$5,Banco4!$C$5,Banco5!$C$5)/12,2))</f>
        <v/>
      </c>
      <c r="F68" s="83">
        <f>IF(B68&lt;=0.01,0,MAX(B68-D68,0))</f>
        <v/>
      </c>
      <c r="G68" s="85">
        <f>IFERROR(IF(Dashboard!C6&gt;0,1-(F68/Dashboard!C6),0),0)</f>
        <v/>
      </c>
    </row>
    <row r="69" ht="20" customHeight="1">
      <c r="A69" s="82" t="n">
        <v>64</v>
      </c>
      <c r="B69" s="83">
        <f>IF(F68&lt;=0.01,0,F68)</f>
        <v/>
      </c>
      <c r="C69" s="83">
        <f>IF(B69&lt;=0.01,0,IFERROR(-PMT(CHOOSE($B$3,Banco1!$C$5,Banco2!$C$5,Banco3!$C$5,Banco4!$C$5,Banco5!$C$5)/12,Dashboard!$C$7,Dashboard!$C$6),0))</f>
        <v/>
      </c>
      <c r="D69" s="83">
        <f>IF(B69&lt;=0.01,0,MIN(C69-E69,B69))</f>
        <v/>
      </c>
      <c r="E69" s="84">
        <f>IF(B69&lt;=0.01,0,ROUND(B69*CHOOSE($B$3,Banco1!$C$5,Banco2!$C$5,Banco3!$C$5,Banco4!$C$5,Banco5!$C$5)/12,2))</f>
        <v/>
      </c>
      <c r="F69" s="83">
        <f>IF(B69&lt;=0.01,0,MAX(B69-D69,0))</f>
        <v/>
      </c>
      <c r="G69" s="85">
        <f>IFERROR(IF(Dashboard!C6&gt;0,1-(F69/Dashboard!C6),0),0)</f>
        <v/>
      </c>
    </row>
    <row r="70" ht="20" customHeight="1">
      <c r="A70" s="82" t="n">
        <v>65</v>
      </c>
      <c r="B70" s="83">
        <f>IF(F69&lt;=0.01,0,F69)</f>
        <v/>
      </c>
      <c r="C70" s="83">
        <f>IF(B70&lt;=0.01,0,IFERROR(-PMT(CHOOSE($B$3,Banco1!$C$5,Banco2!$C$5,Banco3!$C$5,Banco4!$C$5,Banco5!$C$5)/12,Dashboard!$C$7,Dashboard!$C$6),0))</f>
        <v/>
      </c>
      <c r="D70" s="83">
        <f>IF(B70&lt;=0.01,0,MIN(C70-E70,B70))</f>
        <v/>
      </c>
      <c r="E70" s="84">
        <f>IF(B70&lt;=0.01,0,ROUND(B70*CHOOSE($B$3,Banco1!$C$5,Banco2!$C$5,Banco3!$C$5,Banco4!$C$5,Banco5!$C$5)/12,2))</f>
        <v/>
      </c>
      <c r="F70" s="83">
        <f>IF(B70&lt;=0.01,0,MAX(B70-D70,0))</f>
        <v/>
      </c>
      <c r="G70" s="85">
        <f>IFERROR(IF(Dashboard!C6&gt;0,1-(F70/Dashboard!C6),0),0)</f>
        <v/>
      </c>
    </row>
    <row r="71" ht="20" customHeight="1">
      <c r="A71" s="82" t="n">
        <v>66</v>
      </c>
      <c r="B71" s="83">
        <f>IF(F70&lt;=0.01,0,F70)</f>
        <v/>
      </c>
      <c r="C71" s="83">
        <f>IF(B71&lt;=0.01,0,IFERROR(-PMT(CHOOSE($B$3,Banco1!$C$5,Banco2!$C$5,Banco3!$C$5,Banco4!$C$5,Banco5!$C$5)/12,Dashboard!$C$7,Dashboard!$C$6),0))</f>
        <v/>
      </c>
      <c r="D71" s="83">
        <f>IF(B71&lt;=0.01,0,MIN(C71-E71,B71))</f>
        <v/>
      </c>
      <c r="E71" s="84">
        <f>IF(B71&lt;=0.01,0,ROUND(B71*CHOOSE($B$3,Banco1!$C$5,Banco2!$C$5,Banco3!$C$5,Banco4!$C$5,Banco5!$C$5)/12,2))</f>
        <v/>
      </c>
      <c r="F71" s="83">
        <f>IF(B71&lt;=0.01,0,MAX(B71-D71,0))</f>
        <v/>
      </c>
      <c r="G71" s="85">
        <f>IFERROR(IF(Dashboard!C6&gt;0,1-(F71/Dashboard!C6),0),0)</f>
        <v/>
      </c>
    </row>
    <row r="72" ht="20" customHeight="1">
      <c r="A72" s="82" t="n">
        <v>67</v>
      </c>
      <c r="B72" s="83">
        <f>IF(F71&lt;=0.01,0,F71)</f>
        <v/>
      </c>
      <c r="C72" s="83">
        <f>IF(B72&lt;=0.01,0,IFERROR(-PMT(CHOOSE($B$3,Banco1!$C$5,Banco2!$C$5,Banco3!$C$5,Banco4!$C$5,Banco5!$C$5)/12,Dashboard!$C$7,Dashboard!$C$6),0))</f>
        <v/>
      </c>
      <c r="D72" s="83">
        <f>IF(B72&lt;=0.01,0,MIN(C72-E72,B72))</f>
        <v/>
      </c>
      <c r="E72" s="84">
        <f>IF(B72&lt;=0.01,0,ROUND(B72*CHOOSE($B$3,Banco1!$C$5,Banco2!$C$5,Banco3!$C$5,Banco4!$C$5,Banco5!$C$5)/12,2))</f>
        <v/>
      </c>
      <c r="F72" s="83">
        <f>IF(B72&lt;=0.01,0,MAX(B72-D72,0))</f>
        <v/>
      </c>
      <c r="G72" s="85">
        <f>IFERROR(IF(Dashboard!C6&gt;0,1-(F72/Dashboard!C6),0),0)</f>
        <v/>
      </c>
    </row>
    <row r="73" ht="20" customHeight="1">
      <c r="A73" s="82" t="n">
        <v>68</v>
      </c>
      <c r="B73" s="83">
        <f>IF(F72&lt;=0.01,0,F72)</f>
        <v/>
      </c>
      <c r="C73" s="83">
        <f>IF(B73&lt;=0.01,0,IFERROR(-PMT(CHOOSE($B$3,Banco1!$C$5,Banco2!$C$5,Banco3!$C$5,Banco4!$C$5,Banco5!$C$5)/12,Dashboard!$C$7,Dashboard!$C$6),0))</f>
        <v/>
      </c>
      <c r="D73" s="83">
        <f>IF(B73&lt;=0.01,0,MIN(C73-E73,B73))</f>
        <v/>
      </c>
      <c r="E73" s="84">
        <f>IF(B73&lt;=0.01,0,ROUND(B73*CHOOSE($B$3,Banco1!$C$5,Banco2!$C$5,Banco3!$C$5,Banco4!$C$5,Banco5!$C$5)/12,2))</f>
        <v/>
      </c>
      <c r="F73" s="83">
        <f>IF(B73&lt;=0.01,0,MAX(B73-D73,0))</f>
        <v/>
      </c>
      <c r="G73" s="85">
        <f>IFERROR(IF(Dashboard!C6&gt;0,1-(F73/Dashboard!C6),0),0)</f>
        <v/>
      </c>
    </row>
    <row r="74" ht="20" customHeight="1">
      <c r="A74" s="82" t="n">
        <v>69</v>
      </c>
      <c r="B74" s="83">
        <f>IF(F73&lt;=0.01,0,F73)</f>
        <v/>
      </c>
      <c r="C74" s="83">
        <f>IF(B74&lt;=0.01,0,IFERROR(-PMT(CHOOSE($B$3,Banco1!$C$5,Banco2!$C$5,Banco3!$C$5,Banco4!$C$5,Banco5!$C$5)/12,Dashboard!$C$7,Dashboard!$C$6),0))</f>
        <v/>
      </c>
      <c r="D74" s="83">
        <f>IF(B74&lt;=0.01,0,MIN(C74-E74,B74))</f>
        <v/>
      </c>
      <c r="E74" s="84">
        <f>IF(B74&lt;=0.01,0,ROUND(B74*CHOOSE($B$3,Banco1!$C$5,Banco2!$C$5,Banco3!$C$5,Banco4!$C$5,Banco5!$C$5)/12,2))</f>
        <v/>
      </c>
      <c r="F74" s="83">
        <f>IF(B74&lt;=0.01,0,MAX(B74-D74,0))</f>
        <v/>
      </c>
      <c r="G74" s="85">
        <f>IFERROR(IF(Dashboard!C6&gt;0,1-(F74/Dashboard!C6),0),0)</f>
        <v/>
      </c>
    </row>
    <row r="75" ht="20" customHeight="1">
      <c r="A75" s="82" t="n">
        <v>70</v>
      </c>
      <c r="B75" s="83">
        <f>IF(F74&lt;=0.01,0,F74)</f>
        <v/>
      </c>
      <c r="C75" s="83">
        <f>IF(B75&lt;=0.01,0,IFERROR(-PMT(CHOOSE($B$3,Banco1!$C$5,Banco2!$C$5,Banco3!$C$5,Banco4!$C$5,Banco5!$C$5)/12,Dashboard!$C$7,Dashboard!$C$6),0))</f>
        <v/>
      </c>
      <c r="D75" s="83">
        <f>IF(B75&lt;=0.01,0,MIN(C75-E75,B75))</f>
        <v/>
      </c>
      <c r="E75" s="84">
        <f>IF(B75&lt;=0.01,0,ROUND(B75*CHOOSE($B$3,Banco1!$C$5,Banco2!$C$5,Banco3!$C$5,Banco4!$C$5,Banco5!$C$5)/12,2))</f>
        <v/>
      </c>
      <c r="F75" s="83">
        <f>IF(B75&lt;=0.01,0,MAX(B75-D75,0))</f>
        <v/>
      </c>
      <c r="G75" s="85">
        <f>IFERROR(IF(Dashboard!C6&gt;0,1-(F75/Dashboard!C6),0),0)</f>
        <v/>
      </c>
    </row>
    <row r="76" ht="20" customHeight="1">
      <c r="A76" s="82" t="n">
        <v>71</v>
      </c>
      <c r="B76" s="83">
        <f>IF(F75&lt;=0.01,0,F75)</f>
        <v/>
      </c>
      <c r="C76" s="83">
        <f>IF(B76&lt;=0.01,0,IFERROR(-PMT(CHOOSE($B$3,Banco1!$C$5,Banco2!$C$5,Banco3!$C$5,Banco4!$C$5,Banco5!$C$5)/12,Dashboard!$C$7,Dashboard!$C$6),0))</f>
        <v/>
      </c>
      <c r="D76" s="83">
        <f>IF(B76&lt;=0.01,0,MIN(C76-E76,B76))</f>
        <v/>
      </c>
      <c r="E76" s="84">
        <f>IF(B76&lt;=0.01,0,ROUND(B76*CHOOSE($B$3,Banco1!$C$5,Banco2!$C$5,Banco3!$C$5,Banco4!$C$5,Banco5!$C$5)/12,2))</f>
        <v/>
      </c>
      <c r="F76" s="83">
        <f>IF(B76&lt;=0.01,0,MAX(B76-D76,0))</f>
        <v/>
      </c>
      <c r="G76" s="85">
        <f>IFERROR(IF(Dashboard!C6&gt;0,1-(F76/Dashboard!C6),0),0)</f>
        <v/>
      </c>
    </row>
    <row r="77" ht="20" customHeight="1">
      <c r="A77" s="82" t="n">
        <v>72</v>
      </c>
      <c r="B77" s="83">
        <f>IF(F76&lt;=0.01,0,F76)</f>
        <v/>
      </c>
      <c r="C77" s="83">
        <f>IF(B77&lt;=0.01,0,IFERROR(-PMT(CHOOSE($B$3,Banco1!$C$5,Banco2!$C$5,Banco3!$C$5,Banco4!$C$5,Banco5!$C$5)/12,Dashboard!$C$7,Dashboard!$C$6),0))</f>
        <v/>
      </c>
      <c r="D77" s="83">
        <f>IF(B77&lt;=0.01,0,MIN(C77-E77,B77))</f>
        <v/>
      </c>
      <c r="E77" s="84">
        <f>IF(B77&lt;=0.01,0,ROUND(B77*CHOOSE($B$3,Banco1!$C$5,Banco2!$C$5,Banco3!$C$5,Banco4!$C$5,Banco5!$C$5)/12,2))</f>
        <v/>
      </c>
      <c r="F77" s="83">
        <f>IF(B77&lt;=0.01,0,MAX(B77-D77,0))</f>
        <v/>
      </c>
      <c r="G77" s="85">
        <f>IFERROR(IF(Dashboard!C6&gt;0,1-(F77/Dashboard!C6),0),0)</f>
        <v/>
      </c>
    </row>
    <row r="78" ht="20" customHeight="1">
      <c r="A78" s="82" t="n">
        <v>73</v>
      </c>
      <c r="B78" s="83">
        <f>IF(F77&lt;=0.01,0,F77)</f>
        <v/>
      </c>
      <c r="C78" s="83">
        <f>IF(B78&lt;=0.01,0,IFERROR(-PMT(CHOOSE($B$3,Banco1!$C$5,Banco2!$C$5,Banco3!$C$5,Banco4!$C$5,Banco5!$C$5)/12,Dashboard!$C$7,Dashboard!$C$6),0))</f>
        <v/>
      </c>
      <c r="D78" s="83">
        <f>IF(B78&lt;=0.01,0,MIN(C78-E78,B78))</f>
        <v/>
      </c>
      <c r="E78" s="84">
        <f>IF(B78&lt;=0.01,0,ROUND(B78*CHOOSE($B$3,Banco1!$C$5,Banco2!$C$5,Banco3!$C$5,Banco4!$C$5,Banco5!$C$5)/12,2))</f>
        <v/>
      </c>
      <c r="F78" s="83">
        <f>IF(B78&lt;=0.01,0,MAX(B78-D78,0))</f>
        <v/>
      </c>
      <c r="G78" s="85">
        <f>IFERROR(IF(Dashboard!C6&gt;0,1-(F78/Dashboard!C6),0),0)</f>
        <v/>
      </c>
    </row>
    <row r="79" ht="20" customHeight="1">
      <c r="A79" s="82" t="n">
        <v>74</v>
      </c>
      <c r="B79" s="83">
        <f>IF(F78&lt;=0.01,0,F78)</f>
        <v/>
      </c>
      <c r="C79" s="83">
        <f>IF(B79&lt;=0.01,0,IFERROR(-PMT(CHOOSE($B$3,Banco1!$C$5,Banco2!$C$5,Banco3!$C$5,Banco4!$C$5,Banco5!$C$5)/12,Dashboard!$C$7,Dashboard!$C$6),0))</f>
        <v/>
      </c>
      <c r="D79" s="83">
        <f>IF(B79&lt;=0.01,0,MIN(C79-E79,B79))</f>
        <v/>
      </c>
      <c r="E79" s="84">
        <f>IF(B79&lt;=0.01,0,ROUND(B79*CHOOSE($B$3,Banco1!$C$5,Banco2!$C$5,Banco3!$C$5,Banco4!$C$5,Banco5!$C$5)/12,2))</f>
        <v/>
      </c>
      <c r="F79" s="83">
        <f>IF(B79&lt;=0.01,0,MAX(B79-D79,0))</f>
        <v/>
      </c>
      <c r="G79" s="85">
        <f>IFERROR(IF(Dashboard!C6&gt;0,1-(F79/Dashboard!C6),0),0)</f>
        <v/>
      </c>
    </row>
    <row r="80" ht="20" customHeight="1">
      <c r="A80" s="82" t="n">
        <v>75</v>
      </c>
      <c r="B80" s="83">
        <f>IF(F79&lt;=0.01,0,F79)</f>
        <v/>
      </c>
      <c r="C80" s="83">
        <f>IF(B80&lt;=0.01,0,IFERROR(-PMT(CHOOSE($B$3,Banco1!$C$5,Banco2!$C$5,Banco3!$C$5,Banco4!$C$5,Banco5!$C$5)/12,Dashboard!$C$7,Dashboard!$C$6),0))</f>
        <v/>
      </c>
      <c r="D80" s="83">
        <f>IF(B80&lt;=0.01,0,MIN(C80-E80,B80))</f>
        <v/>
      </c>
      <c r="E80" s="84">
        <f>IF(B80&lt;=0.01,0,ROUND(B80*CHOOSE($B$3,Banco1!$C$5,Banco2!$C$5,Banco3!$C$5,Banco4!$C$5,Banco5!$C$5)/12,2))</f>
        <v/>
      </c>
      <c r="F80" s="83">
        <f>IF(B80&lt;=0.01,0,MAX(B80-D80,0))</f>
        <v/>
      </c>
      <c r="G80" s="85">
        <f>IFERROR(IF(Dashboard!C6&gt;0,1-(F80/Dashboard!C6),0),0)</f>
        <v/>
      </c>
    </row>
    <row r="81" ht="20" customHeight="1">
      <c r="A81" s="82" t="n">
        <v>76</v>
      </c>
      <c r="B81" s="83">
        <f>IF(F80&lt;=0.01,0,F80)</f>
        <v/>
      </c>
      <c r="C81" s="83">
        <f>IF(B81&lt;=0.01,0,IFERROR(-PMT(CHOOSE($B$3,Banco1!$C$5,Banco2!$C$5,Banco3!$C$5,Banco4!$C$5,Banco5!$C$5)/12,Dashboard!$C$7,Dashboard!$C$6),0))</f>
        <v/>
      </c>
      <c r="D81" s="83">
        <f>IF(B81&lt;=0.01,0,MIN(C81-E81,B81))</f>
        <v/>
      </c>
      <c r="E81" s="84">
        <f>IF(B81&lt;=0.01,0,ROUND(B81*CHOOSE($B$3,Banco1!$C$5,Banco2!$C$5,Banco3!$C$5,Banco4!$C$5,Banco5!$C$5)/12,2))</f>
        <v/>
      </c>
      <c r="F81" s="83">
        <f>IF(B81&lt;=0.01,0,MAX(B81-D81,0))</f>
        <v/>
      </c>
      <c r="G81" s="85">
        <f>IFERROR(IF(Dashboard!C6&gt;0,1-(F81/Dashboard!C6),0),0)</f>
        <v/>
      </c>
    </row>
    <row r="82" ht="20" customHeight="1">
      <c r="A82" s="82" t="n">
        <v>77</v>
      </c>
      <c r="B82" s="83">
        <f>IF(F81&lt;=0.01,0,F81)</f>
        <v/>
      </c>
      <c r="C82" s="83">
        <f>IF(B82&lt;=0.01,0,IFERROR(-PMT(CHOOSE($B$3,Banco1!$C$5,Banco2!$C$5,Banco3!$C$5,Banco4!$C$5,Banco5!$C$5)/12,Dashboard!$C$7,Dashboard!$C$6),0))</f>
        <v/>
      </c>
      <c r="D82" s="83">
        <f>IF(B82&lt;=0.01,0,MIN(C82-E82,B82))</f>
        <v/>
      </c>
      <c r="E82" s="84">
        <f>IF(B82&lt;=0.01,0,ROUND(B82*CHOOSE($B$3,Banco1!$C$5,Banco2!$C$5,Banco3!$C$5,Banco4!$C$5,Banco5!$C$5)/12,2))</f>
        <v/>
      </c>
      <c r="F82" s="83">
        <f>IF(B82&lt;=0.01,0,MAX(B82-D82,0))</f>
        <v/>
      </c>
      <c r="G82" s="85">
        <f>IFERROR(IF(Dashboard!C6&gt;0,1-(F82/Dashboard!C6),0),0)</f>
        <v/>
      </c>
    </row>
    <row r="83" ht="20" customHeight="1">
      <c r="A83" s="82" t="n">
        <v>78</v>
      </c>
      <c r="B83" s="83">
        <f>IF(F82&lt;=0.01,0,F82)</f>
        <v/>
      </c>
      <c r="C83" s="83">
        <f>IF(B83&lt;=0.01,0,IFERROR(-PMT(CHOOSE($B$3,Banco1!$C$5,Banco2!$C$5,Banco3!$C$5,Banco4!$C$5,Banco5!$C$5)/12,Dashboard!$C$7,Dashboard!$C$6),0))</f>
        <v/>
      </c>
      <c r="D83" s="83">
        <f>IF(B83&lt;=0.01,0,MIN(C83-E83,B83))</f>
        <v/>
      </c>
      <c r="E83" s="84">
        <f>IF(B83&lt;=0.01,0,ROUND(B83*CHOOSE($B$3,Banco1!$C$5,Banco2!$C$5,Banco3!$C$5,Banco4!$C$5,Banco5!$C$5)/12,2))</f>
        <v/>
      </c>
      <c r="F83" s="83">
        <f>IF(B83&lt;=0.01,0,MAX(B83-D83,0))</f>
        <v/>
      </c>
      <c r="G83" s="85">
        <f>IFERROR(IF(Dashboard!C6&gt;0,1-(F83/Dashboard!C6),0),0)</f>
        <v/>
      </c>
    </row>
    <row r="84" ht="20" customHeight="1">
      <c r="A84" s="82" t="n">
        <v>79</v>
      </c>
      <c r="B84" s="83">
        <f>IF(F83&lt;=0.01,0,F83)</f>
        <v/>
      </c>
      <c r="C84" s="83">
        <f>IF(B84&lt;=0.01,0,IFERROR(-PMT(CHOOSE($B$3,Banco1!$C$5,Banco2!$C$5,Banco3!$C$5,Banco4!$C$5,Banco5!$C$5)/12,Dashboard!$C$7,Dashboard!$C$6),0))</f>
        <v/>
      </c>
      <c r="D84" s="83">
        <f>IF(B84&lt;=0.01,0,MIN(C84-E84,B84))</f>
        <v/>
      </c>
      <c r="E84" s="84">
        <f>IF(B84&lt;=0.01,0,ROUND(B84*CHOOSE($B$3,Banco1!$C$5,Banco2!$C$5,Banco3!$C$5,Banco4!$C$5,Banco5!$C$5)/12,2))</f>
        <v/>
      </c>
      <c r="F84" s="83">
        <f>IF(B84&lt;=0.01,0,MAX(B84-D84,0))</f>
        <v/>
      </c>
      <c r="G84" s="85">
        <f>IFERROR(IF(Dashboard!C6&gt;0,1-(F84/Dashboard!C6),0),0)</f>
        <v/>
      </c>
    </row>
    <row r="85" ht="20" customHeight="1">
      <c r="A85" s="82" t="n">
        <v>80</v>
      </c>
      <c r="B85" s="83">
        <f>IF(F84&lt;=0.01,0,F84)</f>
        <v/>
      </c>
      <c r="C85" s="83">
        <f>IF(B85&lt;=0.01,0,IFERROR(-PMT(CHOOSE($B$3,Banco1!$C$5,Banco2!$C$5,Banco3!$C$5,Banco4!$C$5,Banco5!$C$5)/12,Dashboard!$C$7,Dashboard!$C$6),0))</f>
        <v/>
      </c>
      <c r="D85" s="83">
        <f>IF(B85&lt;=0.01,0,MIN(C85-E85,B85))</f>
        <v/>
      </c>
      <c r="E85" s="84">
        <f>IF(B85&lt;=0.01,0,ROUND(B85*CHOOSE($B$3,Banco1!$C$5,Banco2!$C$5,Banco3!$C$5,Banco4!$C$5,Banco5!$C$5)/12,2))</f>
        <v/>
      </c>
      <c r="F85" s="83">
        <f>IF(B85&lt;=0.01,0,MAX(B85-D85,0))</f>
        <v/>
      </c>
      <c r="G85" s="85">
        <f>IFERROR(IF(Dashboard!C6&gt;0,1-(F85/Dashboard!C6),0),0)</f>
        <v/>
      </c>
    </row>
    <row r="86" ht="20" customHeight="1">
      <c r="A86" s="82" t="n">
        <v>81</v>
      </c>
      <c r="B86" s="83">
        <f>IF(F85&lt;=0.01,0,F85)</f>
        <v/>
      </c>
      <c r="C86" s="83">
        <f>IF(B86&lt;=0.01,0,IFERROR(-PMT(CHOOSE($B$3,Banco1!$C$5,Banco2!$C$5,Banco3!$C$5,Banco4!$C$5,Banco5!$C$5)/12,Dashboard!$C$7,Dashboard!$C$6),0))</f>
        <v/>
      </c>
      <c r="D86" s="83">
        <f>IF(B86&lt;=0.01,0,MIN(C86-E86,B86))</f>
        <v/>
      </c>
      <c r="E86" s="84">
        <f>IF(B86&lt;=0.01,0,ROUND(B86*CHOOSE($B$3,Banco1!$C$5,Banco2!$C$5,Banco3!$C$5,Banco4!$C$5,Banco5!$C$5)/12,2))</f>
        <v/>
      </c>
      <c r="F86" s="83">
        <f>IF(B86&lt;=0.01,0,MAX(B86-D86,0))</f>
        <v/>
      </c>
      <c r="G86" s="85">
        <f>IFERROR(IF(Dashboard!C6&gt;0,1-(F86/Dashboard!C6),0),0)</f>
        <v/>
      </c>
    </row>
    <row r="87" ht="20" customHeight="1">
      <c r="A87" s="82" t="n">
        <v>82</v>
      </c>
      <c r="B87" s="83">
        <f>IF(F86&lt;=0.01,0,F86)</f>
        <v/>
      </c>
      <c r="C87" s="83">
        <f>IF(B87&lt;=0.01,0,IFERROR(-PMT(CHOOSE($B$3,Banco1!$C$5,Banco2!$C$5,Banco3!$C$5,Banco4!$C$5,Banco5!$C$5)/12,Dashboard!$C$7,Dashboard!$C$6),0))</f>
        <v/>
      </c>
      <c r="D87" s="83">
        <f>IF(B87&lt;=0.01,0,MIN(C87-E87,B87))</f>
        <v/>
      </c>
      <c r="E87" s="84">
        <f>IF(B87&lt;=0.01,0,ROUND(B87*CHOOSE($B$3,Banco1!$C$5,Banco2!$C$5,Banco3!$C$5,Banco4!$C$5,Banco5!$C$5)/12,2))</f>
        <v/>
      </c>
      <c r="F87" s="83">
        <f>IF(B87&lt;=0.01,0,MAX(B87-D87,0))</f>
        <v/>
      </c>
      <c r="G87" s="85">
        <f>IFERROR(IF(Dashboard!C6&gt;0,1-(F87/Dashboard!C6),0),0)</f>
        <v/>
      </c>
    </row>
    <row r="88" ht="20" customHeight="1">
      <c r="A88" s="82" t="n">
        <v>83</v>
      </c>
      <c r="B88" s="83">
        <f>IF(F87&lt;=0.01,0,F87)</f>
        <v/>
      </c>
      <c r="C88" s="83">
        <f>IF(B88&lt;=0.01,0,IFERROR(-PMT(CHOOSE($B$3,Banco1!$C$5,Banco2!$C$5,Banco3!$C$5,Banco4!$C$5,Banco5!$C$5)/12,Dashboard!$C$7,Dashboard!$C$6),0))</f>
        <v/>
      </c>
      <c r="D88" s="83">
        <f>IF(B88&lt;=0.01,0,MIN(C88-E88,B88))</f>
        <v/>
      </c>
      <c r="E88" s="84">
        <f>IF(B88&lt;=0.01,0,ROUND(B88*CHOOSE($B$3,Banco1!$C$5,Banco2!$C$5,Banco3!$C$5,Banco4!$C$5,Banco5!$C$5)/12,2))</f>
        <v/>
      </c>
      <c r="F88" s="83">
        <f>IF(B88&lt;=0.01,0,MAX(B88-D88,0))</f>
        <v/>
      </c>
      <c r="G88" s="85">
        <f>IFERROR(IF(Dashboard!C6&gt;0,1-(F88/Dashboard!C6),0),0)</f>
        <v/>
      </c>
    </row>
    <row r="89" ht="20" customHeight="1">
      <c r="A89" s="82" t="n">
        <v>84</v>
      </c>
      <c r="B89" s="83">
        <f>IF(F88&lt;=0.01,0,F88)</f>
        <v/>
      </c>
      <c r="C89" s="83">
        <f>IF(B89&lt;=0.01,0,IFERROR(-PMT(CHOOSE($B$3,Banco1!$C$5,Banco2!$C$5,Banco3!$C$5,Banco4!$C$5,Banco5!$C$5)/12,Dashboard!$C$7,Dashboard!$C$6),0))</f>
        <v/>
      </c>
      <c r="D89" s="83">
        <f>IF(B89&lt;=0.01,0,MIN(C89-E89,B89))</f>
        <v/>
      </c>
      <c r="E89" s="84">
        <f>IF(B89&lt;=0.01,0,ROUND(B89*CHOOSE($B$3,Banco1!$C$5,Banco2!$C$5,Banco3!$C$5,Banco4!$C$5,Banco5!$C$5)/12,2))</f>
        <v/>
      </c>
      <c r="F89" s="83">
        <f>IF(B89&lt;=0.01,0,MAX(B89-D89,0))</f>
        <v/>
      </c>
      <c r="G89" s="85">
        <f>IFERROR(IF(Dashboard!C6&gt;0,1-(F89/Dashboard!C6),0),0)</f>
        <v/>
      </c>
    </row>
    <row r="90" ht="20" customHeight="1">
      <c r="A90" s="82" t="n">
        <v>85</v>
      </c>
      <c r="B90" s="83">
        <f>IF(F89&lt;=0.01,0,F89)</f>
        <v/>
      </c>
      <c r="C90" s="83">
        <f>IF(B90&lt;=0.01,0,IFERROR(-PMT(CHOOSE($B$3,Banco1!$C$5,Banco2!$C$5,Banco3!$C$5,Banco4!$C$5,Banco5!$C$5)/12,Dashboard!$C$7,Dashboard!$C$6),0))</f>
        <v/>
      </c>
      <c r="D90" s="83">
        <f>IF(B90&lt;=0.01,0,MIN(C90-E90,B90))</f>
        <v/>
      </c>
      <c r="E90" s="84">
        <f>IF(B90&lt;=0.01,0,ROUND(B90*CHOOSE($B$3,Banco1!$C$5,Banco2!$C$5,Banco3!$C$5,Banco4!$C$5,Banco5!$C$5)/12,2))</f>
        <v/>
      </c>
      <c r="F90" s="83">
        <f>IF(B90&lt;=0.01,0,MAX(B90-D90,0))</f>
        <v/>
      </c>
      <c r="G90" s="85">
        <f>IFERROR(IF(Dashboard!C6&gt;0,1-(F90/Dashboard!C6),0),0)</f>
        <v/>
      </c>
    </row>
    <row r="91" ht="20" customHeight="1">
      <c r="A91" s="82" t="n">
        <v>86</v>
      </c>
      <c r="B91" s="83">
        <f>IF(F90&lt;=0.01,0,F90)</f>
        <v/>
      </c>
      <c r="C91" s="83">
        <f>IF(B91&lt;=0.01,0,IFERROR(-PMT(CHOOSE($B$3,Banco1!$C$5,Banco2!$C$5,Banco3!$C$5,Banco4!$C$5,Banco5!$C$5)/12,Dashboard!$C$7,Dashboard!$C$6),0))</f>
        <v/>
      </c>
      <c r="D91" s="83">
        <f>IF(B91&lt;=0.01,0,MIN(C91-E91,B91))</f>
        <v/>
      </c>
      <c r="E91" s="84">
        <f>IF(B91&lt;=0.01,0,ROUND(B91*CHOOSE($B$3,Banco1!$C$5,Banco2!$C$5,Banco3!$C$5,Banco4!$C$5,Banco5!$C$5)/12,2))</f>
        <v/>
      </c>
      <c r="F91" s="83">
        <f>IF(B91&lt;=0.01,0,MAX(B91-D91,0))</f>
        <v/>
      </c>
      <c r="G91" s="85">
        <f>IFERROR(IF(Dashboard!C6&gt;0,1-(F91/Dashboard!C6),0),0)</f>
        <v/>
      </c>
    </row>
    <row r="92" ht="20" customHeight="1">
      <c r="A92" s="82" t="n">
        <v>87</v>
      </c>
      <c r="B92" s="83">
        <f>IF(F91&lt;=0.01,0,F91)</f>
        <v/>
      </c>
      <c r="C92" s="83">
        <f>IF(B92&lt;=0.01,0,IFERROR(-PMT(CHOOSE($B$3,Banco1!$C$5,Banco2!$C$5,Banco3!$C$5,Banco4!$C$5,Banco5!$C$5)/12,Dashboard!$C$7,Dashboard!$C$6),0))</f>
        <v/>
      </c>
      <c r="D92" s="83">
        <f>IF(B92&lt;=0.01,0,MIN(C92-E92,B92))</f>
        <v/>
      </c>
      <c r="E92" s="84">
        <f>IF(B92&lt;=0.01,0,ROUND(B92*CHOOSE($B$3,Banco1!$C$5,Banco2!$C$5,Banco3!$C$5,Banco4!$C$5,Banco5!$C$5)/12,2))</f>
        <v/>
      </c>
      <c r="F92" s="83">
        <f>IF(B92&lt;=0.01,0,MAX(B92-D92,0))</f>
        <v/>
      </c>
      <c r="G92" s="85">
        <f>IFERROR(IF(Dashboard!C6&gt;0,1-(F92/Dashboard!C6),0),0)</f>
        <v/>
      </c>
    </row>
    <row r="93" ht="20" customHeight="1">
      <c r="A93" s="82" t="n">
        <v>88</v>
      </c>
      <c r="B93" s="83">
        <f>IF(F92&lt;=0.01,0,F92)</f>
        <v/>
      </c>
      <c r="C93" s="83">
        <f>IF(B93&lt;=0.01,0,IFERROR(-PMT(CHOOSE($B$3,Banco1!$C$5,Banco2!$C$5,Banco3!$C$5,Banco4!$C$5,Banco5!$C$5)/12,Dashboard!$C$7,Dashboard!$C$6),0))</f>
        <v/>
      </c>
      <c r="D93" s="83">
        <f>IF(B93&lt;=0.01,0,MIN(C93-E93,B93))</f>
        <v/>
      </c>
      <c r="E93" s="84">
        <f>IF(B93&lt;=0.01,0,ROUND(B93*CHOOSE($B$3,Banco1!$C$5,Banco2!$C$5,Banco3!$C$5,Banco4!$C$5,Banco5!$C$5)/12,2))</f>
        <v/>
      </c>
      <c r="F93" s="83">
        <f>IF(B93&lt;=0.01,0,MAX(B93-D93,0))</f>
        <v/>
      </c>
      <c r="G93" s="85">
        <f>IFERROR(IF(Dashboard!C6&gt;0,1-(F93/Dashboard!C6),0),0)</f>
        <v/>
      </c>
    </row>
    <row r="94" ht="20" customHeight="1">
      <c r="A94" s="82" t="n">
        <v>89</v>
      </c>
      <c r="B94" s="83">
        <f>IF(F93&lt;=0.01,0,F93)</f>
        <v/>
      </c>
      <c r="C94" s="83">
        <f>IF(B94&lt;=0.01,0,IFERROR(-PMT(CHOOSE($B$3,Banco1!$C$5,Banco2!$C$5,Banco3!$C$5,Banco4!$C$5,Banco5!$C$5)/12,Dashboard!$C$7,Dashboard!$C$6),0))</f>
        <v/>
      </c>
      <c r="D94" s="83">
        <f>IF(B94&lt;=0.01,0,MIN(C94-E94,B94))</f>
        <v/>
      </c>
      <c r="E94" s="84">
        <f>IF(B94&lt;=0.01,0,ROUND(B94*CHOOSE($B$3,Banco1!$C$5,Banco2!$C$5,Banco3!$C$5,Banco4!$C$5,Banco5!$C$5)/12,2))</f>
        <v/>
      </c>
      <c r="F94" s="83">
        <f>IF(B94&lt;=0.01,0,MAX(B94-D94,0))</f>
        <v/>
      </c>
      <c r="G94" s="85">
        <f>IFERROR(IF(Dashboard!C6&gt;0,1-(F94/Dashboard!C6),0),0)</f>
        <v/>
      </c>
    </row>
    <row r="95" ht="20" customHeight="1">
      <c r="A95" s="82" t="n">
        <v>90</v>
      </c>
      <c r="B95" s="83">
        <f>IF(F94&lt;=0.01,0,F94)</f>
        <v/>
      </c>
      <c r="C95" s="83">
        <f>IF(B95&lt;=0.01,0,IFERROR(-PMT(CHOOSE($B$3,Banco1!$C$5,Banco2!$C$5,Banco3!$C$5,Banco4!$C$5,Banco5!$C$5)/12,Dashboard!$C$7,Dashboard!$C$6),0))</f>
        <v/>
      </c>
      <c r="D95" s="83">
        <f>IF(B95&lt;=0.01,0,MIN(C95-E95,B95))</f>
        <v/>
      </c>
      <c r="E95" s="84">
        <f>IF(B95&lt;=0.01,0,ROUND(B95*CHOOSE($B$3,Banco1!$C$5,Banco2!$C$5,Banco3!$C$5,Banco4!$C$5,Banco5!$C$5)/12,2))</f>
        <v/>
      </c>
      <c r="F95" s="83">
        <f>IF(B95&lt;=0.01,0,MAX(B95-D95,0))</f>
        <v/>
      </c>
      <c r="G95" s="85">
        <f>IFERROR(IF(Dashboard!C6&gt;0,1-(F95/Dashboard!C6),0),0)</f>
        <v/>
      </c>
    </row>
    <row r="96" ht="20" customHeight="1">
      <c r="A96" s="82" t="n">
        <v>91</v>
      </c>
      <c r="B96" s="83">
        <f>IF(F95&lt;=0.01,0,F95)</f>
        <v/>
      </c>
      <c r="C96" s="83">
        <f>IF(B96&lt;=0.01,0,IFERROR(-PMT(CHOOSE($B$3,Banco1!$C$5,Banco2!$C$5,Banco3!$C$5,Banco4!$C$5,Banco5!$C$5)/12,Dashboard!$C$7,Dashboard!$C$6),0))</f>
        <v/>
      </c>
      <c r="D96" s="83">
        <f>IF(B96&lt;=0.01,0,MIN(C96-E96,B96))</f>
        <v/>
      </c>
      <c r="E96" s="84">
        <f>IF(B96&lt;=0.01,0,ROUND(B96*CHOOSE($B$3,Banco1!$C$5,Banco2!$C$5,Banco3!$C$5,Banco4!$C$5,Banco5!$C$5)/12,2))</f>
        <v/>
      </c>
      <c r="F96" s="83">
        <f>IF(B96&lt;=0.01,0,MAX(B96-D96,0))</f>
        <v/>
      </c>
      <c r="G96" s="85">
        <f>IFERROR(IF(Dashboard!C6&gt;0,1-(F96/Dashboard!C6),0),0)</f>
        <v/>
      </c>
    </row>
    <row r="97" ht="20" customHeight="1">
      <c r="A97" s="82" t="n">
        <v>92</v>
      </c>
      <c r="B97" s="83">
        <f>IF(F96&lt;=0.01,0,F96)</f>
        <v/>
      </c>
      <c r="C97" s="83">
        <f>IF(B97&lt;=0.01,0,IFERROR(-PMT(CHOOSE($B$3,Banco1!$C$5,Banco2!$C$5,Banco3!$C$5,Banco4!$C$5,Banco5!$C$5)/12,Dashboard!$C$7,Dashboard!$C$6),0))</f>
        <v/>
      </c>
      <c r="D97" s="83">
        <f>IF(B97&lt;=0.01,0,MIN(C97-E97,B97))</f>
        <v/>
      </c>
      <c r="E97" s="84">
        <f>IF(B97&lt;=0.01,0,ROUND(B97*CHOOSE($B$3,Banco1!$C$5,Banco2!$C$5,Banco3!$C$5,Banco4!$C$5,Banco5!$C$5)/12,2))</f>
        <v/>
      </c>
      <c r="F97" s="83">
        <f>IF(B97&lt;=0.01,0,MAX(B97-D97,0))</f>
        <v/>
      </c>
      <c r="G97" s="85">
        <f>IFERROR(IF(Dashboard!C6&gt;0,1-(F97/Dashboard!C6),0),0)</f>
        <v/>
      </c>
    </row>
    <row r="98" ht="20" customHeight="1">
      <c r="A98" s="82" t="n">
        <v>93</v>
      </c>
      <c r="B98" s="83">
        <f>IF(F97&lt;=0.01,0,F97)</f>
        <v/>
      </c>
      <c r="C98" s="83">
        <f>IF(B98&lt;=0.01,0,IFERROR(-PMT(CHOOSE($B$3,Banco1!$C$5,Banco2!$C$5,Banco3!$C$5,Banco4!$C$5,Banco5!$C$5)/12,Dashboard!$C$7,Dashboard!$C$6),0))</f>
        <v/>
      </c>
      <c r="D98" s="83">
        <f>IF(B98&lt;=0.01,0,MIN(C98-E98,B98))</f>
        <v/>
      </c>
      <c r="E98" s="84">
        <f>IF(B98&lt;=0.01,0,ROUND(B98*CHOOSE($B$3,Banco1!$C$5,Banco2!$C$5,Banco3!$C$5,Banco4!$C$5,Banco5!$C$5)/12,2))</f>
        <v/>
      </c>
      <c r="F98" s="83">
        <f>IF(B98&lt;=0.01,0,MAX(B98-D98,0))</f>
        <v/>
      </c>
      <c r="G98" s="85">
        <f>IFERROR(IF(Dashboard!C6&gt;0,1-(F98/Dashboard!C6),0),0)</f>
        <v/>
      </c>
    </row>
    <row r="99" ht="20" customHeight="1">
      <c r="A99" s="82" t="n">
        <v>94</v>
      </c>
      <c r="B99" s="83">
        <f>IF(F98&lt;=0.01,0,F98)</f>
        <v/>
      </c>
      <c r="C99" s="83">
        <f>IF(B99&lt;=0.01,0,IFERROR(-PMT(CHOOSE($B$3,Banco1!$C$5,Banco2!$C$5,Banco3!$C$5,Banco4!$C$5,Banco5!$C$5)/12,Dashboard!$C$7,Dashboard!$C$6),0))</f>
        <v/>
      </c>
      <c r="D99" s="83">
        <f>IF(B99&lt;=0.01,0,MIN(C99-E99,B99))</f>
        <v/>
      </c>
      <c r="E99" s="84">
        <f>IF(B99&lt;=0.01,0,ROUND(B99*CHOOSE($B$3,Banco1!$C$5,Banco2!$C$5,Banco3!$C$5,Banco4!$C$5,Banco5!$C$5)/12,2))</f>
        <v/>
      </c>
      <c r="F99" s="83">
        <f>IF(B99&lt;=0.01,0,MAX(B99-D99,0))</f>
        <v/>
      </c>
      <c r="G99" s="85">
        <f>IFERROR(IF(Dashboard!C6&gt;0,1-(F99/Dashboard!C6),0),0)</f>
        <v/>
      </c>
    </row>
    <row r="100" ht="20" customHeight="1">
      <c r="A100" s="82" t="n">
        <v>95</v>
      </c>
      <c r="B100" s="83">
        <f>IF(F99&lt;=0.01,0,F99)</f>
        <v/>
      </c>
      <c r="C100" s="83">
        <f>IF(B100&lt;=0.01,0,IFERROR(-PMT(CHOOSE($B$3,Banco1!$C$5,Banco2!$C$5,Banco3!$C$5,Banco4!$C$5,Banco5!$C$5)/12,Dashboard!$C$7,Dashboard!$C$6),0))</f>
        <v/>
      </c>
      <c r="D100" s="83">
        <f>IF(B100&lt;=0.01,0,MIN(C100-E100,B100))</f>
        <v/>
      </c>
      <c r="E100" s="84">
        <f>IF(B100&lt;=0.01,0,ROUND(B100*CHOOSE($B$3,Banco1!$C$5,Banco2!$C$5,Banco3!$C$5,Banco4!$C$5,Banco5!$C$5)/12,2))</f>
        <v/>
      </c>
      <c r="F100" s="83">
        <f>IF(B100&lt;=0.01,0,MAX(B100-D100,0))</f>
        <v/>
      </c>
      <c r="G100" s="85">
        <f>IFERROR(IF(Dashboard!C6&gt;0,1-(F100/Dashboard!C6),0),0)</f>
        <v/>
      </c>
    </row>
    <row r="101" ht="20" customHeight="1">
      <c r="A101" s="82" t="n">
        <v>96</v>
      </c>
      <c r="B101" s="83">
        <f>IF(F100&lt;=0.01,0,F100)</f>
        <v/>
      </c>
      <c r="C101" s="83">
        <f>IF(B101&lt;=0.01,0,IFERROR(-PMT(CHOOSE($B$3,Banco1!$C$5,Banco2!$C$5,Banco3!$C$5,Banco4!$C$5,Banco5!$C$5)/12,Dashboard!$C$7,Dashboard!$C$6),0))</f>
        <v/>
      </c>
      <c r="D101" s="83">
        <f>IF(B101&lt;=0.01,0,MIN(C101-E101,B101))</f>
        <v/>
      </c>
      <c r="E101" s="84">
        <f>IF(B101&lt;=0.01,0,ROUND(B101*CHOOSE($B$3,Banco1!$C$5,Banco2!$C$5,Banco3!$C$5,Banco4!$C$5,Banco5!$C$5)/12,2))</f>
        <v/>
      </c>
      <c r="F101" s="83">
        <f>IF(B101&lt;=0.01,0,MAX(B101-D101,0))</f>
        <v/>
      </c>
      <c r="G101" s="85">
        <f>IFERROR(IF(Dashboard!C6&gt;0,1-(F101/Dashboard!C6),0),0)</f>
        <v/>
      </c>
    </row>
    <row r="102" ht="20" customHeight="1">
      <c r="A102" s="82" t="n">
        <v>97</v>
      </c>
      <c r="B102" s="83">
        <f>IF(F101&lt;=0.01,0,F101)</f>
        <v/>
      </c>
      <c r="C102" s="83">
        <f>IF(B102&lt;=0.01,0,IFERROR(-PMT(CHOOSE($B$3,Banco1!$C$5,Banco2!$C$5,Banco3!$C$5,Banco4!$C$5,Banco5!$C$5)/12,Dashboard!$C$7,Dashboard!$C$6),0))</f>
        <v/>
      </c>
      <c r="D102" s="83">
        <f>IF(B102&lt;=0.01,0,MIN(C102-E102,B102))</f>
        <v/>
      </c>
      <c r="E102" s="84">
        <f>IF(B102&lt;=0.01,0,ROUND(B102*CHOOSE($B$3,Banco1!$C$5,Banco2!$C$5,Banco3!$C$5,Banco4!$C$5,Banco5!$C$5)/12,2))</f>
        <v/>
      </c>
      <c r="F102" s="83">
        <f>IF(B102&lt;=0.01,0,MAX(B102-D102,0))</f>
        <v/>
      </c>
      <c r="G102" s="85">
        <f>IFERROR(IF(Dashboard!C6&gt;0,1-(F102/Dashboard!C6),0),0)</f>
        <v/>
      </c>
    </row>
    <row r="103" ht="20" customHeight="1">
      <c r="A103" s="82" t="n">
        <v>98</v>
      </c>
      <c r="B103" s="83">
        <f>IF(F102&lt;=0.01,0,F102)</f>
        <v/>
      </c>
      <c r="C103" s="83">
        <f>IF(B103&lt;=0.01,0,IFERROR(-PMT(CHOOSE($B$3,Banco1!$C$5,Banco2!$C$5,Banco3!$C$5,Banco4!$C$5,Banco5!$C$5)/12,Dashboard!$C$7,Dashboard!$C$6),0))</f>
        <v/>
      </c>
      <c r="D103" s="83">
        <f>IF(B103&lt;=0.01,0,MIN(C103-E103,B103))</f>
        <v/>
      </c>
      <c r="E103" s="84">
        <f>IF(B103&lt;=0.01,0,ROUND(B103*CHOOSE($B$3,Banco1!$C$5,Banco2!$C$5,Banco3!$C$5,Banco4!$C$5,Banco5!$C$5)/12,2))</f>
        <v/>
      </c>
      <c r="F103" s="83">
        <f>IF(B103&lt;=0.01,0,MAX(B103-D103,0))</f>
        <v/>
      </c>
      <c r="G103" s="85">
        <f>IFERROR(IF(Dashboard!C6&gt;0,1-(F103/Dashboard!C6),0),0)</f>
        <v/>
      </c>
    </row>
    <row r="104" ht="20" customHeight="1">
      <c r="A104" s="82" t="n">
        <v>99</v>
      </c>
      <c r="B104" s="83">
        <f>IF(F103&lt;=0.01,0,F103)</f>
        <v/>
      </c>
      <c r="C104" s="83">
        <f>IF(B104&lt;=0.01,0,IFERROR(-PMT(CHOOSE($B$3,Banco1!$C$5,Banco2!$C$5,Banco3!$C$5,Banco4!$C$5,Banco5!$C$5)/12,Dashboard!$C$7,Dashboard!$C$6),0))</f>
        <v/>
      </c>
      <c r="D104" s="83">
        <f>IF(B104&lt;=0.01,0,MIN(C104-E104,B104))</f>
        <v/>
      </c>
      <c r="E104" s="84">
        <f>IF(B104&lt;=0.01,0,ROUND(B104*CHOOSE($B$3,Banco1!$C$5,Banco2!$C$5,Banco3!$C$5,Banco4!$C$5,Banco5!$C$5)/12,2))</f>
        <v/>
      </c>
      <c r="F104" s="83">
        <f>IF(B104&lt;=0.01,0,MAX(B104-D104,0))</f>
        <v/>
      </c>
      <c r="G104" s="85">
        <f>IFERROR(IF(Dashboard!C6&gt;0,1-(F104/Dashboard!C6),0),0)</f>
        <v/>
      </c>
    </row>
    <row r="105" ht="20" customHeight="1">
      <c r="A105" s="82" t="n">
        <v>100</v>
      </c>
      <c r="B105" s="83">
        <f>IF(F104&lt;=0.01,0,F104)</f>
        <v/>
      </c>
      <c r="C105" s="83">
        <f>IF(B105&lt;=0.01,0,IFERROR(-PMT(CHOOSE($B$3,Banco1!$C$5,Banco2!$C$5,Banco3!$C$5,Banco4!$C$5,Banco5!$C$5)/12,Dashboard!$C$7,Dashboard!$C$6),0))</f>
        <v/>
      </c>
      <c r="D105" s="83">
        <f>IF(B105&lt;=0.01,0,MIN(C105-E105,B105))</f>
        <v/>
      </c>
      <c r="E105" s="84">
        <f>IF(B105&lt;=0.01,0,ROUND(B105*CHOOSE($B$3,Banco1!$C$5,Banco2!$C$5,Banco3!$C$5,Banco4!$C$5,Banco5!$C$5)/12,2))</f>
        <v/>
      </c>
      <c r="F105" s="83">
        <f>IF(B105&lt;=0.01,0,MAX(B105-D105,0))</f>
        <v/>
      </c>
      <c r="G105" s="85">
        <f>IFERROR(IF(Dashboard!C6&gt;0,1-(F105/Dashboard!C6),0),0)</f>
        <v/>
      </c>
    </row>
    <row r="106" ht="20" customHeight="1">
      <c r="A106" s="82" t="n">
        <v>101</v>
      </c>
      <c r="B106" s="83">
        <f>IF(F105&lt;=0.01,0,F105)</f>
        <v/>
      </c>
      <c r="C106" s="83">
        <f>IF(B106&lt;=0.01,0,IFERROR(-PMT(CHOOSE($B$3,Banco1!$C$5,Banco2!$C$5,Banco3!$C$5,Banco4!$C$5,Banco5!$C$5)/12,Dashboard!$C$7,Dashboard!$C$6),0))</f>
        <v/>
      </c>
      <c r="D106" s="83">
        <f>IF(B106&lt;=0.01,0,MIN(C106-E106,B106))</f>
        <v/>
      </c>
      <c r="E106" s="84">
        <f>IF(B106&lt;=0.01,0,ROUND(B106*CHOOSE($B$3,Banco1!$C$5,Banco2!$C$5,Banco3!$C$5,Banco4!$C$5,Banco5!$C$5)/12,2))</f>
        <v/>
      </c>
      <c r="F106" s="83">
        <f>IF(B106&lt;=0.01,0,MAX(B106-D106,0))</f>
        <v/>
      </c>
      <c r="G106" s="85">
        <f>IFERROR(IF(Dashboard!C6&gt;0,1-(F106/Dashboard!C6),0),0)</f>
        <v/>
      </c>
    </row>
    <row r="107" ht="20" customHeight="1">
      <c r="A107" s="82" t="n">
        <v>102</v>
      </c>
      <c r="B107" s="83">
        <f>IF(F106&lt;=0.01,0,F106)</f>
        <v/>
      </c>
      <c r="C107" s="83">
        <f>IF(B107&lt;=0.01,0,IFERROR(-PMT(CHOOSE($B$3,Banco1!$C$5,Banco2!$C$5,Banco3!$C$5,Banco4!$C$5,Banco5!$C$5)/12,Dashboard!$C$7,Dashboard!$C$6),0))</f>
        <v/>
      </c>
      <c r="D107" s="83">
        <f>IF(B107&lt;=0.01,0,MIN(C107-E107,B107))</f>
        <v/>
      </c>
      <c r="E107" s="84">
        <f>IF(B107&lt;=0.01,0,ROUND(B107*CHOOSE($B$3,Banco1!$C$5,Banco2!$C$5,Banco3!$C$5,Banco4!$C$5,Banco5!$C$5)/12,2))</f>
        <v/>
      </c>
      <c r="F107" s="83">
        <f>IF(B107&lt;=0.01,0,MAX(B107-D107,0))</f>
        <v/>
      </c>
      <c r="G107" s="85">
        <f>IFERROR(IF(Dashboard!C6&gt;0,1-(F107/Dashboard!C6),0),0)</f>
        <v/>
      </c>
    </row>
    <row r="108" ht="20" customHeight="1">
      <c r="A108" s="82" t="n">
        <v>103</v>
      </c>
      <c r="B108" s="83">
        <f>IF(F107&lt;=0.01,0,F107)</f>
        <v/>
      </c>
      <c r="C108" s="83">
        <f>IF(B108&lt;=0.01,0,IFERROR(-PMT(CHOOSE($B$3,Banco1!$C$5,Banco2!$C$5,Banco3!$C$5,Banco4!$C$5,Banco5!$C$5)/12,Dashboard!$C$7,Dashboard!$C$6),0))</f>
        <v/>
      </c>
      <c r="D108" s="83">
        <f>IF(B108&lt;=0.01,0,MIN(C108-E108,B108))</f>
        <v/>
      </c>
      <c r="E108" s="84">
        <f>IF(B108&lt;=0.01,0,ROUND(B108*CHOOSE($B$3,Banco1!$C$5,Banco2!$C$5,Banco3!$C$5,Banco4!$C$5,Banco5!$C$5)/12,2))</f>
        <v/>
      </c>
      <c r="F108" s="83">
        <f>IF(B108&lt;=0.01,0,MAX(B108-D108,0))</f>
        <v/>
      </c>
      <c r="G108" s="85">
        <f>IFERROR(IF(Dashboard!C6&gt;0,1-(F108/Dashboard!C6),0),0)</f>
        <v/>
      </c>
    </row>
    <row r="109" ht="20" customHeight="1">
      <c r="A109" s="82" t="n">
        <v>104</v>
      </c>
      <c r="B109" s="83">
        <f>IF(F108&lt;=0.01,0,F108)</f>
        <v/>
      </c>
      <c r="C109" s="83">
        <f>IF(B109&lt;=0.01,0,IFERROR(-PMT(CHOOSE($B$3,Banco1!$C$5,Banco2!$C$5,Banco3!$C$5,Banco4!$C$5,Banco5!$C$5)/12,Dashboard!$C$7,Dashboard!$C$6),0))</f>
        <v/>
      </c>
      <c r="D109" s="83">
        <f>IF(B109&lt;=0.01,0,MIN(C109-E109,B109))</f>
        <v/>
      </c>
      <c r="E109" s="84">
        <f>IF(B109&lt;=0.01,0,ROUND(B109*CHOOSE($B$3,Banco1!$C$5,Banco2!$C$5,Banco3!$C$5,Banco4!$C$5,Banco5!$C$5)/12,2))</f>
        <v/>
      </c>
      <c r="F109" s="83">
        <f>IF(B109&lt;=0.01,0,MAX(B109-D109,0))</f>
        <v/>
      </c>
      <c r="G109" s="85">
        <f>IFERROR(IF(Dashboard!C6&gt;0,1-(F109/Dashboard!C6),0),0)</f>
        <v/>
      </c>
    </row>
    <row r="110" ht="20" customHeight="1">
      <c r="A110" s="82" t="n">
        <v>105</v>
      </c>
      <c r="B110" s="83">
        <f>IF(F109&lt;=0.01,0,F109)</f>
        <v/>
      </c>
      <c r="C110" s="83">
        <f>IF(B110&lt;=0.01,0,IFERROR(-PMT(CHOOSE($B$3,Banco1!$C$5,Banco2!$C$5,Banco3!$C$5,Banco4!$C$5,Banco5!$C$5)/12,Dashboard!$C$7,Dashboard!$C$6),0))</f>
        <v/>
      </c>
      <c r="D110" s="83">
        <f>IF(B110&lt;=0.01,0,MIN(C110-E110,B110))</f>
        <v/>
      </c>
      <c r="E110" s="84">
        <f>IF(B110&lt;=0.01,0,ROUND(B110*CHOOSE($B$3,Banco1!$C$5,Banco2!$C$5,Banco3!$C$5,Banco4!$C$5,Banco5!$C$5)/12,2))</f>
        <v/>
      </c>
      <c r="F110" s="83">
        <f>IF(B110&lt;=0.01,0,MAX(B110-D110,0))</f>
        <v/>
      </c>
      <c r="G110" s="85">
        <f>IFERROR(IF(Dashboard!C6&gt;0,1-(F110/Dashboard!C6),0),0)</f>
        <v/>
      </c>
    </row>
    <row r="111" ht="20" customHeight="1">
      <c r="A111" s="82" t="n">
        <v>106</v>
      </c>
      <c r="B111" s="83">
        <f>IF(F110&lt;=0.01,0,F110)</f>
        <v/>
      </c>
      <c r="C111" s="83">
        <f>IF(B111&lt;=0.01,0,IFERROR(-PMT(CHOOSE($B$3,Banco1!$C$5,Banco2!$C$5,Banco3!$C$5,Banco4!$C$5,Banco5!$C$5)/12,Dashboard!$C$7,Dashboard!$C$6),0))</f>
        <v/>
      </c>
      <c r="D111" s="83">
        <f>IF(B111&lt;=0.01,0,MIN(C111-E111,B111))</f>
        <v/>
      </c>
      <c r="E111" s="84">
        <f>IF(B111&lt;=0.01,0,ROUND(B111*CHOOSE($B$3,Banco1!$C$5,Banco2!$C$5,Banco3!$C$5,Banco4!$C$5,Banco5!$C$5)/12,2))</f>
        <v/>
      </c>
      <c r="F111" s="83">
        <f>IF(B111&lt;=0.01,0,MAX(B111-D111,0))</f>
        <v/>
      </c>
      <c r="G111" s="85">
        <f>IFERROR(IF(Dashboard!C6&gt;0,1-(F111/Dashboard!C6),0),0)</f>
        <v/>
      </c>
    </row>
    <row r="112" ht="20" customHeight="1">
      <c r="A112" s="82" t="n">
        <v>107</v>
      </c>
      <c r="B112" s="83">
        <f>IF(F111&lt;=0.01,0,F111)</f>
        <v/>
      </c>
      <c r="C112" s="83">
        <f>IF(B112&lt;=0.01,0,IFERROR(-PMT(CHOOSE($B$3,Banco1!$C$5,Banco2!$C$5,Banco3!$C$5,Banco4!$C$5,Banco5!$C$5)/12,Dashboard!$C$7,Dashboard!$C$6),0))</f>
        <v/>
      </c>
      <c r="D112" s="83">
        <f>IF(B112&lt;=0.01,0,MIN(C112-E112,B112))</f>
        <v/>
      </c>
      <c r="E112" s="84">
        <f>IF(B112&lt;=0.01,0,ROUND(B112*CHOOSE($B$3,Banco1!$C$5,Banco2!$C$5,Banco3!$C$5,Banco4!$C$5,Banco5!$C$5)/12,2))</f>
        <v/>
      </c>
      <c r="F112" s="83">
        <f>IF(B112&lt;=0.01,0,MAX(B112-D112,0))</f>
        <v/>
      </c>
      <c r="G112" s="85">
        <f>IFERROR(IF(Dashboard!C6&gt;0,1-(F112/Dashboard!C6),0),0)</f>
        <v/>
      </c>
    </row>
    <row r="113" ht="20" customHeight="1">
      <c r="A113" s="82" t="n">
        <v>108</v>
      </c>
      <c r="B113" s="83">
        <f>IF(F112&lt;=0.01,0,F112)</f>
        <v/>
      </c>
      <c r="C113" s="83">
        <f>IF(B113&lt;=0.01,0,IFERROR(-PMT(CHOOSE($B$3,Banco1!$C$5,Banco2!$C$5,Banco3!$C$5,Banco4!$C$5,Banco5!$C$5)/12,Dashboard!$C$7,Dashboard!$C$6),0))</f>
        <v/>
      </c>
      <c r="D113" s="83">
        <f>IF(B113&lt;=0.01,0,MIN(C113-E113,B113))</f>
        <v/>
      </c>
      <c r="E113" s="84">
        <f>IF(B113&lt;=0.01,0,ROUND(B113*CHOOSE($B$3,Banco1!$C$5,Banco2!$C$5,Banco3!$C$5,Banco4!$C$5,Banco5!$C$5)/12,2))</f>
        <v/>
      </c>
      <c r="F113" s="83">
        <f>IF(B113&lt;=0.01,0,MAX(B113-D113,0))</f>
        <v/>
      </c>
      <c r="G113" s="85">
        <f>IFERROR(IF(Dashboard!C6&gt;0,1-(F113/Dashboard!C6),0),0)</f>
        <v/>
      </c>
    </row>
    <row r="114" ht="20" customHeight="1">
      <c r="A114" s="82" t="n">
        <v>109</v>
      </c>
      <c r="B114" s="83">
        <f>IF(F113&lt;=0.01,0,F113)</f>
        <v/>
      </c>
      <c r="C114" s="83">
        <f>IF(B114&lt;=0.01,0,IFERROR(-PMT(CHOOSE($B$3,Banco1!$C$5,Banco2!$C$5,Banco3!$C$5,Banco4!$C$5,Banco5!$C$5)/12,Dashboard!$C$7,Dashboard!$C$6),0))</f>
        <v/>
      </c>
      <c r="D114" s="83">
        <f>IF(B114&lt;=0.01,0,MIN(C114-E114,B114))</f>
        <v/>
      </c>
      <c r="E114" s="84">
        <f>IF(B114&lt;=0.01,0,ROUND(B114*CHOOSE($B$3,Banco1!$C$5,Banco2!$C$5,Banco3!$C$5,Banco4!$C$5,Banco5!$C$5)/12,2))</f>
        <v/>
      </c>
      <c r="F114" s="83">
        <f>IF(B114&lt;=0.01,0,MAX(B114-D114,0))</f>
        <v/>
      </c>
      <c r="G114" s="85">
        <f>IFERROR(IF(Dashboard!C6&gt;0,1-(F114/Dashboard!C6),0),0)</f>
        <v/>
      </c>
    </row>
    <row r="115" ht="20" customHeight="1">
      <c r="A115" s="82" t="n">
        <v>110</v>
      </c>
      <c r="B115" s="83">
        <f>IF(F114&lt;=0.01,0,F114)</f>
        <v/>
      </c>
      <c r="C115" s="83">
        <f>IF(B115&lt;=0.01,0,IFERROR(-PMT(CHOOSE($B$3,Banco1!$C$5,Banco2!$C$5,Banco3!$C$5,Banco4!$C$5,Banco5!$C$5)/12,Dashboard!$C$7,Dashboard!$C$6),0))</f>
        <v/>
      </c>
      <c r="D115" s="83">
        <f>IF(B115&lt;=0.01,0,MIN(C115-E115,B115))</f>
        <v/>
      </c>
      <c r="E115" s="84">
        <f>IF(B115&lt;=0.01,0,ROUND(B115*CHOOSE($B$3,Banco1!$C$5,Banco2!$C$5,Banco3!$C$5,Banco4!$C$5,Banco5!$C$5)/12,2))</f>
        <v/>
      </c>
      <c r="F115" s="83">
        <f>IF(B115&lt;=0.01,0,MAX(B115-D115,0))</f>
        <v/>
      </c>
      <c r="G115" s="85">
        <f>IFERROR(IF(Dashboard!C6&gt;0,1-(F115/Dashboard!C6),0),0)</f>
        <v/>
      </c>
    </row>
    <row r="116" ht="20" customHeight="1">
      <c r="A116" s="82" t="n">
        <v>111</v>
      </c>
      <c r="B116" s="83">
        <f>IF(F115&lt;=0.01,0,F115)</f>
        <v/>
      </c>
      <c r="C116" s="83">
        <f>IF(B116&lt;=0.01,0,IFERROR(-PMT(CHOOSE($B$3,Banco1!$C$5,Banco2!$C$5,Banco3!$C$5,Banco4!$C$5,Banco5!$C$5)/12,Dashboard!$C$7,Dashboard!$C$6),0))</f>
        <v/>
      </c>
      <c r="D116" s="83">
        <f>IF(B116&lt;=0.01,0,MIN(C116-E116,B116))</f>
        <v/>
      </c>
      <c r="E116" s="84">
        <f>IF(B116&lt;=0.01,0,ROUND(B116*CHOOSE($B$3,Banco1!$C$5,Banco2!$C$5,Banco3!$C$5,Banco4!$C$5,Banco5!$C$5)/12,2))</f>
        <v/>
      </c>
      <c r="F116" s="83">
        <f>IF(B116&lt;=0.01,0,MAX(B116-D116,0))</f>
        <v/>
      </c>
      <c r="G116" s="85">
        <f>IFERROR(IF(Dashboard!C6&gt;0,1-(F116/Dashboard!C6),0),0)</f>
        <v/>
      </c>
    </row>
    <row r="117" ht="20" customHeight="1">
      <c r="A117" s="82" t="n">
        <v>112</v>
      </c>
      <c r="B117" s="83">
        <f>IF(F116&lt;=0.01,0,F116)</f>
        <v/>
      </c>
      <c r="C117" s="83">
        <f>IF(B117&lt;=0.01,0,IFERROR(-PMT(CHOOSE($B$3,Banco1!$C$5,Banco2!$C$5,Banco3!$C$5,Banco4!$C$5,Banco5!$C$5)/12,Dashboard!$C$7,Dashboard!$C$6),0))</f>
        <v/>
      </c>
      <c r="D117" s="83">
        <f>IF(B117&lt;=0.01,0,MIN(C117-E117,B117))</f>
        <v/>
      </c>
      <c r="E117" s="84">
        <f>IF(B117&lt;=0.01,0,ROUND(B117*CHOOSE($B$3,Banco1!$C$5,Banco2!$C$5,Banco3!$C$5,Banco4!$C$5,Banco5!$C$5)/12,2))</f>
        <v/>
      </c>
      <c r="F117" s="83">
        <f>IF(B117&lt;=0.01,0,MAX(B117-D117,0))</f>
        <v/>
      </c>
      <c r="G117" s="85">
        <f>IFERROR(IF(Dashboard!C6&gt;0,1-(F117/Dashboard!C6),0),0)</f>
        <v/>
      </c>
    </row>
    <row r="118" ht="20" customHeight="1">
      <c r="A118" s="82" t="n">
        <v>113</v>
      </c>
      <c r="B118" s="83">
        <f>IF(F117&lt;=0.01,0,F117)</f>
        <v/>
      </c>
      <c r="C118" s="83">
        <f>IF(B118&lt;=0.01,0,IFERROR(-PMT(CHOOSE($B$3,Banco1!$C$5,Banco2!$C$5,Banco3!$C$5,Banco4!$C$5,Banco5!$C$5)/12,Dashboard!$C$7,Dashboard!$C$6),0))</f>
        <v/>
      </c>
      <c r="D118" s="83">
        <f>IF(B118&lt;=0.01,0,MIN(C118-E118,B118))</f>
        <v/>
      </c>
      <c r="E118" s="84">
        <f>IF(B118&lt;=0.01,0,ROUND(B118*CHOOSE($B$3,Banco1!$C$5,Banco2!$C$5,Banco3!$C$5,Banco4!$C$5,Banco5!$C$5)/12,2))</f>
        <v/>
      </c>
      <c r="F118" s="83">
        <f>IF(B118&lt;=0.01,0,MAX(B118-D118,0))</f>
        <v/>
      </c>
      <c r="G118" s="85">
        <f>IFERROR(IF(Dashboard!C6&gt;0,1-(F118/Dashboard!C6),0),0)</f>
        <v/>
      </c>
    </row>
    <row r="119" ht="20" customHeight="1">
      <c r="A119" s="82" t="n">
        <v>114</v>
      </c>
      <c r="B119" s="83">
        <f>IF(F118&lt;=0.01,0,F118)</f>
        <v/>
      </c>
      <c r="C119" s="83">
        <f>IF(B119&lt;=0.01,0,IFERROR(-PMT(CHOOSE($B$3,Banco1!$C$5,Banco2!$C$5,Banco3!$C$5,Banco4!$C$5,Banco5!$C$5)/12,Dashboard!$C$7,Dashboard!$C$6),0))</f>
        <v/>
      </c>
      <c r="D119" s="83">
        <f>IF(B119&lt;=0.01,0,MIN(C119-E119,B119))</f>
        <v/>
      </c>
      <c r="E119" s="84">
        <f>IF(B119&lt;=0.01,0,ROUND(B119*CHOOSE($B$3,Banco1!$C$5,Banco2!$C$5,Banco3!$C$5,Banco4!$C$5,Banco5!$C$5)/12,2))</f>
        <v/>
      </c>
      <c r="F119" s="83">
        <f>IF(B119&lt;=0.01,0,MAX(B119-D119,0))</f>
        <v/>
      </c>
      <c r="G119" s="85">
        <f>IFERROR(IF(Dashboard!C6&gt;0,1-(F119/Dashboard!C6),0),0)</f>
        <v/>
      </c>
    </row>
    <row r="120" ht="20" customHeight="1">
      <c r="A120" s="82" t="n">
        <v>115</v>
      </c>
      <c r="B120" s="83">
        <f>IF(F119&lt;=0.01,0,F119)</f>
        <v/>
      </c>
      <c r="C120" s="83">
        <f>IF(B120&lt;=0.01,0,IFERROR(-PMT(CHOOSE($B$3,Banco1!$C$5,Banco2!$C$5,Banco3!$C$5,Banco4!$C$5,Banco5!$C$5)/12,Dashboard!$C$7,Dashboard!$C$6),0))</f>
        <v/>
      </c>
      <c r="D120" s="83">
        <f>IF(B120&lt;=0.01,0,MIN(C120-E120,B120))</f>
        <v/>
      </c>
      <c r="E120" s="84">
        <f>IF(B120&lt;=0.01,0,ROUND(B120*CHOOSE($B$3,Banco1!$C$5,Banco2!$C$5,Banco3!$C$5,Banco4!$C$5,Banco5!$C$5)/12,2))</f>
        <v/>
      </c>
      <c r="F120" s="83">
        <f>IF(B120&lt;=0.01,0,MAX(B120-D120,0))</f>
        <v/>
      </c>
      <c r="G120" s="85">
        <f>IFERROR(IF(Dashboard!C6&gt;0,1-(F120/Dashboard!C6),0),0)</f>
        <v/>
      </c>
    </row>
    <row r="121" ht="20" customHeight="1">
      <c r="A121" s="82" t="n">
        <v>116</v>
      </c>
      <c r="B121" s="83">
        <f>IF(F120&lt;=0.01,0,F120)</f>
        <v/>
      </c>
      <c r="C121" s="83">
        <f>IF(B121&lt;=0.01,0,IFERROR(-PMT(CHOOSE($B$3,Banco1!$C$5,Banco2!$C$5,Banco3!$C$5,Banco4!$C$5,Banco5!$C$5)/12,Dashboard!$C$7,Dashboard!$C$6),0))</f>
        <v/>
      </c>
      <c r="D121" s="83">
        <f>IF(B121&lt;=0.01,0,MIN(C121-E121,B121))</f>
        <v/>
      </c>
      <c r="E121" s="84">
        <f>IF(B121&lt;=0.01,0,ROUND(B121*CHOOSE($B$3,Banco1!$C$5,Banco2!$C$5,Banco3!$C$5,Banco4!$C$5,Banco5!$C$5)/12,2))</f>
        <v/>
      </c>
      <c r="F121" s="83">
        <f>IF(B121&lt;=0.01,0,MAX(B121-D121,0))</f>
        <v/>
      </c>
      <c r="G121" s="85">
        <f>IFERROR(IF(Dashboard!C6&gt;0,1-(F121/Dashboard!C6),0),0)</f>
        <v/>
      </c>
    </row>
    <row r="122" ht="20" customHeight="1">
      <c r="A122" s="82" t="n">
        <v>117</v>
      </c>
      <c r="B122" s="83">
        <f>IF(F121&lt;=0.01,0,F121)</f>
        <v/>
      </c>
      <c r="C122" s="83">
        <f>IF(B122&lt;=0.01,0,IFERROR(-PMT(CHOOSE($B$3,Banco1!$C$5,Banco2!$C$5,Banco3!$C$5,Banco4!$C$5,Banco5!$C$5)/12,Dashboard!$C$7,Dashboard!$C$6),0))</f>
        <v/>
      </c>
      <c r="D122" s="83">
        <f>IF(B122&lt;=0.01,0,MIN(C122-E122,B122))</f>
        <v/>
      </c>
      <c r="E122" s="84">
        <f>IF(B122&lt;=0.01,0,ROUND(B122*CHOOSE($B$3,Banco1!$C$5,Banco2!$C$5,Banco3!$C$5,Banco4!$C$5,Banco5!$C$5)/12,2))</f>
        <v/>
      </c>
      <c r="F122" s="83">
        <f>IF(B122&lt;=0.01,0,MAX(B122-D122,0))</f>
        <v/>
      </c>
      <c r="G122" s="85">
        <f>IFERROR(IF(Dashboard!C6&gt;0,1-(F122/Dashboard!C6),0),0)</f>
        <v/>
      </c>
    </row>
    <row r="123" ht="20" customHeight="1">
      <c r="A123" s="82" t="n">
        <v>118</v>
      </c>
      <c r="B123" s="83">
        <f>IF(F122&lt;=0.01,0,F122)</f>
        <v/>
      </c>
      <c r="C123" s="83">
        <f>IF(B123&lt;=0.01,0,IFERROR(-PMT(CHOOSE($B$3,Banco1!$C$5,Banco2!$C$5,Banco3!$C$5,Banco4!$C$5,Banco5!$C$5)/12,Dashboard!$C$7,Dashboard!$C$6),0))</f>
        <v/>
      </c>
      <c r="D123" s="83">
        <f>IF(B123&lt;=0.01,0,MIN(C123-E123,B123))</f>
        <v/>
      </c>
      <c r="E123" s="84">
        <f>IF(B123&lt;=0.01,0,ROUND(B123*CHOOSE($B$3,Banco1!$C$5,Banco2!$C$5,Banco3!$C$5,Banco4!$C$5,Banco5!$C$5)/12,2))</f>
        <v/>
      </c>
      <c r="F123" s="83">
        <f>IF(B123&lt;=0.01,0,MAX(B123-D123,0))</f>
        <v/>
      </c>
      <c r="G123" s="85">
        <f>IFERROR(IF(Dashboard!C6&gt;0,1-(F123/Dashboard!C6),0),0)</f>
        <v/>
      </c>
    </row>
    <row r="124" ht="20" customHeight="1">
      <c r="A124" s="82" t="n">
        <v>119</v>
      </c>
      <c r="B124" s="83">
        <f>IF(F123&lt;=0.01,0,F123)</f>
        <v/>
      </c>
      <c r="C124" s="83">
        <f>IF(B124&lt;=0.01,0,IFERROR(-PMT(CHOOSE($B$3,Banco1!$C$5,Banco2!$C$5,Banco3!$C$5,Banco4!$C$5,Banco5!$C$5)/12,Dashboard!$C$7,Dashboard!$C$6),0))</f>
        <v/>
      </c>
      <c r="D124" s="83">
        <f>IF(B124&lt;=0.01,0,MIN(C124-E124,B124))</f>
        <v/>
      </c>
      <c r="E124" s="84">
        <f>IF(B124&lt;=0.01,0,ROUND(B124*CHOOSE($B$3,Banco1!$C$5,Banco2!$C$5,Banco3!$C$5,Banco4!$C$5,Banco5!$C$5)/12,2))</f>
        <v/>
      </c>
      <c r="F124" s="83">
        <f>IF(B124&lt;=0.01,0,MAX(B124-D124,0))</f>
        <v/>
      </c>
      <c r="G124" s="85">
        <f>IFERROR(IF(Dashboard!C6&gt;0,1-(F124/Dashboard!C6),0),0)</f>
        <v/>
      </c>
    </row>
    <row r="125" ht="20" customHeight="1">
      <c r="A125" s="82" t="n">
        <v>120</v>
      </c>
      <c r="B125" s="83">
        <f>IF(F124&lt;=0.01,0,F124)</f>
        <v/>
      </c>
      <c r="C125" s="83">
        <f>IF(B125&lt;=0.01,0,IFERROR(-PMT(CHOOSE($B$3,Banco1!$C$5,Banco2!$C$5,Banco3!$C$5,Banco4!$C$5,Banco5!$C$5)/12,Dashboard!$C$7,Dashboard!$C$6),0))</f>
        <v/>
      </c>
      <c r="D125" s="83">
        <f>IF(B125&lt;=0.01,0,MIN(C125-E125,B125))</f>
        <v/>
      </c>
      <c r="E125" s="84">
        <f>IF(B125&lt;=0.01,0,ROUND(B125*CHOOSE($B$3,Banco1!$C$5,Banco2!$C$5,Banco3!$C$5,Banco4!$C$5,Banco5!$C$5)/12,2))</f>
        <v/>
      </c>
      <c r="F125" s="83">
        <f>IF(B125&lt;=0.01,0,MAX(B125-D125,0))</f>
        <v/>
      </c>
      <c r="G125" s="85">
        <f>IFERROR(IF(Dashboard!C6&gt;0,1-(F125/Dashboard!C6),0),0)</f>
        <v/>
      </c>
    </row>
    <row r="126" ht="20" customHeight="1">
      <c r="A126" s="82" t="n">
        <v>121</v>
      </c>
      <c r="B126" s="83">
        <f>IF(F125&lt;=0.01,0,F125)</f>
        <v/>
      </c>
      <c r="C126" s="83">
        <f>IF(B126&lt;=0.01,0,IFERROR(-PMT(CHOOSE($B$3,Banco1!$C$5,Banco2!$C$5,Banco3!$C$5,Banco4!$C$5,Banco5!$C$5)/12,Dashboard!$C$7,Dashboard!$C$6),0))</f>
        <v/>
      </c>
      <c r="D126" s="83">
        <f>IF(B126&lt;=0.01,0,MIN(C126-E126,B126))</f>
        <v/>
      </c>
      <c r="E126" s="84">
        <f>IF(B126&lt;=0.01,0,ROUND(B126*CHOOSE($B$3,Banco1!$C$5,Banco2!$C$5,Banco3!$C$5,Banco4!$C$5,Banco5!$C$5)/12,2))</f>
        <v/>
      </c>
      <c r="F126" s="83">
        <f>IF(B126&lt;=0.01,0,MAX(B126-D126,0))</f>
        <v/>
      </c>
      <c r="G126" s="85">
        <f>IFERROR(IF(Dashboard!C6&gt;0,1-(F126/Dashboard!C6),0),0)</f>
        <v/>
      </c>
    </row>
    <row r="127" ht="20" customHeight="1">
      <c r="A127" s="82" t="n">
        <v>122</v>
      </c>
      <c r="B127" s="83">
        <f>IF(F126&lt;=0.01,0,F126)</f>
        <v/>
      </c>
      <c r="C127" s="83">
        <f>IF(B127&lt;=0.01,0,IFERROR(-PMT(CHOOSE($B$3,Banco1!$C$5,Banco2!$C$5,Banco3!$C$5,Banco4!$C$5,Banco5!$C$5)/12,Dashboard!$C$7,Dashboard!$C$6),0))</f>
        <v/>
      </c>
      <c r="D127" s="83">
        <f>IF(B127&lt;=0.01,0,MIN(C127-E127,B127))</f>
        <v/>
      </c>
      <c r="E127" s="84">
        <f>IF(B127&lt;=0.01,0,ROUND(B127*CHOOSE($B$3,Banco1!$C$5,Banco2!$C$5,Banco3!$C$5,Banco4!$C$5,Banco5!$C$5)/12,2))</f>
        <v/>
      </c>
      <c r="F127" s="83">
        <f>IF(B127&lt;=0.01,0,MAX(B127-D127,0))</f>
        <v/>
      </c>
      <c r="G127" s="85">
        <f>IFERROR(IF(Dashboard!C6&gt;0,1-(F127/Dashboard!C6),0),0)</f>
        <v/>
      </c>
    </row>
    <row r="128" ht="20" customHeight="1">
      <c r="A128" s="82" t="n">
        <v>123</v>
      </c>
      <c r="B128" s="83">
        <f>IF(F127&lt;=0.01,0,F127)</f>
        <v/>
      </c>
      <c r="C128" s="83">
        <f>IF(B128&lt;=0.01,0,IFERROR(-PMT(CHOOSE($B$3,Banco1!$C$5,Banco2!$C$5,Banco3!$C$5,Banco4!$C$5,Banco5!$C$5)/12,Dashboard!$C$7,Dashboard!$C$6),0))</f>
        <v/>
      </c>
      <c r="D128" s="83">
        <f>IF(B128&lt;=0.01,0,MIN(C128-E128,B128))</f>
        <v/>
      </c>
      <c r="E128" s="84">
        <f>IF(B128&lt;=0.01,0,ROUND(B128*CHOOSE($B$3,Banco1!$C$5,Banco2!$C$5,Banco3!$C$5,Banco4!$C$5,Banco5!$C$5)/12,2))</f>
        <v/>
      </c>
      <c r="F128" s="83">
        <f>IF(B128&lt;=0.01,0,MAX(B128-D128,0))</f>
        <v/>
      </c>
      <c r="G128" s="85">
        <f>IFERROR(IF(Dashboard!C6&gt;0,1-(F128/Dashboard!C6),0),0)</f>
        <v/>
      </c>
    </row>
    <row r="129" ht="20" customHeight="1">
      <c r="A129" s="82" t="n">
        <v>124</v>
      </c>
      <c r="B129" s="83">
        <f>IF(F128&lt;=0.01,0,F128)</f>
        <v/>
      </c>
      <c r="C129" s="83">
        <f>IF(B129&lt;=0.01,0,IFERROR(-PMT(CHOOSE($B$3,Banco1!$C$5,Banco2!$C$5,Banco3!$C$5,Banco4!$C$5,Banco5!$C$5)/12,Dashboard!$C$7,Dashboard!$C$6),0))</f>
        <v/>
      </c>
      <c r="D129" s="83">
        <f>IF(B129&lt;=0.01,0,MIN(C129-E129,B129))</f>
        <v/>
      </c>
      <c r="E129" s="84">
        <f>IF(B129&lt;=0.01,0,ROUND(B129*CHOOSE($B$3,Banco1!$C$5,Banco2!$C$5,Banco3!$C$5,Banco4!$C$5,Banco5!$C$5)/12,2))</f>
        <v/>
      </c>
      <c r="F129" s="83">
        <f>IF(B129&lt;=0.01,0,MAX(B129-D129,0))</f>
        <v/>
      </c>
      <c r="G129" s="85">
        <f>IFERROR(IF(Dashboard!C6&gt;0,1-(F129/Dashboard!C6),0),0)</f>
        <v/>
      </c>
    </row>
    <row r="130" ht="20" customHeight="1">
      <c r="A130" s="82" t="n">
        <v>125</v>
      </c>
      <c r="B130" s="83">
        <f>IF(F129&lt;=0.01,0,F129)</f>
        <v/>
      </c>
      <c r="C130" s="83">
        <f>IF(B130&lt;=0.01,0,IFERROR(-PMT(CHOOSE($B$3,Banco1!$C$5,Banco2!$C$5,Banco3!$C$5,Banco4!$C$5,Banco5!$C$5)/12,Dashboard!$C$7,Dashboard!$C$6),0))</f>
        <v/>
      </c>
      <c r="D130" s="83">
        <f>IF(B130&lt;=0.01,0,MIN(C130-E130,B130))</f>
        <v/>
      </c>
      <c r="E130" s="84">
        <f>IF(B130&lt;=0.01,0,ROUND(B130*CHOOSE($B$3,Banco1!$C$5,Banco2!$C$5,Banco3!$C$5,Banco4!$C$5,Banco5!$C$5)/12,2))</f>
        <v/>
      </c>
      <c r="F130" s="83">
        <f>IF(B130&lt;=0.01,0,MAX(B130-D130,0))</f>
        <v/>
      </c>
      <c r="G130" s="85">
        <f>IFERROR(IF(Dashboard!C6&gt;0,1-(F130/Dashboard!C6),0),0)</f>
        <v/>
      </c>
    </row>
    <row r="131" ht="20" customHeight="1">
      <c r="A131" s="82" t="n">
        <v>126</v>
      </c>
      <c r="B131" s="83">
        <f>IF(F130&lt;=0.01,0,F130)</f>
        <v/>
      </c>
      <c r="C131" s="83">
        <f>IF(B131&lt;=0.01,0,IFERROR(-PMT(CHOOSE($B$3,Banco1!$C$5,Banco2!$C$5,Banco3!$C$5,Banco4!$C$5,Banco5!$C$5)/12,Dashboard!$C$7,Dashboard!$C$6),0))</f>
        <v/>
      </c>
      <c r="D131" s="83">
        <f>IF(B131&lt;=0.01,0,MIN(C131-E131,B131))</f>
        <v/>
      </c>
      <c r="E131" s="84">
        <f>IF(B131&lt;=0.01,0,ROUND(B131*CHOOSE($B$3,Banco1!$C$5,Banco2!$C$5,Banco3!$C$5,Banco4!$C$5,Banco5!$C$5)/12,2))</f>
        <v/>
      </c>
      <c r="F131" s="83">
        <f>IF(B131&lt;=0.01,0,MAX(B131-D131,0))</f>
        <v/>
      </c>
      <c r="G131" s="85">
        <f>IFERROR(IF(Dashboard!C6&gt;0,1-(F131/Dashboard!C6),0),0)</f>
        <v/>
      </c>
    </row>
    <row r="132" ht="20" customHeight="1">
      <c r="A132" s="82" t="n">
        <v>127</v>
      </c>
      <c r="B132" s="83">
        <f>IF(F131&lt;=0.01,0,F131)</f>
        <v/>
      </c>
      <c r="C132" s="83">
        <f>IF(B132&lt;=0.01,0,IFERROR(-PMT(CHOOSE($B$3,Banco1!$C$5,Banco2!$C$5,Banco3!$C$5,Banco4!$C$5,Banco5!$C$5)/12,Dashboard!$C$7,Dashboard!$C$6),0))</f>
        <v/>
      </c>
      <c r="D132" s="83">
        <f>IF(B132&lt;=0.01,0,MIN(C132-E132,B132))</f>
        <v/>
      </c>
      <c r="E132" s="84">
        <f>IF(B132&lt;=0.01,0,ROUND(B132*CHOOSE($B$3,Banco1!$C$5,Banco2!$C$5,Banco3!$C$5,Banco4!$C$5,Banco5!$C$5)/12,2))</f>
        <v/>
      </c>
      <c r="F132" s="83">
        <f>IF(B132&lt;=0.01,0,MAX(B132-D132,0))</f>
        <v/>
      </c>
      <c r="G132" s="85">
        <f>IFERROR(IF(Dashboard!C6&gt;0,1-(F132/Dashboard!C6),0),0)</f>
        <v/>
      </c>
    </row>
    <row r="133" ht="20" customHeight="1">
      <c r="A133" s="82" t="n">
        <v>128</v>
      </c>
      <c r="B133" s="83">
        <f>IF(F132&lt;=0.01,0,F132)</f>
        <v/>
      </c>
      <c r="C133" s="83">
        <f>IF(B133&lt;=0.01,0,IFERROR(-PMT(CHOOSE($B$3,Banco1!$C$5,Banco2!$C$5,Banco3!$C$5,Banco4!$C$5,Banco5!$C$5)/12,Dashboard!$C$7,Dashboard!$C$6),0))</f>
        <v/>
      </c>
      <c r="D133" s="83">
        <f>IF(B133&lt;=0.01,0,MIN(C133-E133,B133))</f>
        <v/>
      </c>
      <c r="E133" s="84">
        <f>IF(B133&lt;=0.01,0,ROUND(B133*CHOOSE($B$3,Banco1!$C$5,Banco2!$C$5,Banco3!$C$5,Banco4!$C$5,Banco5!$C$5)/12,2))</f>
        <v/>
      </c>
      <c r="F133" s="83">
        <f>IF(B133&lt;=0.01,0,MAX(B133-D133,0))</f>
        <v/>
      </c>
      <c r="G133" s="85">
        <f>IFERROR(IF(Dashboard!C6&gt;0,1-(F133/Dashboard!C6),0),0)</f>
        <v/>
      </c>
    </row>
    <row r="134" ht="20" customHeight="1">
      <c r="A134" s="82" t="n">
        <v>129</v>
      </c>
      <c r="B134" s="83">
        <f>IF(F133&lt;=0.01,0,F133)</f>
        <v/>
      </c>
      <c r="C134" s="83">
        <f>IF(B134&lt;=0.01,0,IFERROR(-PMT(CHOOSE($B$3,Banco1!$C$5,Banco2!$C$5,Banco3!$C$5,Banco4!$C$5,Banco5!$C$5)/12,Dashboard!$C$7,Dashboard!$C$6),0))</f>
        <v/>
      </c>
      <c r="D134" s="83">
        <f>IF(B134&lt;=0.01,0,MIN(C134-E134,B134))</f>
        <v/>
      </c>
      <c r="E134" s="84">
        <f>IF(B134&lt;=0.01,0,ROUND(B134*CHOOSE($B$3,Banco1!$C$5,Banco2!$C$5,Banco3!$C$5,Banco4!$C$5,Banco5!$C$5)/12,2))</f>
        <v/>
      </c>
      <c r="F134" s="83">
        <f>IF(B134&lt;=0.01,0,MAX(B134-D134,0))</f>
        <v/>
      </c>
      <c r="G134" s="85">
        <f>IFERROR(IF(Dashboard!C6&gt;0,1-(F134/Dashboard!C6),0),0)</f>
        <v/>
      </c>
    </row>
    <row r="135" ht="20" customHeight="1">
      <c r="A135" s="82" t="n">
        <v>130</v>
      </c>
      <c r="B135" s="83">
        <f>IF(F134&lt;=0.01,0,F134)</f>
        <v/>
      </c>
      <c r="C135" s="83">
        <f>IF(B135&lt;=0.01,0,IFERROR(-PMT(CHOOSE($B$3,Banco1!$C$5,Banco2!$C$5,Banco3!$C$5,Banco4!$C$5,Banco5!$C$5)/12,Dashboard!$C$7,Dashboard!$C$6),0))</f>
        <v/>
      </c>
      <c r="D135" s="83">
        <f>IF(B135&lt;=0.01,0,MIN(C135-E135,B135))</f>
        <v/>
      </c>
      <c r="E135" s="84">
        <f>IF(B135&lt;=0.01,0,ROUND(B135*CHOOSE($B$3,Banco1!$C$5,Banco2!$C$5,Banco3!$C$5,Banco4!$C$5,Banco5!$C$5)/12,2))</f>
        <v/>
      </c>
      <c r="F135" s="83">
        <f>IF(B135&lt;=0.01,0,MAX(B135-D135,0))</f>
        <v/>
      </c>
      <c r="G135" s="85">
        <f>IFERROR(IF(Dashboard!C6&gt;0,1-(F135/Dashboard!C6),0),0)</f>
        <v/>
      </c>
    </row>
    <row r="136" ht="20" customHeight="1">
      <c r="A136" s="82" t="n">
        <v>131</v>
      </c>
      <c r="B136" s="83">
        <f>IF(F135&lt;=0.01,0,F135)</f>
        <v/>
      </c>
      <c r="C136" s="83">
        <f>IF(B136&lt;=0.01,0,IFERROR(-PMT(CHOOSE($B$3,Banco1!$C$5,Banco2!$C$5,Banco3!$C$5,Banco4!$C$5,Banco5!$C$5)/12,Dashboard!$C$7,Dashboard!$C$6),0))</f>
        <v/>
      </c>
      <c r="D136" s="83">
        <f>IF(B136&lt;=0.01,0,MIN(C136-E136,B136))</f>
        <v/>
      </c>
      <c r="E136" s="84">
        <f>IF(B136&lt;=0.01,0,ROUND(B136*CHOOSE($B$3,Banco1!$C$5,Banco2!$C$5,Banco3!$C$5,Banco4!$C$5,Banco5!$C$5)/12,2))</f>
        <v/>
      </c>
      <c r="F136" s="83">
        <f>IF(B136&lt;=0.01,0,MAX(B136-D136,0))</f>
        <v/>
      </c>
      <c r="G136" s="85">
        <f>IFERROR(IF(Dashboard!C6&gt;0,1-(F136/Dashboard!C6),0),0)</f>
        <v/>
      </c>
    </row>
    <row r="137" ht="20" customHeight="1">
      <c r="A137" s="82" t="n">
        <v>132</v>
      </c>
      <c r="B137" s="83">
        <f>IF(F136&lt;=0.01,0,F136)</f>
        <v/>
      </c>
      <c r="C137" s="83">
        <f>IF(B137&lt;=0.01,0,IFERROR(-PMT(CHOOSE($B$3,Banco1!$C$5,Banco2!$C$5,Banco3!$C$5,Banco4!$C$5,Banco5!$C$5)/12,Dashboard!$C$7,Dashboard!$C$6),0))</f>
        <v/>
      </c>
      <c r="D137" s="83">
        <f>IF(B137&lt;=0.01,0,MIN(C137-E137,B137))</f>
        <v/>
      </c>
      <c r="E137" s="84">
        <f>IF(B137&lt;=0.01,0,ROUND(B137*CHOOSE($B$3,Banco1!$C$5,Banco2!$C$5,Banco3!$C$5,Banco4!$C$5,Banco5!$C$5)/12,2))</f>
        <v/>
      </c>
      <c r="F137" s="83">
        <f>IF(B137&lt;=0.01,0,MAX(B137-D137,0))</f>
        <v/>
      </c>
      <c r="G137" s="85">
        <f>IFERROR(IF(Dashboard!C6&gt;0,1-(F137/Dashboard!C6),0),0)</f>
        <v/>
      </c>
    </row>
    <row r="138" ht="20" customHeight="1">
      <c r="A138" s="82" t="n">
        <v>133</v>
      </c>
      <c r="B138" s="83">
        <f>IF(F137&lt;=0.01,0,F137)</f>
        <v/>
      </c>
      <c r="C138" s="83">
        <f>IF(B138&lt;=0.01,0,IFERROR(-PMT(CHOOSE($B$3,Banco1!$C$5,Banco2!$C$5,Banco3!$C$5,Banco4!$C$5,Banco5!$C$5)/12,Dashboard!$C$7,Dashboard!$C$6),0))</f>
        <v/>
      </c>
      <c r="D138" s="83">
        <f>IF(B138&lt;=0.01,0,MIN(C138-E138,B138))</f>
        <v/>
      </c>
      <c r="E138" s="84">
        <f>IF(B138&lt;=0.01,0,ROUND(B138*CHOOSE($B$3,Banco1!$C$5,Banco2!$C$5,Banco3!$C$5,Banco4!$C$5,Banco5!$C$5)/12,2))</f>
        <v/>
      </c>
      <c r="F138" s="83">
        <f>IF(B138&lt;=0.01,0,MAX(B138-D138,0))</f>
        <v/>
      </c>
      <c r="G138" s="85">
        <f>IFERROR(IF(Dashboard!C6&gt;0,1-(F138/Dashboard!C6),0),0)</f>
        <v/>
      </c>
    </row>
    <row r="139" ht="20" customHeight="1">
      <c r="A139" s="82" t="n">
        <v>134</v>
      </c>
      <c r="B139" s="83">
        <f>IF(F138&lt;=0.01,0,F138)</f>
        <v/>
      </c>
      <c r="C139" s="83">
        <f>IF(B139&lt;=0.01,0,IFERROR(-PMT(CHOOSE($B$3,Banco1!$C$5,Banco2!$C$5,Banco3!$C$5,Banco4!$C$5,Banco5!$C$5)/12,Dashboard!$C$7,Dashboard!$C$6),0))</f>
        <v/>
      </c>
      <c r="D139" s="83">
        <f>IF(B139&lt;=0.01,0,MIN(C139-E139,B139))</f>
        <v/>
      </c>
      <c r="E139" s="84">
        <f>IF(B139&lt;=0.01,0,ROUND(B139*CHOOSE($B$3,Banco1!$C$5,Banco2!$C$5,Banco3!$C$5,Banco4!$C$5,Banco5!$C$5)/12,2))</f>
        <v/>
      </c>
      <c r="F139" s="83">
        <f>IF(B139&lt;=0.01,0,MAX(B139-D139,0))</f>
        <v/>
      </c>
      <c r="G139" s="85">
        <f>IFERROR(IF(Dashboard!C6&gt;0,1-(F139/Dashboard!C6),0),0)</f>
        <v/>
      </c>
    </row>
    <row r="140" ht="20" customHeight="1">
      <c r="A140" s="82" t="n">
        <v>135</v>
      </c>
      <c r="B140" s="83">
        <f>IF(F139&lt;=0.01,0,F139)</f>
        <v/>
      </c>
      <c r="C140" s="83">
        <f>IF(B140&lt;=0.01,0,IFERROR(-PMT(CHOOSE($B$3,Banco1!$C$5,Banco2!$C$5,Banco3!$C$5,Banco4!$C$5,Banco5!$C$5)/12,Dashboard!$C$7,Dashboard!$C$6),0))</f>
        <v/>
      </c>
      <c r="D140" s="83">
        <f>IF(B140&lt;=0.01,0,MIN(C140-E140,B140))</f>
        <v/>
      </c>
      <c r="E140" s="84">
        <f>IF(B140&lt;=0.01,0,ROUND(B140*CHOOSE($B$3,Banco1!$C$5,Banco2!$C$5,Banco3!$C$5,Banco4!$C$5,Banco5!$C$5)/12,2))</f>
        <v/>
      </c>
      <c r="F140" s="83">
        <f>IF(B140&lt;=0.01,0,MAX(B140-D140,0))</f>
        <v/>
      </c>
      <c r="G140" s="85">
        <f>IFERROR(IF(Dashboard!C6&gt;0,1-(F140/Dashboard!C6),0),0)</f>
        <v/>
      </c>
    </row>
    <row r="141" ht="20" customHeight="1">
      <c r="A141" s="82" t="n">
        <v>136</v>
      </c>
      <c r="B141" s="83">
        <f>IF(F140&lt;=0.01,0,F140)</f>
        <v/>
      </c>
      <c r="C141" s="83">
        <f>IF(B141&lt;=0.01,0,IFERROR(-PMT(CHOOSE($B$3,Banco1!$C$5,Banco2!$C$5,Banco3!$C$5,Banco4!$C$5,Banco5!$C$5)/12,Dashboard!$C$7,Dashboard!$C$6),0))</f>
        <v/>
      </c>
      <c r="D141" s="83">
        <f>IF(B141&lt;=0.01,0,MIN(C141-E141,B141))</f>
        <v/>
      </c>
      <c r="E141" s="84">
        <f>IF(B141&lt;=0.01,0,ROUND(B141*CHOOSE($B$3,Banco1!$C$5,Banco2!$C$5,Banco3!$C$5,Banco4!$C$5,Banco5!$C$5)/12,2))</f>
        <v/>
      </c>
      <c r="F141" s="83">
        <f>IF(B141&lt;=0.01,0,MAX(B141-D141,0))</f>
        <v/>
      </c>
      <c r="G141" s="85">
        <f>IFERROR(IF(Dashboard!C6&gt;0,1-(F141/Dashboard!C6),0),0)</f>
        <v/>
      </c>
    </row>
    <row r="142" ht="20" customHeight="1">
      <c r="A142" s="82" t="n">
        <v>137</v>
      </c>
      <c r="B142" s="83">
        <f>IF(F141&lt;=0.01,0,F141)</f>
        <v/>
      </c>
      <c r="C142" s="83">
        <f>IF(B142&lt;=0.01,0,IFERROR(-PMT(CHOOSE($B$3,Banco1!$C$5,Banco2!$C$5,Banco3!$C$5,Banco4!$C$5,Banco5!$C$5)/12,Dashboard!$C$7,Dashboard!$C$6),0))</f>
        <v/>
      </c>
      <c r="D142" s="83">
        <f>IF(B142&lt;=0.01,0,MIN(C142-E142,B142))</f>
        <v/>
      </c>
      <c r="E142" s="84">
        <f>IF(B142&lt;=0.01,0,ROUND(B142*CHOOSE($B$3,Banco1!$C$5,Banco2!$C$5,Banco3!$C$5,Banco4!$C$5,Banco5!$C$5)/12,2))</f>
        <v/>
      </c>
      <c r="F142" s="83">
        <f>IF(B142&lt;=0.01,0,MAX(B142-D142,0))</f>
        <v/>
      </c>
      <c r="G142" s="85">
        <f>IFERROR(IF(Dashboard!C6&gt;0,1-(F142/Dashboard!C6),0),0)</f>
        <v/>
      </c>
    </row>
    <row r="143" ht="20" customHeight="1">
      <c r="A143" s="82" t="n">
        <v>138</v>
      </c>
      <c r="B143" s="83">
        <f>IF(F142&lt;=0.01,0,F142)</f>
        <v/>
      </c>
      <c r="C143" s="83">
        <f>IF(B143&lt;=0.01,0,IFERROR(-PMT(CHOOSE($B$3,Banco1!$C$5,Banco2!$C$5,Banco3!$C$5,Banco4!$C$5,Banco5!$C$5)/12,Dashboard!$C$7,Dashboard!$C$6),0))</f>
        <v/>
      </c>
      <c r="D143" s="83">
        <f>IF(B143&lt;=0.01,0,MIN(C143-E143,B143))</f>
        <v/>
      </c>
      <c r="E143" s="84">
        <f>IF(B143&lt;=0.01,0,ROUND(B143*CHOOSE($B$3,Banco1!$C$5,Banco2!$C$5,Banco3!$C$5,Banco4!$C$5,Banco5!$C$5)/12,2))</f>
        <v/>
      </c>
      <c r="F143" s="83">
        <f>IF(B143&lt;=0.01,0,MAX(B143-D143,0))</f>
        <v/>
      </c>
      <c r="G143" s="85">
        <f>IFERROR(IF(Dashboard!C6&gt;0,1-(F143/Dashboard!C6),0),0)</f>
        <v/>
      </c>
    </row>
    <row r="144" ht="20" customHeight="1">
      <c r="A144" s="82" t="n">
        <v>139</v>
      </c>
      <c r="B144" s="83">
        <f>IF(F143&lt;=0.01,0,F143)</f>
        <v/>
      </c>
      <c r="C144" s="83">
        <f>IF(B144&lt;=0.01,0,IFERROR(-PMT(CHOOSE($B$3,Banco1!$C$5,Banco2!$C$5,Banco3!$C$5,Banco4!$C$5,Banco5!$C$5)/12,Dashboard!$C$7,Dashboard!$C$6),0))</f>
        <v/>
      </c>
      <c r="D144" s="83">
        <f>IF(B144&lt;=0.01,0,MIN(C144-E144,B144))</f>
        <v/>
      </c>
      <c r="E144" s="84">
        <f>IF(B144&lt;=0.01,0,ROUND(B144*CHOOSE($B$3,Banco1!$C$5,Banco2!$C$5,Banco3!$C$5,Banco4!$C$5,Banco5!$C$5)/12,2))</f>
        <v/>
      </c>
      <c r="F144" s="83">
        <f>IF(B144&lt;=0.01,0,MAX(B144-D144,0))</f>
        <v/>
      </c>
      <c r="G144" s="85">
        <f>IFERROR(IF(Dashboard!C6&gt;0,1-(F144/Dashboard!C6),0),0)</f>
        <v/>
      </c>
    </row>
    <row r="145" ht="20" customHeight="1">
      <c r="A145" s="82" t="n">
        <v>140</v>
      </c>
      <c r="B145" s="83">
        <f>IF(F144&lt;=0.01,0,F144)</f>
        <v/>
      </c>
      <c r="C145" s="83">
        <f>IF(B145&lt;=0.01,0,IFERROR(-PMT(CHOOSE($B$3,Banco1!$C$5,Banco2!$C$5,Banco3!$C$5,Banco4!$C$5,Banco5!$C$5)/12,Dashboard!$C$7,Dashboard!$C$6),0))</f>
        <v/>
      </c>
      <c r="D145" s="83">
        <f>IF(B145&lt;=0.01,0,MIN(C145-E145,B145))</f>
        <v/>
      </c>
      <c r="E145" s="84">
        <f>IF(B145&lt;=0.01,0,ROUND(B145*CHOOSE($B$3,Banco1!$C$5,Banco2!$C$5,Banco3!$C$5,Banco4!$C$5,Banco5!$C$5)/12,2))</f>
        <v/>
      </c>
      <c r="F145" s="83">
        <f>IF(B145&lt;=0.01,0,MAX(B145-D145,0))</f>
        <v/>
      </c>
      <c r="G145" s="85">
        <f>IFERROR(IF(Dashboard!C6&gt;0,1-(F145/Dashboard!C6),0),0)</f>
        <v/>
      </c>
    </row>
    <row r="146" ht="20" customHeight="1">
      <c r="A146" s="82" t="n">
        <v>141</v>
      </c>
      <c r="B146" s="83">
        <f>IF(F145&lt;=0.01,0,F145)</f>
        <v/>
      </c>
      <c r="C146" s="83">
        <f>IF(B146&lt;=0.01,0,IFERROR(-PMT(CHOOSE($B$3,Banco1!$C$5,Banco2!$C$5,Banco3!$C$5,Banco4!$C$5,Banco5!$C$5)/12,Dashboard!$C$7,Dashboard!$C$6),0))</f>
        <v/>
      </c>
      <c r="D146" s="83">
        <f>IF(B146&lt;=0.01,0,MIN(C146-E146,B146))</f>
        <v/>
      </c>
      <c r="E146" s="84">
        <f>IF(B146&lt;=0.01,0,ROUND(B146*CHOOSE($B$3,Banco1!$C$5,Banco2!$C$5,Banco3!$C$5,Banco4!$C$5,Banco5!$C$5)/12,2))</f>
        <v/>
      </c>
      <c r="F146" s="83">
        <f>IF(B146&lt;=0.01,0,MAX(B146-D146,0))</f>
        <v/>
      </c>
      <c r="G146" s="85">
        <f>IFERROR(IF(Dashboard!C6&gt;0,1-(F146/Dashboard!C6),0),0)</f>
        <v/>
      </c>
    </row>
    <row r="147" ht="20" customHeight="1">
      <c r="A147" s="82" t="n">
        <v>142</v>
      </c>
      <c r="B147" s="83">
        <f>IF(F146&lt;=0.01,0,F146)</f>
        <v/>
      </c>
      <c r="C147" s="83">
        <f>IF(B147&lt;=0.01,0,IFERROR(-PMT(CHOOSE($B$3,Banco1!$C$5,Banco2!$C$5,Banco3!$C$5,Banco4!$C$5,Banco5!$C$5)/12,Dashboard!$C$7,Dashboard!$C$6),0))</f>
        <v/>
      </c>
      <c r="D147" s="83">
        <f>IF(B147&lt;=0.01,0,MIN(C147-E147,B147))</f>
        <v/>
      </c>
      <c r="E147" s="84">
        <f>IF(B147&lt;=0.01,0,ROUND(B147*CHOOSE($B$3,Banco1!$C$5,Banco2!$C$5,Banco3!$C$5,Banco4!$C$5,Banco5!$C$5)/12,2))</f>
        <v/>
      </c>
      <c r="F147" s="83">
        <f>IF(B147&lt;=0.01,0,MAX(B147-D147,0))</f>
        <v/>
      </c>
      <c r="G147" s="85">
        <f>IFERROR(IF(Dashboard!C6&gt;0,1-(F147/Dashboard!C6),0),0)</f>
        <v/>
      </c>
    </row>
    <row r="148" ht="20" customHeight="1">
      <c r="A148" s="82" t="n">
        <v>143</v>
      </c>
      <c r="B148" s="83">
        <f>IF(F147&lt;=0.01,0,F147)</f>
        <v/>
      </c>
      <c r="C148" s="83">
        <f>IF(B148&lt;=0.01,0,IFERROR(-PMT(CHOOSE($B$3,Banco1!$C$5,Banco2!$C$5,Banco3!$C$5,Banco4!$C$5,Banco5!$C$5)/12,Dashboard!$C$7,Dashboard!$C$6),0))</f>
        <v/>
      </c>
      <c r="D148" s="83">
        <f>IF(B148&lt;=0.01,0,MIN(C148-E148,B148))</f>
        <v/>
      </c>
      <c r="E148" s="84">
        <f>IF(B148&lt;=0.01,0,ROUND(B148*CHOOSE($B$3,Banco1!$C$5,Banco2!$C$5,Banco3!$C$5,Banco4!$C$5,Banco5!$C$5)/12,2))</f>
        <v/>
      </c>
      <c r="F148" s="83">
        <f>IF(B148&lt;=0.01,0,MAX(B148-D148,0))</f>
        <v/>
      </c>
      <c r="G148" s="85">
        <f>IFERROR(IF(Dashboard!C6&gt;0,1-(F148/Dashboard!C6),0),0)</f>
        <v/>
      </c>
    </row>
    <row r="149" ht="20" customHeight="1">
      <c r="A149" s="82" t="n">
        <v>144</v>
      </c>
      <c r="B149" s="83">
        <f>IF(F148&lt;=0.01,0,F148)</f>
        <v/>
      </c>
      <c r="C149" s="83">
        <f>IF(B149&lt;=0.01,0,IFERROR(-PMT(CHOOSE($B$3,Banco1!$C$5,Banco2!$C$5,Banco3!$C$5,Banco4!$C$5,Banco5!$C$5)/12,Dashboard!$C$7,Dashboard!$C$6),0))</f>
        <v/>
      </c>
      <c r="D149" s="83">
        <f>IF(B149&lt;=0.01,0,MIN(C149-E149,B149))</f>
        <v/>
      </c>
      <c r="E149" s="84">
        <f>IF(B149&lt;=0.01,0,ROUND(B149*CHOOSE($B$3,Banco1!$C$5,Banco2!$C$5,Banco3!$C$5,Banco4!$C$5,Banco5!$C$5)/12,2))</f>
        <v/>
      </c>
      <c r="F149" s="83">
        <f>IF(B149&lt;=0.01,0,MAX(B149-D149,0))</f>
        <v/>
      </c>
      <c r="G149" s="85">
        <f>IFERROR(IF(Dashboard!C6&gt;0,1-(F149/Dashboard!C6),0),0)</f>
        <v/>
      </c>
    </row>
    <row r="150" ht="20" customHeight="1">
      <c r="A150" s="82" t="n">
        <v>145</v>
      </c>
      <c r="B150" s="83">
        <f>IF(F149&lt;=0.01,0,F149)</f>
        <v/>
      </c>
      <c r="C150" s="83">
        <f>IF(B150&lt;=0.01,0,IFERROR(-PMT(CHOOSE($B$3,Banco1!$C$5,Banco2!$C$5,Banco3!$C$5,Banco4!$C$5,Banco5!$C$5)/12,Dashboard!$C$7,Dashboard!$C$6),0))</f>
        <v/>
      </c>
      <c r="D150" s="83">
        <f>IF(B150&lt;=0.01,0,MIN(C150-E150,B150))</f>
        <v/>
      </c>
      <c r="E150" s="84">
        <f>IF(B150&lt;=0.01,0,ROUND(B150*CHOOSE($B$3,Banco1!$C$5,Banco2!$C$5,Banco3!$C$5,Banco4!$C$5,Banco5!$C$5)/12,2))</f>
        <v/>
      </c>
      <c r="F150" s="83">
        <f>IF(B150&lt;=0.01,0,MAX(B150-D150,0))</f>
        <v/>
      </c>
      <c r="G150" s="85">
        <f>IFERROR(IF(Dashboard!C6&gt;0,1-(F150/Dashboard!C6),0),0)</f>
        <v/>
      </c>
    </row>
    <row r="151" ht="20" customHeight="1">
      <c r="A151" s="82" t="n">
        <v>146</v>
      </c>
      <c r="B151" s="83">
        <f>IF(F150&lt;=0.01,0,F150)</f>
        <v/>
      </c>
      <c r="C151" s="83">
        <f>IF(B151&lt;=0.01,0,IFERROR(-PMT(CHOOSE($B$3,Banco1!$C$5,Banco2!$C$5,Banco3!$C$5,Banco4!$C$5,Banco5!$C$5)/12,Dashboard!$C$7,Dashboard!$C$6),0))</f>
        <v/>
      </c>
      <c r="D151" s="83">
        <f>IF(B151&lt;=0.01,0,MIN(C151-E151,B151))</f>
        <v/>
      </c>
      <c r="E151" s="84">
        <f>IF(B151&lt;=0.01,0,ROUND(B151*CHOOSE($B$3,Banco1!$C$5,Banco2!$C$5,Banco3!$C$5,Banco4!$C$5,Banco5!$C$5)/12,2))</f>
        <v/>
      </c>
      <c r="F151" s="83">
        <f>IF(B151&lt;=0.01,0,MAX(B151-D151,0))</f>
        <v/>
      </c>
      <c r="G151" s="85">
        <f>IFERROR(IF(Dashboard!C6&gt;0,1-(F151/Dashboard!C6),0),0)</f>
        <v/>
      </c>
    </row>
    <row r="152" ht="20" customHeight="1">
      <c r="A152" s="82" t="n">
        <v>147</v>
      </c>
      <c r="B152" s="83">
        <f>IF(F151&lt;=0.01,0,F151)</f>
        <v/>
      </c>
      <c r="C152" s="83">
        <f>IF(B152&lt;=0.01,0,IFERROR(-PMT(CHOOSE($B$3,Banco1!$C$5,Banco2!$C$5,Banco3!$C$5,Banco4!$C$5,Banco5!$C$5)/12,Dashboard!$C$7,Dashboard!$C$6),0))</f>
        <v/>
      </c>
      <c r="D152" s="83">
        <f>IF(B152&lt;=0.01,0,MIN(C152-E152,B152))</f>
        <v/>
      </c>
      <c r="E152" s="84">
        <f>IF(B152&lt;=0.01,0,ROUND(B152*CHOOSE($B$3,Banco1!$C$5,Banco2!$C$5,Banco3!$C$5,Banco4!$C$5,Banco5!$C$5)/12,2))</f>
        <v/>
      </c>
      <c r="F152" s="83">
        <f>IF(B152&lt;=0.01,0,MAX(B152-D152,0))</f>
        <v/>
      </c>
      <c r="G152" s="85">
        <f>IFERROR(IF(Dashboard!C6&gt;0,1-(F152/Dashboard!C6),0),0)</f>
        <v/>
      </c>
    </row>
    <row r="153" ht="20" customHeight="1">
      <c r="A153" s="82" t="n">
        <v>148</v>
      </c>
      <c r="B153" s="83">
        <f>IF(F152&lt;=0.01,0,F152)</f>
        <v/>
      </c>
      <c r="C153" s="83">
        <f>IF(B153&lt;=0.01,0,IFERROR(-PMT(CHOOSE($B$3,Banco1!$C$5,Banco2!$C$5,Banco3!$C$5,Banco4!$C$5,Banco5!$C$5)/12,Dashboard!$C$7,Dashboard!$C$6),0))</f>
        <v/>
      </c>
      <c r="D153" s="83">
        <f>IF(B153&lt;=0.01,0,MIN(C153-E153,B153))</f>
        <v/>
      </c>
      <c r="E153" s="84">
        <f>IF(B153&lt;=0.01,0,ROUND(B153*CHOOSE($B$3,Banco1!$C$5,Banco2!$C$5,Banco3!$C$5,Banco4!$C$5,Banco5!$C$5)/12,2))</f>
        <v/>
      </c>
      <c r="F153" s="83">
        <f>IF(B153&lt;=0.01,0,MAX(B153-D153,0))</f>
        <v/>
      </c>
      <c r="G153" s="85">
        <f>IFERROR(IF(Dashboard!C6&gt;0,1-(F153/Dashboard!C6),0),0)</f>
        <v/>
      </c>
    </row>
    <row r="154" ht="20" customHeight="1">
      <c r="A154" s="82" t="n">
        <v>149</v>
      </c>
      <c r="B154" s="83">
        <f>IF(F153&lt;=0.01,0,F153)</f>
        <v/>
      </c>
      <c r="C154" s="83">
        <f>IF(B154&lt;=0.01,0,IFERROR(-PMT(CHOOSE($B$3,Banco1!$C$5,Banco2!$C$5,Banco3!$C$5,Banco4!$C$5,Banco5!$C$5)/12,Dashboard!$C$7,Dashboard!$C$6),0))</f>
        <v/>
      </c>
      <c r="D154" s="83">
        <f>IF(B154&lt;=0.01,0,MIN(C154-E154,B154))</f>
        <v/>
      </c>
      <c r="E154" s="84">
        <f>IF(B154&lt;=0.01,0,ROUND(B154*CHOOSE($B$3,Banco1!$C$5,Banco2!$C$5,Banco3!$C$5,Banco4!$C$5,Banco5!$C$5)/12,2))</f>
        <v/>
      </c>
      <c r="F154" s="83">
        <f>IF(B154&lt;=0.01,0,MAX(B154-D154,0))</f>
        <v/>
      </c>
      <c r="G154" s="85">
        <f>IFERROR(IF(Dashboard!C6&gt;0,1-(F154/Dashboard!C6),0),0)</f>
        <v/>
      </c>
    </row>
    <row r="155" ht="20" customHeight="1">
      <c r="A155" s="82" t="n">
        <v>150</v>
      </c>
      <c r="B155" s="83">
        <f>IF(F154&lt;=0.01,0,F154)</f>
        <v/>
      </c>
      <c r="C155" s="83">
        <f>IF(B155&lt;=0.01,0,IFERROR(-PMT(CHOOSE($B$3,Banco1!$C$5,Banco2!$C$5,Banco3!$C$5,Banco4!$C$5,Banco5!$C$5)/12,Dashboard!$C$7,Dashboard!$C$6),0))</f>
        <v/>
      </c>
      <c r="D155" s="83">
        <f>IF(B155&lt;=0.01,0,MIN(C155-E155,B155))</f>
        <v/>
      </c>
      <c r="E155" s="84">
        <f>IF(B155&lt;=0.01,0,ROUND(B155*CHOOSE($B$3,Banco1!$C$5,Banco2!$C$5,Banco3!$C$5,Banco4!$C$5,Banco5!$C$5)/12,2))</f>
        <v/>
      </c>
      <c r="F155" s="83">
        <f>IF(B155&lt;=0.01,0,MAX(B155-D155,0))</f>
        <v/>
      </c>
      <c r="G155" s="85">
        <f>IFERROR(IF(Dashboard!C6&gt;0,1-(F155/Dashboard!C6),0),0)</f>
        <v/>
      </c>
    </row>
    <row r="156" ht="20" customHeight="1">
      <c r="A156" s="82" t="n">
        <v>151</v>
      </c>
      <c r="B156" s="83">
        <f>IF(F155&lt;=0.01,0,F155)</f>
        <v/>
      </c>
      <c r="C156" s="83">
        <f>IF(B156&lt;=0.01,0,IFERROR(-PMT(CHOOSE($B$3,Banco1!$C$5,Banco2!$C$5,Banco3!$C$5,Banco4!$C$5,Banco5!$C$5)/12,Dashboard!$C$7,Dashboard!$C$6),0))</f>
        <v/>
      </c>
      <c r="D156" s="83">
        <f>IF(B156&lt;=0.01,0,MIN(C156-E156,B156))</f>
        <v/>
      </c>
      <c r="E156" s="84">
        <f>IF(B156&lt;=0.01,0,ROUND(B156*CHOOSE($B$3,Banco1!$C$5,Banco2!$C$5,Banco3!$C$5,Banco4!$C$5,Banco5!$C$5)/12,2))</f>
        <v/>
      </c>
      <c r="F156" s="83">
        <f>IF(B156&lt;=0.01,0,MAX(B156-D156,0))</f>
        <v/>
      </c>
      <c r="G156" s="85">
        <f>IFERROR(IF(Dashboard!C6&gt;0,1-(F156/Dashboard!C6),0),0)</f>
        <v/>
      </c>
    </row>
    <row r="157" ht="20" customHeight="1">
      <c r="A157" s="82" t="n">
        <v>152</v>
      </c>
      <c r="B157" s="83">
        <f>IF(F156&lt;=0.01,0,F156)</f>
        <v/>
      </c>
      <c r="C157" s="83">
        <f>IF(B157&lt;=0.01,0,IFERROR(-PMT(CHOOSE($B$3,Banco1!$C$5,Banco2!$C$5,Banco3!$C$5,Banco4!$C$5,Banco5!$C$5)/12,Dashboard!$C$7,Dashboard!$C$6),0))</f>
        <v/>
      </c>
      <c r="D157" s="83">
        <f>IF(B157&lt;=0.01,0,MIN(C157-E157,B157))</f>
        <v/>
      </c>
      <c r="E157" s="84">
        <f>IF(B157&lt;=0.01,0,ROUND(B157*CHOOSE($B$3,Banco1!$C$5,Banco2!$C$5,Banco3!$C$5,Banco4!$C$5,Banco5!$C$5)/12,2))</f>
        <v/>
      </c>
      <c r="F157" s="83">
        <f>IF(B157&lt;=0.01,0,MAX(B157-D157,0))</f>
        <v/>
      </c>
      <c r="G157" s="85">
        <f>IFERROR(IF(Dashboard!C6&gt;0,1-(F157/Dashboard!C6),0),0)</f>
        <v/>
      </c>
    </row>
    <row r="158" ht="20" customHeight="1">
      <c r="A158" s="82" t="n">
        <v>153</v>
      </c>
      <c r="B158" s="83">
        <f>IF(F157&lt;=0.01,0,F157)</f>
        <v/>
      </c>
      <c r="C158" s="83">
        <f>IF(B158&lt;=0.01,0,IFERROR(-PMT(CHOOSE($B$3,Banco1!$C$5,Banco2!$C$5,Banco3!$C$5,Banco4!$C$5,Banco5!$C$5)/12,Dashboard!$C$7,Dashboard!$C$6),0))</f>
        <v/>
      </c>
      <c r="D158" s="83">
        <f>IF(B158&lt;=0.01,0,MIN(C158-E158,B158))</f>
        <v/>
      </c>
      <c r="E158" s="84">
        <f>IF(B158&lt;=0.01,0,ROUND(B158*CHOOSE($B$3,Banco1!$C$5,Banco2!$C$5,Banco3!$C$5,Banco4!$C$5,Banco5!$C$5)/12,2))</f>
        <v/>
      </c>
      <c r="F158" s="83">
        <f>IF(B158&lt;=0.01,0,MAX(B158-D158,0))</f>
        <v/>
      </c>
      <c r="G158" s="85">
        <f>IFERROR(IF(Dashboard!C6&gt;0,1-(F158/Dashboard!C6),0),0)</f>
        <v/>
      </c>
    </row>
    <row r="159" ht="20" customHeight="1">
      <c r="A159" s="82" t="n">
        <v>154</v>
      </c>
      <c r="B159" s="83">
        <f>IF(F158&lt;=0.01,0,F158)</f>
        <v/>
      </c>
      <c r="C159" s="83">
        <f>IF(B159&lt;=0.01,0,IFERROR(-PMT(CHOOSE($B$3,Banco1!$C$5,Banco2!$C$5,Banco3!$C$5,Banco4!$C$5,Banco5!$C$5)/12,Dashboard!$C$7,Dashboard!$C$6),0))</f>
        <v/>
      </c>
      <c r="D159" s="83">
        <f>IF(B159&lt;=0.01,0,MIN(C159-E159,B159))</f>
        <v/>
      </c>
      <c r="E159" s="84">
        <f>IF(B159&lt;=0.01,0,ROUND(B159*CHOOSE($B$3,Banco1!$C$5,Banco2!$C$5,Banco3!$C$5,Banco4!$C$5,Banco5!$C$5)/12,2))</f>
        <v/>
      </c>
      <c r="F159" s="83">
        <f>IF(B159&lt;=0.01,0,MAX(B159-D159,0))</f>
        <v/>
      </c>
      <c r="G159" s="85">
        <f>IFERROR(IF(Dashboard!C6&gt;0,1-(F159/Dashboard!C6),0),0)</f>
        <v/>
      </c>
    </row>
    <row r="160" ht="20" customHeight="1">
      <c r="A160" s="82" t="n">
        <v>155</v>
      </c>
      <c r="B160" s="83">
        <f>IF(F159&lt;=0.01,0,F159)</f>
        <v/>
      </c>
      <c r="C160" s="83">
        <f>IF(B160&lt;=0.01,0,IFERROR(-PMT(CHOOSE($B$3,Banco1!$C$5,Banco2!$C$5,Banco3!$C$5,Banco4!$C$5,Banco5!$C$5)/12,Dashboard!$C$7,Dashboard!$C$6),0))</f>
        <v/>
      </c>
      <c r="D160" s="83">
        <f>IF(B160&lt;=0.01,0,MIN(C160-E160,B160))</f>
        <v/>
      </c>
      <c r="E160" s="84">
        <f>IF(B160&lt;=0.01,0,ROUND(B160*CHOOSE($B$3,Banco1!$C$5,Banco2!$C$5,Banco3!$C$5,Banco4!$C$5,Banco5!$C$5)/12,2))</f>
        <v/>
      </c>
      <c r="F160" s="83">
        <f>IF(B160&lt;=0.01,0,MAX(B160-D160,0))</f>
        <v/>
      </c>
      <c r="G160" s="85">
        <f>IFERROR(IF(Dashboard!C6&gt;0,1-(F160/Dashboard!C6),0),0)</f>
        <v/>
      </c>
    </row>
    <row r="161" ht="20" customHeight="1">
      <c r="A161" s="82" t="n">
        <v>156</v>
      </c>
      <c r="B161" s="83">
        <f>IF(F160&lt;=0.01,0,F160)</f>
        <v/>
      </c>
      <c r="C161" s="83">
        <f>IF(B161&lt;=0.01,0,IFERROR(-PMT(CHOOSE($B$3,Banco1!$C$5,Banco2!$C$5,Banco3!$C$5,Banco4!$C$5,Banco5!$C$5)/12,Dashboard!$C$7,Dashboard!$C$6),0))</f>
        <v/>
      </c>
      <c r="D161" s="83">
        <f>IF(B161&lt;=0.01,0,MIN(C161-E161,B161))</f>
        <v/>
      </c>
      <c r="E161" s="84">
        <f>IF(B161&lt;=0.01,0,ROUND(B161*CHOOSE($B$3,Banco1!$C$5,Banco2!$C$5,Banco3!$C$5,Banco4!$C$5,Banco5!$C$5)/12,2))</f>
        <v/>
      </c>
      <c r="F161" s="83">
        <f>IF(B161&lt;=0.01,0,MAX(B161-D161,0))</f>
        <v/>
      </c>
      <c r="G161" s="85">
        <f>IFERROR(IF(Dashboard!C6&gt;0,1-(F161/Dashboard!C6),0),0)</f>
        <v/>
      </c>
    </row>
    <row r="162" ht="20" customHeight="1">
      <c r="A162" s="82" t="n">
        <v>157</v>
      </c>
      <c r="B162" s="83">
        <f>IF(F161&lt;=0.01,0,F161)</f>
        <v/>
      </c>
      <c r="C162" s="83">
        <f>IF(B162&lt;=0.01,0,IFERROR(-PMT(CHOOSE($B$3,Banco1!$C$5,Banco2!$C$5,Banco3!$C$5,Banco4!$C$5,Banco5!$C$5)/12,Dashboard!$C$7,Dashboard!$C$6),0))</f>
        <v/>
      </c>
      <c r="D162" s="83">
        <f>IF(B162&lt;=0.01,0,MIN(C162-E162,B162))</f>
        <v/>
      </c>
      <c r="E162" s="84">
        <f>IF(B162&lt;=0.01,0,ROUND(B162*CHOOSE($B$3,Banco1!$C$5,Banco2!$C$5,Banco3!$C$5,Banco4!$C$5,Banco5!$C$5)/12,2))</f>
        <v/>
      </c>
      <c r="F162" s="83">
        <f>IF(B162&lt;=0.01,0,MAX(B162-D162,0))</f>
        <v/>
      </c>
      <c r="G162" s="85">
        <f>IFERROR(IF(Dashboard!C6&gt;0,1-(F162/Dashboard!C6),0),0)</f>
        <v/>
      </c>
    </row>
    <row r="163" ht="20" customHeight="1">
      <c r="A163" s="82" t="n">
        <v>158</v>
      </c>
      <c r="B163" s="83">
        <f>IF(F162&lt;=0.01,0,F162)</f>
        <v/>
      </c>
      <c r="C163" s="83">
        <f>IF(B163&lt;=0.01,0,IFERROR(-PMT(CHOOSE($B$3,Banco1!$C$5,Banco2!$C$5,Banco3!$C$5,Banco4!$C$5,Banco5!$C$5)/12,Dashboard!$C$7,Dashboard!$C$6),0))</f>
        <v/>
      </c>
      <c r="D163" s="83">
        <f>IF(B163&lt;=0.01,0,MIN(C163-E163,B163))</f>
        <v/>
      </c>
      <c r="E163" s="84">
        <f>IF(B163&lt;=0.01,0,ROUND(B163*CHOOSE($B$3,Banco1!$C$5,Banco2!$C$5,Banco3!$C$5,Banco4!$C$5,Banco5!$C$5)/12,2))</f>
        <v/>
      </c>
      <c r="F163" s="83">
        <f>IF(B163&lt;=0.01,0,MAX(B163-D163,0))</f>
        <v/>
      </c>
      <c r="G163" s="85">
        <f>IFERROR(IF(Dashboard!C6&gt;0,1-(F163/Dashboard!C6),0),0)</f>
        <v/>
      </c>
    </row>
    <row r="164" ht="20" customHeight="1">
      <c r="A164" s="82" t="n">
        <v>159</v>
      </c>
      <c r="B164" s="83">
        <f>IF(F163&lt;=0.01,0,F163)</f>
        <v/>
      </c>
      <c r="C164" s="83">
        <f>IF(B164&lt;=0.01,0,IFERROR(-PMT(CHOOSE($B$3,Banco1!$C$5,Banco2!$C$5,Banco3!$C$5,Banco4!$C$5,Banco5!$C$5)/12,Dashboard!$C$7,Dashboard!$C$6),0))</f>
        <v/>
      </c>
      <c r="D164" s="83">
        <f>IF(B164&lt;=0.01,0,MIN(C164-E164,B164))</f>
        <v/>
      </c>
      <c r="E164" s="84">
        <f>IF(B164&lt;=0.01,0,ROUND(B164*CHOOSE($B$3,Banco1!$C$5,Banco2!$C$5,Banco3!$C$5,Banco4!$C$5,Banco5!$C$5)/12,2))</f>
        <v/>
      </c>
      <c r="F164" s="83">
        <f>IF(B164&lt;=0.01,0,MAX(B164-D164,0))</f>
        <v/>
      </c>
      <c r="G164" s="85">
        <f>IFERROR(IF(Dashboard!C6&gt;0,1-(F164/Dashboard!C6),0),0)</f>
        <v/>
      </c>
    </row>
    <row r="165" ht="20" customHeight="1">
      <c r="A165" s="82" t="n">
        <v>160</v>
      </c>
      <c r="B165" s="83">
        <f>IF(F164&lt;=0.01,0,F164)</f>
        <v/>
      </c>
      <c r="C165" s="83">
        <f>IF(B165&lt;=0.01,0,IFERROR(-PMT(CHOOSE($B$3,Banco1!$C$5,Banco2!$C$5,Banco3!$C$5,Banco4!$C$5,Banco5!$C$5)/12,Dashboard!$C$7,Dashboard!$C$6),0))</f>
        <v/>
      </c>
      <c r="D165" s="83">
        <f>IF(B165&lt;=0.01,0,MIN(C165-E165,B165))</f>
        <v/>
      </c>
      <c r="E165" s="84">
        <f>IF(B165&lt;=0.01,0,ROUND(B165*CHOOSE($B$3,Banco1!$C$5,Banco2!$C$5,Banco3!$C$5,Banco4!$C$5,Banco5!$C$5)/12,2))</f>
        <v/>
      </c>
      <c r="F165" s="83">
        <f>IF(B165&lt;=0.01,0,MAX(B165-D165,0))</f>
        <v/>
      </c>
      <c r="G165" s="85">
        <f>IFERROR(IF(Dashboard!C6&gt;0,1-(F165/Dashboard!C6),0),0)</f>
        <v/>
      </c>
    </row>
    <row r="166" ht="20" customHeight="1">
      <c r="A166" s="82" t="n">
        <v>161</v>
      </c>
      <c r="B166" s="83">
        <f>IF(F165&lt;=0.01,0,F165)</f>
        <v/>
      </c>
      <c r="C166" s="83">
        <f>IF(B166&lt;=0.01,0,IFERROR(-PMT(CHOOSE($B$3,Banco1!$C$5,Banco2!$C$5,Banco3!$C$5,Banco4!$C$5,Banco5!$C$5)/12,Dashboard!$C$7,Dashboard!$C$6),0))</f>
        <v/>
      </c>
      <c r="D166" s="83">
        <f>IF(B166&lt;=0.01,0,MIN(C166-E166,B166))</f>
        <v/>
      </c>
      <c r="E166" s="84">
        <f>IF(B166&lt;=0.01,0,ROUND(B166*CHOOSE($B$3,Banco1!$C$5,Banco2!$C$5,Banco3!$C$5,Banco4!$C$5,Banco5!$C$5)/12,2))</f>
        <v/>
      </c>
      <c r="F166" s="83">
        <f>IF(B166&lt;=0.01,0,MAX(B166-D166,0))</f>
        <v/>
      </c>
      <c r="G166" s="85">
        <f>IFERROR(IF(Dashboard!C6&gt;0,1-(F166/Dashboard!C6),0),0)</f>
        <v/>
      </c>
    </row>
    <row r="167" ht="20" customHeight="1">
      <c r="A167" s="82" t="n">
        <v>162</v>
      </c>
      <c r="B167" s="83">
        <f>IF(F166&lt;=0.01,0,F166)</f>
        <v/>
      </c>
      <c r="C167" s="83">
        <f>IF(B167&lt;=0.01,0,IFERROR(-PMT(CHOOSE($B$3,Banco1!$C$5,Banco2!$C$5,Banco3!$C$5,Banco4!$C$5,Banco5!$C$5)/12,Dashboard!$C$7,Dashboard!$C$6),0))</f>
        <v/>
      </c>
      <c r="D167" s="83">
        <f>IF(B167&lt;=0.01,0,MIN(C167-E167,B167))</f>
        <v/>
      </c>
      <c r="E167" s="84">
        <f>IF(B167&lt;=0.01,0,ROUND(B167*CHOOSE($B$3,Banco1!$C$5,Banco2!$C$5,Banco3!$C$5,Banco4!$C$5,Banco5!$C$5)/12,2))</f>
        <v/>
      </c>
      <c r="F167" s="83">
        <f>IF(B167&lt;=0.01,0,MAX(B167-D167,0))</f>
        <v/>
      </c>
      <c r="G167" s="85">
        <f>IFERROR(IF(Dashboard!C6&gt;0,1-(F167/Dashboard!C6),0),0)</f>
        <v/>
      </c>
    </row>
    <row r="168" ht="20" customHeight="1">
      <c r="A168" s="82" t="n">
        <v>163</v>
      </c>
      <c r="B168" s="83">
        <f>IF(F167&lt;=0.01,0,F167)</f>
        <v/>
      </c>
      <c r="C168" s="83">
        <f>IF(B168&lt;=0.01,0,IFERROR(-PMT(CHOOSE($B$3,Banco1!$C$5,Banco2!$C$5,Banco3!$C$5,Banco4!$C$5,Banco5!$C$5)/12,Dashboard!$C$7,Dashboard!$C$6),0))</f>
        <v/>
      </c>
      <c r="D168" s="83">
        <f>IF(B168&lt;=0.01,0,MIN(C168-E168,B168))</f>
        <v/>
      </c>
      <c r="E168" s="84">
        <f>IF(B168&lt;=0.01,0,ROUND(B168*CHOOSE($B$3,Banco1!$C$5,Banco2!$C$5,Banco3!$C$5,Banco4!$C$5,Banco5!$C$5)/12,2))</f>
        <v/>
      </c>
      <c r="F168" s="83">
        <f>IF(B168&lt;=0.01,0,MAX(B168-D168,0))</f>
        <v/>
      </c>
      <c r="G168" s="85">
        <f>IFERROR(IF(Dashboard!C6&gt;0,1-(F168/Dashboard!C6),0),0)</f>
        <v/>
      </c>
    </row>
    <row r="169" ht="20" customHeight="1">
      <c r="A169" s="82" t="n">
        <v>164</v>
      </c>
      <c r="B169" s="83">
        <f>IF(F168&lt;=0.01,0,F168)</f>
        <v/>
      </c>
      <c r="C169" s="83">
        <f>IF(B169&lt;=0.01,0,IFERROR(-PMT(CHOOSE($B$3,Banco1!$C$5,Banco2!$C$5,Banco3!$C$5,Banco4!$C$5,Banco5!$C$5)/12,Dashboard!$C$7,Dashboard!$C$6),0))</f>
        <v/>
      </c>
      <c r="D169" s="83">
        <f>IF(B169&lt;=0.01,0,MIN(C169-E169,B169))</f>
        <v/>
      </c>
      <c r="E169" s="84">
        <f>IF(B169&lt;=0.01,0,ROUND(B169*CHOOSE($B$3,Banco1!$C$5,Banco2!$C$5,Banco3!$C$5,Banco4!$C$5,Banco5!$C$5)/12,2))</f>
        <v/>
      </c>
      <c r="F169" s="83">
        <f>IF(B169&lt;=0.01,0,MAX(B169-D169,0))</f>
        <v/>
      </c>
      <c r="G169" s="85">
        <f>IFERROR(IF(Dashboard!C6&gt;0,1-(F169/Dashboard!C6),0),0)</f>
        <v/>
      </c>
    </row>
    <row r="170" ht="20" customHeight="1">
      <c r="A170" s="82" t="n">
        <v>165</v>
      </c>
      <c r="B170" s="83">
        <f>IF(F169&lt;=0.01,0,F169)</f>
        <v/>
      </c>
      <c r="C170" s="83">
        <f>IF(B170&lt;=0.01,0,IFERROR(-PMT(CHOOSE($B$3,Banco1!$C$5,Banco2!$C$5,Banco3!$C$5,Banco4!$C$5,Banco5!$C$5)/12,Dashboard!$C$7,Dashboard!$C$6),0))</f>
        <v/>
      </c>
      <c r="D170" s="83">
        <f>IF(B170&lt;=0.01,0,MIN(C170-E170,B170))</f>
        <v/>
      </c>
      <c r="E170" s="84">
        <f>IF(B170&lt;=0.01,0,ROUND(B170*CHOOSE($B$3,Banco1!$C$5,Banco2!$C$5,Banco3!$C$5,Banco4!$C$5,Banco5!$C$5)/12,2))</f>
        <v/>
      </c>
      <c r="F170" s="83">
        <f>IF(B170&lt;=0.01,0,MAX(B170-D170,0))</f>
        <v/>
      </c>
      <c r="G170" s="85">
        <f>IFERROR(IF(Dashboard!C6&gt;0,1-(F170/Dashboard!C6),0),0)</f>
        <v/>
      </c>
    </row>
    <row r="171" ht="20" customHeight="1">
      <c r="A171" s="82" t="n">
        <v>166</v>
      </c>
      <c r="B171" s="83">
        <f>IF(F170&lt;=0.01,0,F170)</f>
        <v/>
      </c>
      <c r="C171" s="83">
        <f>IF(B171&lt;=0.01,0,IFERROR(-PMT(CHOOSE($B$3,Banco1!$C$5,Banco2!$C$5,Banco3!$C$5,Banco4!$C$5,Banco5!$C$5)/12,Dashboard!$C$7,Dashboard!$C$6),0))</f>
        <v/>
      </c>
      <c r="D171" s="83">
        <f>IF(B171&lt;=0.01,0,MIN(C171-E171,B171))</f>
        <v/>
      </c>
      <c r="E171" s="84">
        <f>IF(B171&lt;=0.01,0,ROUND(B171*CHOOSE($B$3,Banco1!$C$5,Banco2!$C$5,Banco3!$C$5,Banco4!$C$5,Banco5!$C$5)/12,2))</f>
        <v/>
      </c>
      <c r="F171" s="83">
        <f>IF(B171&lt;=0.01,0,MAX(B171-D171,0))</f>
        <v/>
      </c>
      <c r="G171" s="85">
        <f>IFERROR(IF(Dashboard!C6&gt;0,1-(F171/Dashboard!C6),0),0)</f>
        <v/>
      </c>
    </row>
    <row r="172" ht="20" customHeight="1">
      <c r="A172" s="82" t="n">
        <v>167</v>
      </c>
      <c r="B172" s="83">
        <f>IF(F171&lt;=0.01,0,F171)</f>
        <v/>
      </c>
      <c r="C172" s="83">
        <f>IF(B172&lt;=0.01,0,IFERROR(-PMT(CHOOSE($B$3,Banco1!$C$5,Banco2!$C$5,Banco3!$C$5,Banco4!$C$5,Banco5!$C$5)/12,Dashboard!$C$7,Dashboard!$C$6),0))</f>
        <v/>
      </c>
      <c r="D172" s="83">
        <f>IF(B172&lt;=0.01,0,MIN(C172-E172,B172))</f>
        <v/>
      </c>
      <c r="E172" s="84">
        <f>IF(B172&lt;=0.01,0,ROUND(B172*CHOOSE($B$3,Banco1!$C$5,Banco2!$C$5,Banco3!$C$5,Banco4!$C$5,Banco5!$C$5)/12,2))</f>
        <v/>
      </c>
      <c r="F172" s="83">
        <f>IF(B172&lt;=0.01,0,MAX(B172-D172,0))</f>
        <v/>
      </c>
      <c r="G172" s="85">
        <f>IFERROR(IF(Dashboard!C6&gt;0,1-(F172/Dashboard!C6),0),0)</f>
        <v/>
      </c>
    </row>
    <row r="173" ht="20" customHeight="1">
      <c r="A173" s="82" t="n">
        <v>168</v>
      </c>
      <c r="B173" s="83">
        <f>IF(F172&lt;=0.01,0,F172)</f>
        <v/>
      </c>
      <c r="C173" s="83">
        <f>IF(B173&lt;=0.01,0,IFERROR(-PMT(CHOOSE($B$3,Banco1!$C$5,Banco2!$C$5,Banco3!$C$5,Banco4!$C$5,Banco5!$C$5)/12,Dashboard!$C$7,Dashboard!$C$6),0))</f>
        <v/>
      </c>
      <c r="D173" s="83">
        <f>IF(B173&lt;=0.01,0,MIN(C173-E173,B173))</f>
        <v/>
      </c>
      <c r="E173" s="84">
        <f>IF(B173&lt;=0.01,0,ROUND(B173*CHOOSE($B$3,Banco1!$C$5,Banco2!$C$5,Banco3!$C$5,Banco4!$C$5,Banco5!$C$5)/12,2))</f>
        <v/>
      </c>
      <c r="F173" s="83">
        <f>IF(B173&lt;=0.01,0,MAX(B173-D173,0))</f>
        <v/>
      </c>
      <c r="G173" s="85">
        <f>IFERROR(IF(Dashboard!C6&gt;0,1-(F173/Dashboard!C6),0),0)</f>
        <v/>
      </c>
    </row>
    <row r="174" ht="20" customHeight="1">
      <c r="A174" s="82" t="n">
        <v>169</v>
      </c>
      <c r="B174" s="83">
        <f>IF(F173&lt;=0.01,0,F173)</f>
        <v/>
      </c>
      <c r="C174" s="83">
        <f>IF(B174&lt;=0.01,0,IFERROR(-PMT(CHOOSE($B$3,Banco1!$C$5,Banco2!$C$5,Banco3!$C$5,Banco4!$C$5,Banco5!$C$5)/12,Dashboard!$C$7,Dashboard!$C$6),0))</f>
        <v/>
      </c>
      <c r="D174" s="83">
        <f>IF(B174&lt;=0.01,0,MIN(C174-E174,B174))</f>
        <v/>
      </c>
      <c r="E174" s="84">
        <f>IF(B174&lt;=0.01,0,ROUND(B174*CHOOSE($B$3,Banco1!$C$5,Banco2!$C$5,Banco3!$C$5,Banco4!$C$5,Banco5!$C$5)/12,2))</f>
        <v/>
      </c>
      <c r="F174" s="83">
        <f>IF(B174&lt;=0.01,0,MAX(B174-D174,0))</f>
        <v/>
      </c>
      <c r="G174" s="85">
        <f>IFERROR(IF(Dashboard!C6&gt;0,1-(F174/Dashboard!C6),0),0)</f>
        <v/>
      </c>
    </row>
    <row r="175" ht="20" customHeight="1">
      <c r="A175" s="82" t="n">
        <v>170</v>
      </c>
      <c r="B175" s="83">
        <f>IF(F174&lt;=0.01,0,F174)</f>
        <v/>
      </c>
      <c r="C175" s="83">
        <f>IF(B175&lt;=0.01,0,IFERROR(-PMT(CHOOSE($B$3,Banco1!$C$5,Banco2!$C$5,Banco3!$C$5,Banco4!$C$5,Banco5!$C$5)/12,Dashboard!$C$7,Dashboard!$C$6),0))</f>
        <v/>
      </c>
      <c r="D175" s="83">
        <f>IF(B175&lt;=0.01,0,MIN(C175-E175,B175))</f>
        <v/>
      </c>
      <c r="E175" s="84">
        <f>IF(B175&lt;=0.01,0,ROUND(B175*CHOOSE($B$3,Banco1!$C$5,Banco2!$C$5,Banco3!$C$5,Banco4!$C$5,Banco5!$C$5)/12,2))</f>
        <v/>
      </c>
      <c r="F175" s="83">
        <f>IF(B175&lt;=0.01,0,MAX(B175-D175,0))</f>
        <v/>
      </c>
      <c r="G175" s="85">
        <f>IFERROR(IF(Dashboard!C6&gt;0,1-(F175/Dashboard!C6),0),0)</f>
        <v/>
      </c>
    </row>
    <row r="176" ht="20" customHeight="1">
      <c r="A176" s="82" t="n">
        <v>171</v>
      </c>
      <c r="B176" s="83">
        <f>IF(F175&lt;=0.01,0,F175)</f>
        <v/>
      </c>
      <c r="C176" s="83">
        <f>IF(B176&lt;=0.01,0,IFERROR(-PMT(CHOOSE($B$3,Banco1!$C$5,Banco2!$C$5,Banco3!$C$5,Banco4!$C$5,Banco5!$C$5)/12,Dashboard!$C$7,Dashboard!$C$6),0))</f>
        <v/>
      </c>
      <c r="D176" s="83">
        <f>IF(B176&lt;=0.01,0,MIN(C176-E176,B176))</f>
        <v/>
      </c>
      <c r="E176" s="84">
        <f>IF(B176&lt;=0.01,0,ROUND(B176*CHOOSE($B$3,Banco1!$C$5,Banco2!$C$5,Banco3!$C$5,Banco4!$C$5,Banco5!$C$5)/12,2))</f>
        <v/>
      </c>
      <c r="F176" s="83">
        <f>IF(B176&lt;=0.01,0,MAX(B176-D176,0))</f>
        <v/>
      </c>
      <c r="G176" s="85">
        <f>IFERROR(IF(Dashboard!C6&gt;0,1-(F176/Dashboard!C6),0),0)</f>
        <v/>
      </c>
    </row>
    <row r="177" ht="20" customHeight="1">
      <c r="A177" s="82" t="n">
        <v>172</v>
      </c>
      <c r="B177" s="83">
        <f>IF(F176&lt;=0.01,0,F176)</f>
        <v/>
      </c>
      <c r="C177" s="83">
        <f>IF(B177&lt;=0.01,0,IFERROR(-PMT(CHOOSE($B$3,Banco1!$C$5,Banco2!$C$5,Banco3!$C$5,Banco4!$C$5,Banco5!$C$5)/12,Dashboard!$C$7,Dashboard!$C$6),0))</f>
        <v/>
      </c>
      <c r="D177" s="83">
        <f>IF(B177&lt;=0.01,0,MIN(C177-E177,B177))</f>
        <v/>
      </c>
      <c r="E177" s="84">
        <f>IF(B177&lt;=0.01,0,ROUND(B177*CHOOSE($B$3,Banco1!$C$5,Banco2!$C$5,Banco3!$C$5,Banco4!$C$5,Banco5!$C$5)/12,2))</f>
        <v/>
      </c>
      <c r="F177" s="83">
        <f>IF(B177&lt;=0.01,0,MAX(B177-D177,0))</f>
        <v/>
      </c>
      <c r="G177" s="85">
        <f>IFERROR(IF(Dashboard!C6&gt;0,1-(F177/Dashboard!C6),0),0)</f>
        <v/>
      </c>
    </row>
    <row r="178" ht="20" customHeight="1">
      <c r="A178" s="82" t="n">
        <v>173</v>
      </c>
      <c r="B178" s="83">
        <f>IF(F177&lt;=0.01,0,F177)</f>
        <v/>
      </c>
      <c r="C178" s="83">
        <f>IF(B178&lt;=0.01,0,IFERROR(-PMT(CHOOSE($B$3,Banco1!$C$5,Banco2!$C$5,Banco3!$C$5,Banco4!$C$5,Banco5!$C$5)/12,Dashboard!$C$7,Dashboard!$C$6),0))</f>
        <v/>
      </c>
      <c r="D178" s="83">
        <f>IF(B178&lt;=0.01,0,MIN(C178-E178,B178))</f>
        <v/>
      </c>
      <c r="E178" s="84">
        <f>IF(B178&lt;=0.01,0,ROUND(B178*CHOOSE($B$3,Banco1!$C$5,Banco2!$C$5,Banco3!$C$5,Banco4!$C$5,Banco5!$C$5)/12,2))</f>
        <v/>
      </c>
      <c r="F178" s="83">
        <f>IF(B178&lt;=0.01,0,MAX(B178-D178,0))</f>
        <v/>
      </c>
      <c r="G178" s="85">
        <f>IFERROR(IF(Dashboard!C6&gt;0,1-(F178/Dashboard!C6),0),0)</f>
        <v/>
      </c>
    </row>
    <row r="179" ht="20" customHeight="1">
      <c r="A179" s="82" t="n">
        <v>174</v>
      </c>
      <c r="B179" s="83">
        <f>IF(F178&lt;=0.01,0,F178)</f>
        <v/>
      </c>
      <c r="C179" s="83">
        <f>IF(B179&lt;=0.01,0,IFERROR(-PMT(CHOOSE($B$3,Banco1!$C$5,Banco2!$C$5,Banco3!$C$5,Banco4!$C$5,Banco5!$C$5)/12,Dashboard!$C$7,Dashboard!$C$6),0))</f>
        <v/>
      </c>
      <c r="D179" s="83">
        <f>IF(B179&lt;=0.01,0,MIN(C179-E179,B179))</f>
        <v/>
      </c>
      <c r="E179" s="84">
        <f>IF(B179&lt;=0.01,0,ROUND(B179*CHOOSE($B$3,Banco1!$C$5,Banco2!$C$5,Banco3!$C$5,Banco4!$C$5,Banco5!$C$5)/12,2))</f>
        <v/>
      </c>
      <c r="F179" s="83">
        <f>IF(B179&lt;=0.01,0,MAX(B179-D179,0))</f>
        <v/>
      </c>
      <c r="G179" s="85">
        <f>IFERROR(IF(Dashboard!C6&gt;0,1-(F179/Dashboard!C6),0),0)</f>
        <v/>
      </c>
    </row>
    <row r="180" ht="20" customHeight="1">
      <c r="A180" s="82" t="n">
        <v>175</v>
      </c>
      <c r="B180" s="83">
        <f>IF(F179&lt;=0.01,0,F179)</f>
        <v/>
      </c>
      <c r="C180" s="83">
        <f>IF(B180&lt;=0.01,0,IFERROR(-PMT(CHOOSE($B$3,Banco1!$C$5,Banco2!$C$5,Banco3!$C$5,Banco4!$C$5,Banco5!$C$5)/12,Dashboard!$C$7,Dashboard!$C$6),0))</f>
        <v/>
      </c>
      <c r="D180" s="83">
        <f>IF(B180&lt;=0.01,0,MIN(C180-E180,B180))</f>
        <v/>
      </c>
      <c r="E180" s="84">
        <f>IF(B180&lt;=0.01,0,ROUND(B180*CHOOSE($B$3,Banco1!$C$5,Banco2!$C$5,Banco3!$C$5,Banco4!$C$5,Banco5!$C$5)/12,2))</f>
        <v/>
      </c>
      <c r="F180" s="83">
        <f>IF(B180&lt;=0.01,0,MAX(B180-D180,0))</f>
        <v/>
      </c>
      <c r="G180" s="85">
        <f>IFERROR(IF(Dashboard!C6&gt;0,1-(F180/Dashboard!C6),0),0)</f>
        <v/>
      </c>
    </row>
    <row r="181" ht="20" customHeight="1">
      <c r="A181" s="82" t="n">
        <v>176</v>
      </c>
      <c r="B181" s="83">
        <f>IF(F180&lt;=0.01,0,F180)</f>
        <v/>
      </c>
      <c r="C181" s="83">
        <f>IF(B181&lt;=0.01,0,IFERROR(-PMT(CHOOSE($B$3,Banco1!$C$5,Banco2!$C$5,Banco3!$C$5,Banco4!$C$5,Banco5!$C$5)/12,Dashboard!$C$7,Dashboard!$C$6),0))</f>
        <v/>
      </c>
      <c r="D181" s="83">
        <f>IF(B181&lt;=0.01,0,MIN(C181-E181,B181))</f>
        <v/>
      </c>
      <c r="E181" s="84">
        <f>IF(B181&lt;=0.01,0,ROUND(B181*CHOOSE($B$3,Banco1!$C$5,Banco2!$C$5,Banco3!$C$5,Banco4!$C$5,Banco5!$C$5)/12,2))</f>
        <v/>
      </c>
      <c r="F181" s="83">
        <f>IF(B181&lt;=0.01,0,MAX(B181-D181,0))</f>
        <v/>
      </c>
      <c r="G181" s="85">
        <f>IFERROR(IF(Dashboard!C6&gt;0,1-(F181/Dashboard!C6),0),0)</f>
        <v/>
      </c>
    </row>
    <row r="182" ht="20" customHeight="1">
      <c r="A182" s="82" t="n">
        <v>177</v>
      </c>
      <c r="B182" s="83">
        <f>IF(F181&lt;=0.01,0,F181)</f>
        <v/>
      </c>
      <c r="C182" s="83">
        <f>IF(B182&lt;=0.01,0,IFERROR(-PMT(CHOOSE($B$3,Banco1!$C$5,Banco2!$C$5,Banco3!$C$5,Banco4!$C$5,Banco5!$C$5)/12,Dashboard!$C$7,Dashboard!$C$6),0))</f>
        <v/>
      </c>
      <c r="D182" s="83">
        <f>IF(B182&lt;=0.01,0,MIN(C182-E182,B182))</f>
        <v/>
      </c>
      <c r="E182" s="84">
        <f>IF(B182&lt;=0.01,0,ROUND(B182*CHOOSE($B$3,Banco1!$C$5,Banco2!$C$5,Banco3!$C$5,Banco4!$C$5,Banco5!$C$5)/12,2))</f>
        <v/>
      </c>
      <c r="F182" s="83">
        <f>IF(B182&lt;=0.01,0,MAX(B182-D182,0))</f>
        <v/>
      </c>
      <c r="G182" s="85">
        <f>IFERROR(IF(Dashboard!C6&gt;0,1-(F182/Dashboard!C6),0),0)</f>
        <v/>
      </c>
    </row>
    <row r="183" ht="20" customHeight="1">
      <c r="A183" s="82" t="n">
        <v>178</v>
      </c>
      <c r="B183" s="83">
        <f>IF(F182&lt;=0.01,0,F182)</f>
        <v/>
      </c>
      <c r="C183" s="83">
        <f>IF(B183&lt;=0.01,0,IFERROR(-PMT(CHOOSE($B$3,Banco1!$C$5,Banco2!$C$5,Banco3!$C$5,Banco4!$C$5,Banco5!$C$5)/12,Dashboard!$C$7,Dashboard!$C$6),0))</f>
        <v/>
      </c>
      <c r="D183" s="83">
        <f>IF(B183&lt;=0.01,0,MIN(C183-E183,B183))</f>
        <v/>
      </c>
      <c r="E183" s="84">
        <f>IF(B183&lt;=0.01,0,ROUND(B183*CHOOSE($B$3,Banco1!$C$5,Banco2!$C$5,Banco3!$C$5,Banco4!$C$5,Banco5!$C$5)/12,2))</f>
        <v/>
      </c>
      <c r="F183" s="83">
        <f>IF(B183&lt;=0.01,0,MAX(B183-D183,0))</f>
        <v/>
      </c>
      <c r="G183" s="85">
        <f>IFERROR(IF(Dashboard!C6&gt;0,1-(F183/Dashboard!C6),0),0)</f>
        <v/>
      </c>
    </row>
    <row r="184" ht="20" customHeight="1">
      <c r="A184" s="82" t="n">
        <v>179</v>
      </c>
      <c r="B184" s="83">
        <f>IF(F183&lt;=0.01,0,F183)</f>
        <v/>
      </c>
      <c r="C184" s="83">
        <f>IF(B184&lt;=0.01,0,IFERROR(-PMT(CHOOSE($B$3,Banco1!$C$5,Banco2!$C$5,Banco3!$C$5,Banco4!$C$5,Banco5!$C$5)/12,Dashboard!$C$7,Dashboard!$C$6),0))</f>
        <v/>
      </c>
      <c r="D184" s="83">
        <f>IF(B184&lt;=0.01,0,MIN(C184-E184,B184))</f>
        <v/>
      </c>
      <c r="E184" s="84">
        <f>IF(B184&lt;=0.01,0,ROUND(B184*CHOOSE($B$3,Banco1!$C$5,Banco2!$C$5,Banco3!$C$5,Banco4!$C$5,Banco5!$C$5)/12,2))</f>
        <v/>
      </c>
      <c r="F184" s="83">
        <f>IF(B184&lt;=0.01,0,MAX(B184-D184,0))</f>
        <v/>
      </c>
      <c r="G184" s="85">
        <f>IFERROR(IF(Dashboard!C6&gt;0,1-(F184/Dashboard!C6),0),0)</f>
        <v/>
      </c>
    </row>
    <row r="185" ht="20" customHeight="1">
      <c r="A185" s="82" t="n">
        <v>180</v>
      </c>
      <c r="B185" s="83">
        <f>IF(F184&lt;=0.01,0,F184)</f>
        <v/>
      </c>
      <c r="C185" s="83">
        <f>IF(B185&lt;=0.01,0,IFERROR(-PMT(CHOOSE($B$3,Banco1!$C$5,Banco2!$C$5,Banco3!$C$5,Banco4!$C$5,Banco5!$C$5)/12,Dashboard!$C$7,Dashboard!$C$6),0))</f>
        <v/>
      </c>
      <c r="D185" s="83">
        <f>IF(B185&lt;=0.01,0,MIN(C185-E185,B185))</f>
        <v/>
      </c>
      <c r="E185" s="84">
        <f>IF(B185&lt;=0.01,0,ROUND(B185*CHOOSE($B$3,Banco1!$C$5,Banco2!$C$5,Banco3!$C$5,Banco4!$C$5,Banco5!$C$5)/12,2))</f>
        <v/>
      </c>
      <c r="F185" s="83">
        <f>IF(B185&lt;=0.01,0,MAX(B185-D185,0))</f>
        <v/>
      </c>
      <c r="G185" s="85">
        <f>IFERROR(IF(Dashboard!C6&gt;0,1-(F185/Dashboard!C6),0),0)</f>
        <v/>
      </c>
    </row>
    <row r="186" ht="20" customHeight="1">
      <c r="A186" s="82" t="n">
        <v>181</v>
      </c>
      <c r="B186" s="83">
        <f>IF(F185&lt;=0.01,0,F185)</f>
        <v/>
      </c>
      <c r="C186" s="83">
        <f>IF(B186&lt;=0.01,0,IFERROR(-PMT(CHOOSE($B$3,Banco1!$C$5,Banco2!$C$5,Banco3!$C$5,Banco4!$C$5,Banco5!$C$5)/12,Dashboard!$C$7,Dashboard!$C$6),0))</f>
        <v/>
      </c>
      <c r="D186" s="83">
        <f>IF(B186&lt;=0.01,0,MIN(C186-E186,B186))</f>
        <v/>
      </c>
      <c r="E186" s="84">
        <f>IF(B186&lt;=0.01,0,ROUND(B186*CHOOSE($B$3,Banco1!$C$5,Banco2!$C$5,Banco3!$C$5,Banco4!$C$5,Banco5!$C$5)/12,2))</f>
        <v/>
      </c>
      <c r="F186" s="83">
        <f>IF(B186&lt;=0.01,0,MAX(B186-D186,0))</f>
        <v/>
      </c>
      <c r="G186" s="85">
        <f>IFERROR(IF(Dashboard!C6&gt;0,1-(F186/Dashboard!C6),0),0)</f>
        <v/>
      </c>
    </row>
    <row r="187" ht="20" customHeight="1">
      <c r="A187" s="82" t="n">
        <v>182</v>
      </c>
      <c r="B187" s="83">
        <f>IF(F186&lt;=0.01,0,F186)</f>
        <v/>
      </c>
      <c r="C187" s="83">
        <f>IF(B187&lt;=0.01,0,IFERROR(-PMT(CHOOSE($B$3,Banco1!$C$5,Banco2!$C$5,Banco3!$C$5,Banco4!$C$5,Banco5!$C$5)/12,Dashboard!$C$7,Dashboard!$C$6),0))</f>
        <v/>
      </c>
      <c r="D187" s="83">
        <f>IF(B187&lt;=0.01,0,MIN(C187-E187,B187))</f>
        <v/>
      </c>
      <c r="E187" s="84">
        <f>IF(B187&lt;=0.01,0,ROUND(B187*CHOOSE($B$3,Banco1!$C$5,Banco2!$C$5,Banco3!$C$5,Banco4!$C$5,Banco5!$C$5)/12,2))</f>
        <v/>
      </c>
      <c r="F187" s="83">
        <f>IF(B187&lt;=0.01,0,MAX(B187-D187,0))</f>
        <v/>
      </c>
      <c r="G187" s="85">
        <f>IFERROR(IF(Dashboard!C6&gt;0,1-(F187/Dashboard!C6),0),0)</f>
        <v/>
      </c>
    </row>
    <row r="188" ht="20" customHeight="1">
      <c r="A188" s="82" t="n">
        <v>183</v>
      </c>
      <c r="B188" s="83">
        <f>IF(F187&lt;=0.01,0,F187)</f>
        <v/>
      </c>
      <c r="C188" s="83">
        <f>IF(B188&lt;=0.01,0,IFERROR(-PMT(CHOOSE($B$3,Banco1!$C$5,Banco2!$C$5,Banco3!$C$5,Banco4!$C$5,Banco5!$C$5)/12,Dashboard!$C$7,Dashboard!$C$6),0))</f>
        <v/>
      </c>
      <c r="D188" s="83">
        <f>IF(B188&lt;=0.01,0,MIN(C188-E188,B188))</f>
        <v/>
      </c>
      <c r="E188" s="84">
        <f>IF(B188&lt;=0.01,0,ROUND(B188*CHOOSE($B$3,Banco1!$C$5,Banco2!$C$5,Banco3!$C$5,Banco4!$C$5,Banco5!$C$5)/12,2))</f>
        <v/>
      </c>
      <c r="F188" s="83">
        <f>IF(B188&lt;=0.01,0,MAX(B188-D188,0))</f>
        <v/>
      </c>
      <c r="G188" s="85">
        <f>IFERROR(IF(Dashboard!C6&gt;0,1-(F188/Dashboard!C6),0),0)</f>
        <v/>
      </c>
    </row>
    <row r="189" ht="20" customHeight="1">
      <c r="A189" s="82" t="n">
        <v>184</v>
      </c>
      <c r="B189" s="83">
        <f>IF(F188&lt;=0.01,0,F188)</f>
        <v/>
      </c>
      <c r="C189" s="83">
        <f>IF(B189&lt;=0.01,0,IFERROR(-PMT(CHOOSE($B$3,Banco1!$C$5,Banco2!$C$5,Banco3!$C$5,Banco4!$C$5,Banco5!$C$5)/12,Dashboard!$C$7,Dashboard!$C$6),0))</f>
        <v/>
      </c>
      <c r="D189" s="83">
        <f>IF(B189&lt;=0.01,0,MIN(C189-E189,B189))</f>
        <v/>
      </c>
      <c r="E189" s="84">
        <f>IF(B189&lt;=0.01,0,ROUND(B189*CHOOSE($B$3,Banco1!$C$5,Banco2!$C$5,Banco3!$C$5,Banco4!$C$5,Banco5!$C$5)/12,2))</f>
        <v/>
      </c>
      <c r="F189" s="83">
        <f>IF(B189&lt;=0.01,0,MAX(B189-D189,0))</f>
        <v/>
      </c>
      <c r="G189" s="85">
        <f>IFERROR(IF(Dashboard!C6&gt;0,1-(F189/Dashboard!C6),0),0)</f>
        <v/>
      </c>
    </row>
    <row r="190" ht="20" customHeight="1">
      <c r="A190" s="82" t="n">
        <v>185</v>
      </c>
      <c r="B190" s="83">
        <f>IF(F189&lt;=0.01,0,F189)</f>
        <v/>
      </c>
      <c r="C190" s="83">
        <f>IF(B190&lt;=0.01,0,IFERROR(-PMT(CHOOSE($B$3,Banco1!$C$5,Banco2!$C$5,Banco3!$C$5,Banco4!$C$5,Banco5!$C$5)/12,Dashboard!$C$7,Dashboard!$C$6),0))</f>
        <v/>
      </c>
      <c r="D190" s="83">
        <f>IF(B190&lt;=0.01,0,MIN(C190-E190,B190))</f>
        <v/>
      </c>
      <c r="E190" s="84">
        <f>IF(B190&lt;=0.01,0,ROUND(B190*CHOOSE($B$3,Banco1!$C$5,Banco2!$C$5,Banco3!$C$5,Banco4!$C$5,Banco5!$C$5)/12,2))</f>
        <v/>
      </c>
      <c r="F190" s="83">
        <f>IF(B190&lt;=0.01,0,MAX(B190-D190,0))</f>
        <v/>
      </c>
      <c r="G190" s="85">
        <f>IFERROR(IF(Dashboard!C6&gt;0,1-(F190/Dashboard!C6),0),0)</f>
        <v/>
      </c>
    </row>
    <row r="191" ht="20" customHeight="1">
      <c r="A191" s="82" t="n">
        <v>186</v>
      </c>
      <c r="B191" s="83">
        <f>IF(F190&lt;=0.01,0,F190)</f>
        <v/>
      </c>
      <c r="C191" s="83">
        <f>IF(B191&lt;=0.01,0,IFERROR(-PMT(CHOOSE($B$3,Banco1!$C$5,Banco2!$C$5,Banco3!$C$5,Banco4!$C$5,Banco5!$C$5)/12,Dashboard!$C$7,Dashboard!$C$6),0))</f>
        <v/>
      </c>
      <c r="D191" s="83">
        <f>IF(B191&lt;=0.01,0,MIN(C191-E191,B191))</f>
        <v/>
      </c>
      <c r="E191" s="84">
        <f>IF(B191&lt;=0.01,0,ROUND(B191*CHOOSE($B$3,Banco1!$C$5,Banco2!$C$5,Banco3!$C$5,Banco4!$C$5,Banco5!$C$5)/12,2))</f>
        <v/>
      </c>
      <c r="F191" s="83">
        <f>IF(B191&lt;=0.01,0,MAX(B191-D191,0))</f>
        <v/>
      </c>
      <c r="G191" s="85">
        <f>IFERROR(IF(Dashboard!C6&gt;0,1-(F191/Dashboard!C6),0),0)</f>
        <v/>
      </c>
    </row>
    <row r="192" ht="20" customHeight="1">
      <c r="A192" s="82" t="n">
        <v>187</v>
      </c>
      <c r="B192" s="83">
        <f>IF(F191&lt;=0.01,0,F191)</f>
        <v/>
      </c>
      <c r="C192" s="83">
        <f>IF(B192&lt;=0.01,0,IFERROR(-PMT(CHOOSE($B$3,Banco1!$C$5,Banco2!$C$5,Banco3!$C$5,Banco4!$C$5,Banco5!$C$5)/12,Dashboard!$C$7,Dashboard!$C$6),0))</f>
        <v/>
      </c>
      <c r="D192" s="83">
        <f>IF(B192&lt;=0.01,0,MIN(C192-E192,B192))</f>
        <v/>
      </c>
      <c r="E192" s="84">
        <f>IF(B192&lt;=0.01,0,ROUND(B192*CHOOSE($B$3,Banco1!$C$5,Banco2!$C$5,Banco3!$C$5,Banco4!$C$5,Banco5!$C$5)/12,2))</f>
        <v/>
      </c>
      <c r="F192" s="83">
        <f>IF(B192&lt;=0.01,0,MAX(B192-D192,0))</f>
        <v/>
      </c>
      <c r="G192" s="85">
        <f>IFERROR(IF(Dashboard!C6&gt;0,1-(F192/Dashboard!C6),0),0)</f>
        <v/>
      </c>
    </row>
    <row r="193" ht="20" customHeight="1">
      <c r="A193" s="82" t="n">
        <v>188</v>
      </c>
      <c r="B193" s="83">
        <f>IF(F192&lt;=0.01,0,F192)</f>
        <v/>
      </c>
      <c r="C193" s="83">
        <f>IF(B193&lt;=0.01,0,IFERROR(-PMT(CHOOSE($B$3,Banco1!$C$5,Banco2!$C$5,Banco3!$C$5,Banco4!$C$5,Banco5!$C$5)/12,Dashboard!$C$7,Dashboard!$C$6),0))</f>
        <v/>
      </c>
      <c r="D193" s="83">
        <f>IF(B193&lt;=0.01,0,MIN(C193-E193,B193))</f>
        <v/>
      </c>
      <c r="E193" s="84">
        <f>IF(B193&lt;=0.01,0,ROUND(B193*CHOOSE($B$3,Banco1!$C$5,Banco2!$C$5,Banco3!$C$5,Banco4!$C$5,Banco5!$C$5)/12,2))</f>
        <v/>
      </c>
      <c r="F193" s="83">
        <f>IF(B193&lt;=0.01,0,MAX(B193-D193,0))</f>
        <v/>
      </c>
      <c r="G193" s="85">
        <f>IFERROR(IF(Dashboard!C6&gt;0,1-(F193/Dashboard!C6),0),0)</f>
        <v/>
      </c>
    </row>
    <row r="194" ht="20" customHeight="1">
      <c r="A194" s="82" t="n">
        <v>189</v>
      </c>
      <c r="B194" s="83">
        <f>IF(F193&lt;=0.01,0,F193)</f>
        <v/>
      </c>
      <c r="C194" s="83">
        <f>IF(B194&lt;=0.01,0,IFERROR(-PMT(CHOOSE($B$3,Banco1!$C$5,Banco2!$C$5,Banco3!$C$5,Banco4!$C$5,Banco5!$C$5)/12,Dashboard!$C$7,Dashboard!$C$6),0))</f>
        <v/>
      </c>
      <c r="D194" s="83">
        <f>IF(B194&lt;=0.01,0,MIN(C194-E194,B194))</f>
        <v/>
      </c>
      <c r="E194" s="84">
        <f>IF(B194&lt;=0.01,0,ROUND(B194*CHOOSE($B$3,Banco1!$C$5,Banco2!$C$5,Banco3!$C$5,Banco4!$C$5,Banco5!$C$5)/12,2))</f>
        <v/>
      </c>
      <c r="F194" s="83">
        <f>IF(B194&lt;=0.01,0,MAX(B194-D194,0))</f>
        <v/>
      </c>
      <c r="G194" s="85">
        <f>IFERROR(IF(Dashboard!C6&gt;0,1-(F194/Dashboard!C6),0),0)</f>
        <v/>
      </c>
    </row>
    <row r="195" ht="20" customHeight="1">
      <c r="A195" s="82" t="n">
        <v>190</v>
      </c>
      <c r="B195" s="83">
        <f>IF(F194&lt;=0.01,0,F194)</f>
        <v/>
      </c>
      <c r="C195" s="83">
        <f>IF(B195&lt;=0.01,0,IFERROR(-PMT(CHOOSE($B$3,Banco1!$C$5,Banco2!$C$5,Banco3!$C$5,Banco4!$C$5,Banco5!$C$5)/12,Dashboard!$C$7,Dashboard!$C$6),0))</f>
        <v/>
      </c>
      <c r="D195" s="83">
        <f>IF(B195&lt;=0.01,0,MIN(C195-E195,B195))</f>
        <v/>
      </c>
      <c r="E195" s="84">
        <f>IF(B195&lt;=0.01,0,ROUND(B195*CHOOSE($B$3,Banco1!$C$5,Banco2!$C$5,Banco3!$C$5,Banco4!$C$5,Banco5!$C$5)/12,2))</f>
        <v/>
      </c>
      <c r="F195" s="83">
        <f>IF(B195&lt;=0.01,0,MAX(B195-D195,0))</f>
        <v/>
      </c>
      <c r="G195" s="85">
        <f>IFERROR(IF(Dashboard!C6&gt;0,1-(F195/Dashboard!C6),0),0)</f>
        <v/>
      </c>
    </row>
    <row r="196" ht="20" customHeight="1">
      <c r="A196" s="82" t="n">
        <v>191</v>
      </c>
      <c r="B196" s="83">
        <f>IF(F195&lt;=0.01,0,F195)</f>
        <v/>
      </c>
      <c r="C196" s="83">
        <f>IF(B196&lt;=0.01,0,IFERROR(-PMT(CHOOSE($B$3,Banco1!$C$5,Banco2!$C$5,Banco3!$C$5,Banco4!$C$5,Banco5!$C$5)/12,Dashboard!$C$7,Dashboard!$C$6),0))</f>
        <v/>
      </c>
      <c r="D196" s="83">
        <f>IF(B196&lt;=0.01,0,MIN(C196-E196,B196))</f>
        <v/>
      </c>
      <c r="E196" s="84">
        <f>IF(B196&lt;=0.01,0,ROUND(B196*CHOOSE($B$3,Banco1!$C$5,Banco2!$C$5,Banco3!$C$5,Banco4!$C$5,Banco5!$C$5)/12,2))</f>
        <v/>
      </c>
      <c r="F196" s="83">
        <f>IF(B196&lt;=0.01,0,MAX(B196-D196,0))</f>
        <v/>
      </c>
      <c r="G196" s="85">
        <f>IFERROR(IF(Dashboard!C6&gt;0,1-(F196/Dashboard!C6),0),0)</f>
        <v/>
      </c>
    </row>
    <row r="197" ht="20" customHeight="1">
      <c r="A197" s="82" t="n">
        <v>192</v>
      </c>
      <c r="B197" s="83">
        <f>IF(F196&lt;=0.01,0,F196)</f>
        <v/>
      </c>
      <c r="C197" s="83">
        <f>IF(B197&lt;=0.01,0,IFERROR(-PMT(CHOOSE($B$3,Banco1!$C$5,Banco2!$C$5,Banco3!$C$5,Banco4!$C$5,Banco5!$C$5)/12,Dashboard!$C$7,Dashboard!$C$6),0))</f>
        <v/>
      </c>
      <c r="D197" s="83">
        <f>IF(B197&lt;=0.01,0,MIN(C197-E197,B197))</f>
        <v/>
      </c>
      <c r="E197" s="84">
        <f>IF(B197&lt;=0.01,0,ROUND(B197*CHOOSE($B$3,Banco1!$C$5,Banco2!$C$5,Banco3!$C$5,Banco4!$C$5,Banco5!$C$5)/12,2))</f>
        <v/>
      </c>
      <c r="F197" s="83">
        <f>IF(B197&lt;=0.01,0,MAX(B197-D197,0))</f>
        <v/>
      </c>
      <c r="G197" s="85">
        <f>IFERROR(IF(Dashboard!C6&gt;0,1-(F197/Dashboard!C6),0),0)</f>
        <v/>
      </c>
    </row>
    <row r="198" ht="20" customHeight="1">
      <c r="A198" s="82" t="n">
        <v>193</v>
      </c>
      <c r="B198" s="83">
        <f>IF(F197&lt;=0.01,0,F197)</f>
        <v/>
      </c>
      <c r="C198" s="83">
        <f>IF(B198&lt;=0.01,0,IFERROR(-PMT(CHOOSE($B$3,Banco1!$C$5,Banco2!$C$5,Banco3!$C$5,Banco4!$C$5,Banco5!$C$5)/12,Dashboard!$C$7,Dashboard!$C$6),0))</f>
        <v/>
      </c>
      <c r="D198" s="83">
        <f>IF(B198&lt;=0.01,0,MIN(C198-E198,B198))</f>
        <v/>
      </c>
      <c r="E198" s="84">
        <f>IF(B198&lt;=0.01,0,ROUND(B198*CHOOSE($B$3,Banco1!$C$5,Banco2!$C$5,Banco3!$C$5,Banco4!$C$5,Banco5!$C$5)/12,2))</f>
        <v/>
      </c>
      <c r="F198" s="83">
        <f>IF(B198&lt;=0.01,0,MAX(B198-D198,0))</f>
        <v/>
      </c>
      <c r="G198" s="85">
        <f>IFERROR(IF(Dashboard!C6&gt;0,1-(F198/Dashboard!C6),0),0)</f>
        <v/>
      </c>
    </row>
    <row r="199" ht="20" customHeight="1">
      <c r="A199" s="82" t="n">
        <v>194</v>
      </c>
      <c r="B199" s="83">
        <f>IF(F198&lt;=0.01,0,F198)</f>
        <v/>
      </c>
      <c r="C199" s="83">
        <f>IF(B199&lt;=0.01,0,IFERROR(-PMT(CHOOSE($B$3,Banco1!$C$5,Banco2!$C$5,Banco3!$C$5,Banco4!$C$5,Banco5!$C$5)/12,Dashboard!$C$7,Dashboard!$C$6),0))</f>
        <v/>
      </c>
      <c r="D199" s="83">
        <f>IF(B199&lt;=0.01,0,MIN(C199-E199,B199))</f>
        <v/>
      </c>
      <c r="E199" s="84">
        <f>IF(B199&lt;=0.01,0,ROUND(B199*CHOOSE($B$3,Banco1!$C$5,Banco2!$C$5,Banco3!$C$5,Banco4!$C$5,Banco5!$C$5)/12,2))</f>
        <v/>
      </c>
      <c r="F199" s="83">
        <f>IF(B199&lt;=0.01,0,MAX(B199-D199,0))</f>
        <v/>
      </c>
      <c r="G199" s="85">
        <f>IFERROR(IF(Dashboard!C6&gt;0,1-(F199/Dashboard!C6),0),0)</f>
        <v/>
      </c>
    </row>
    <row r="200" ht="20" customHeight="1">
      <c r="A200" s="82" t="n">
        <v>195</v>
      </c>
      <c r="B200" s="83">
        <f>IF(F199&lt;=0.01,0,F199)</f>
        <v/>
      </c>
      <c r="C200" s="83">
        <f>IF(B200&lt;=0.01,0,IFERROR(-PMT(CHOOSE($B$3,Banco1!$C$5,Banco2!$C$5,Banco3!$C$5,Banco4!$C$5,Banco5!$C$5)/12,Dashboard!$C$7,Dashboard!$C$6),0))</f>
        <v/>
      </c>
      <c r="D200" s="83">
        <f>IF(B200&lt;=0.01,0,MIN(C200-E200,B200))</f>
        <v/>
      </c>
      <c r="E200" s="84">
        <f>IF(B200&lt;=0.01,0,ROUND(B200*CHOOSE($B$3,Banco1!$C$5,Banco2!$C$5,Banco3!$C$5,Banco4!$C$5,Banco5!$C$5)/12,2))</f>
        <v/>
      </c>
      <c r="F200" s="83">
        <f>IF(B200&lt;=0.01,0,MAX(B200-D200,0))</f>
        <v/>
      </c>
      <c r="G200" s="85">
        <f>IFERROR(IF(Dashboard!C6&gt;0,1-(F200/Dashboard!C6),0),0)</f>
        <v/>
      </c>
    </row>
    <row r="201" ht="20" customHeight="1">
      <c r="A201" s="82" t="n">
        <v>196</v>
      </c>
      <c r="B201" s="83">
        <f>IF(F200&lt;=0.01,0,F200)</f>
        <v/>
      </c>
      <c r="C201" s="83">
        <f>IF(B201&lt;=0.01,0,IFERROR(-PMT(CHOOSE($B$3,Banco1!$C$5,Banco2!$C$5,Banco3!$C$5,Banco4!$C$5,Banco5!$C$5)/12,Dashboard!$C$7,Dashboard!$C$6),0))</f>
        <v/>
      </c>
      <c r="D201" s="83">
        <f>IF(B201&lt;=0.01,0,MIN(C201-E201,B201))</f>
        <v/>
      </c>
      <c r="E201" s="84">
        <f>IF(B201&lt;=0.01,0,ROUND(B201*CHOOSE($B$3,Banco1!$C$5,Banco2!$C$5,Banco3!$C$5,Banco4!$C$5,Banco5!$C$5)/12,2))</f>
        <v/>
      </c>
      <c r="F201" s="83">
        <f>IF(B201&lt;=0.01,0,MAX(B201-D201,0))</f>
        <v/>
      </c>
      <c r="G201" s="85">
        <f>IFERROR(IF(Dashboard!C6&gt;0,1-(F201/Dashboard!C6),0),0)</f>
        <v/>
      </c>
    </row>
    <row r="202" ht="20" customHeight="1">
      <c r="A202" s="82" t="n">
        <v>197</v>
      </c>
      <c r="B202" s="83">
        <f>IF(F201&lt;=0.01,0,F201)</f>
        <v/>
      </c>
      <c r="C202" s="83">
        <f>IF(B202&lt;=0.01,0,IFERROR(-PMT(CHOOSE($B$3,Banco1!$C$5,Banco2!$C$5,Banco3!$C$5,Banco4!$C$5,Banco5!$C$5)/12,Dashboard!$C$7,Dashboard!$C$6),0))</f>
        <v/>
      </c>
      <c r="D202" s="83">
        <f>IF(B202&lt;=0.01,0,MIN(C202-E202,B202))</f>
        <v/>
      </c>
      <c r="E202" s="84">
        <f>IF(B202&lt;=0.01,0,ROUND(B202*CHOOSE($B$3,Banco1!$C$5,Banco2!$C$5,Banco3!$C$5,Banco4!$C$5,Banco5!$C$5)/12,2))</f>
        <v/>
      </c>
      <c r="F202" s="83">
        <f>IF(B202&lt;=0.01,0,MAX(B202-D202,0))</f>
        <v/>
      </c>
      <c r="G202" s="85">
        <f>IFERROR(IF(Dashboard!C6&gt;0,1-(F202/Dashboard!C6),0),0)</f>
        <v/>
      </c>
    </row>
    <row r="203" ht="20" customHeight="1">
      <c r="A203" s="82" t="n">
        <v>198</v>
      </c>
      <c r="B203" s="83">
        <f>IF(F202&lt;=0.01,0,F202)</f>
        <v/>
      </c>
      <c r="C203" s="83">
        <f>IF(B203&lt;=0.01,0,IFERROR(-PMT(CHOOSE($B$3,Banco1!$C$5,Banco2!$C$5,Banco3!$C$5,Banco4!$C$5,Banco5!$C$5)/12,Dashboard!$C$7,Dashboard!$C$6),0))</f>
        <v/>
      </c>
      <c r="D203" s="83">
        <f>IF(B203&lt;=0.01,0,MIN(C203-E203,B203))</f>
        <v/>
      </c>
      <c r="E203" s="84">
        <f>IF(B203&lt;=0.01,0,ROUND(B203*CHOOSE($B$3,Banco1!$C$5,Banco2!$C$5,Banco3!$C$5,Banco4!$C$5,Banco5!$C$5)/12,2))</f>
        <v/>
      </c>
      <c r="F203" s="83">
        <f>IF(B203&lt;=0.01,0,MAX(B203-D203,0))</f>
        <v/>
      </c>
      <c r="G203" s="85">
        <f>IFERROR(IF(Dashboard!C6&gt;0,1-(F203/Dashboard!C6),0),0)</f>
        <v/>
      </c>
    </row>
    <row r="204" ht="20" customHeight="1">
      <c r="A204" s="82" t="n">
        <v>199</v>
      </c>
      <c r="B204" s="83">
        <f>IF(F203&lt;=0.01,0,F203)</f>
        <v/>
      </c>
      <c r="C204" s="83">
        <f>IF(B204&lt;=0.01,0,IFERROR(-PMT(CHOOSE($B$3,Banco1!$C$5,Banco2!$C$5,Banco3!$C$5,Banco4!$C$5,Banco5!$C$5)/12,Dashboard!$C$7,Dashboard!$C$6),0))</f>
        <v/>
      </c>
      <c r="D204" s="83">
        <f>IF(B204&lt;=0.01,0,MIN(C204-E204,B204))</f>
        <v/>
      </c>
      <c r="E204" s="84">
        <f>IF(B204&lt;=0.01,0,ROUND(B204*CHOOSE($B$3,Banco1!$C$5,Banco2!$C$5,Banco3!$C$5,Banco4!$C$5,Banco5!$C$5)/12,2))</f>
        <v/>
      </c>
      <c r="F204" s="83">
        <f>IF(B204&lt;=0.01,0,MAX(B204-D204,0))</f>
        <v/>
      </c>
      <c r="G204" s="85">
        <f>IFERROR(IF(Dashboard!C6&gt;0,1-(F204/Dashboard!C6),0),0)</f>
        <v/>
      </c>
    </row>
    <row r="205" ht="20" customHeight="1">
      <c r="A205" s="82" t="n">
        <v>200</v>
      </c>
      <c r="B205" s="83">
        <f>IF(F204&lt;=0.01,0,F204)</f>
        <v/>
      </c>
      <c r="C205" s="83">
        <f>IF(B205&lt;=0.01,0,IFERROR(-PMT(CHOOSE($B$3,Banco1!$C$5,Banco2!$C$5,Banco3!$C$5,Banco4!$C$5,Banco5!$C$5)/12,Dashboard!$C$7,Dashboard!$C$6),0))</f>
        <v/>
      </c>
      <c r="D205" s="83">
        <f>IF(B205&lt;=0.01,0,MIN(C205-E205,B205))</f>
        <v/>
      </c>
      <c r="E205" s="84">
        <f>IF(B205&lt;=0.01,0,ROUND(B205*CHOOSE($B$3,Banco1!$C$5,Banco2!$C$5,Banco3!$C$5,Banco4!$C$5,Banco5!$C$5)/12,2))</f>
        <v/>
      </c>
      <c r="F205" s="83">
        <f>IF(B205&lt;=0.01,0,MAX(B205-D205,0))</f>
        <v/>
      </c>
      <c r="G205" s="85">
        <f>IFERROR(IF(Dashboard!C6&gt;0,1-(F205/Dashboard!C6),0),0)</f>
        <v/>
      </c>
    </row>
    <row r="206" ht="20" customHeight="1">
      <c r="A206" s="82" t="n">
        <v>201</v>
      </c>
      <c r="B206" s="83">
        <f>IF(F205&lt;=0.01,0,F205)</f>
        <v/>
      </c>
      <c r="C206" s="83">
        <f>IF(B206&lt;=0.01,0,IFERROR(-PMT(CHOOSE($B$3,Banco1!$C$5,Banco2!$C$5,Banco3!$C$5,Banco4!$C$5,Banco5!$C$5)/12,Dashboard!$C$7,Dashboard!$C$6),0))</f>
        <v/>
      </c>
      <c r="D206" s="83">
        <f>IF(B206&lt;=0.01,0,MIN(C206-E206,B206))</f>
        <v/>
      </c>
      <c r="E206" s="84">
        <f>IF(B206&lt;=0.01,0,ROUND(B206*CHOOSE($B$3,Banco1!$C$5,Banco2!$C$5,Banco3!$C$5,Banco4!$C$5,Banco5!$C$5)/12,2))</f>
        <v/>
      </c>
      <c r="F206" s="83">
        <f>IF(B206&lt;=0.01,0,MAX(B206-D206,0))</f>
        <v/>
      </c>
      <c r="G206" s="85">
        <f>IFERROR(IF(Dashboard!C6&gt;0,1-(F206/Dashboard!C6),0),0)</f>
        <v/>
      </c>
    </row>
    <row r="207" ht="20" customHeight="1">
      <c r="A207" s="82" t="n">
        <v>202</v>
      </c>
      <c r="B207" s="83">
        <f>IF(F206&lt;=0.01,0,F206)</f>
        <v/>
      </c>
      <c r="C207" s="83">
        <f>IF(B207&lt;=0.01,0,IFERROR(-PMT(CHOOSE($B$3,Banco1!$C$5,Banco2!$C$5,Banco3!$C$5,Banco4!$C$5,Banco5!$C$5)/12,Dashboard!$C$7,Dashboard!$C$6),0))</f>
        <v/>
      </c>
      <c r="D207" s="83">
        <f>IF(B207&lt;=0.01,0,MIN(C207-E207,B207))</f>
        <v/>
      </c>
      <c r="E207" s="84">
        <f>IF(B207&lt;=0.01,0,ROUND(B207*CHOOSE($B$3,Banco1!$C$5,Banco2!$C$5,Banco3!$C$5,Banco4!$C$5,Banco5!$C$5)/12,2))</f>
        <v/>
      </c>
      <c r="F207" s="83">
        <f>IF(B207&lt;=0.01,0,MAX(B207-D207,0))</f>
        <v/>
      </c>
      <c r="G207" s="85">
        <f>IFERROR(IF(Dashboard!C6&gt;0,1-(F207/Dashboard!C6),0),0)</f>
        <v/>
      </c>
    </row>
    <row r="208" ht="20" customHeight="1">
      <c r="A208" s="82" t="n">
        <v>203</v>
      </c>
      <c r="B208" s="83">
        <f>IF(F207&lt;=0.01,0,F207)</f>
        <v/>
      </c>
      <c r="C208" s="83">
        <f>IF(B208&lt;=0.01,0,IFERROR(-PMT(CHOOSE($B$3,Banco1!$C$5,Banco2!$C$5,Banco3!$C$5,Banco4!$C$5,Banco5!$C$5)/12,Dashboard!$C$7,Dashboard!$C$6),0))</f>
        <v/>
      </c>
      <c r="D208" s="83">
        <f>IF(B208&lt;=0.01,0,MIN(C208-E208,B208))</f>
        <v/>
      </c>
      <c r="E208" s="84">
        <f>IF(B208&lt;=0.01,0,ROUND(B208*CHOOSE($B$3,Banco1!$C$5,Banco2!$C$5,Banco3!$C$5,Banco4!$C$5,Banco5!$C$5)/12,2))</f>
        <v/>
      </c>
      <c r="F208" s="83">
        <f>IF(B208&lt;=0.01,0,MAX(B208-D208,0))</f>
        <v/>
      </c>
      <c r="G208" s="85">
        <f>IFERROR(IF(Dashboard!C6&gt;0,1-(F208/Dashboard!C6),0),0)</f>
        <v/>
      </c>
    </row>
    <row r="209" ht="20" customHeight="1">
      <c r="A209" s="82" t="n">
        <v>204</v>
      </c>
      <c r="B209" s="83">
        <f>IF(F208&lt;=0.01,0,F208)</f>
        <v/>
      </c>
      <c r="C209" s="83">
        <f>IF(B209&lt;=0.01,0,IFERROR(-PMT(CHOOSE($B$3,Banco1!$C$5,Banco2!$C$5,Banco3!$C$5,Banco4!$C$5,Banco5!$C$5)/12,Dashboard!$C$7,Dashboard!$C$6),0))</f>
        <v/>
      </c>
      <c r="D209" s="83">
        <f>IF(B209&lt;=0.01,0,MIN(C209-E209,B209))</f>
        <v/>
      </c>
      <c r="E209" s="84">
        <f>IF(B209&lt;=0.01,0,ROUND(B209*CHOOSE($B$3,Banco1!$C$5,Banco2!$C$5,Banco3!$C$5,Banco4!$C$5,Banco5!$C$5)/12,2))</f>
        <v/>
      </c>
      <c r="F209" s="83">
        <f>IF(B209&lt;=0.01,0,MAX(B209-D209,0))</f>
        <v/>
      </c>
      <c r="G209" s="85">
        <f>IFERROR(IF(Dashboard!C6&gt;0,1-(F209/Dashboard!C6),0),0)</f>
        <v/>
      </c>
    </row>
    <row r="210" ht="20" customHeight="1">
      <c r="A210" s="82" t="n">
        <v>205</v>
      </c>
      <c r="B210" s="83">
        <f>IF(F209&lt;=0.01,0,F209)</f>
        <v/>
      </c>
      <c r="C210" s="83">
        <f>IF(B210&lt;=0.01,0,IFERROR(-PMT(CHOOSE($B$3,Banco1!$C$5,Banco2!$C$5,Banco3!$C$5,Banco4!$C$5,Banco5!$C$5)/12,Dashboard!$C$7,Dashboard!$C$6),0))</f>
        <v/>
      </c>
      <c r="D210" s="83">
        <f>IF(B210&lt;=0.01,0,MIN(C210-E210,B210))</f>
        <v/>
      </c>
      <c r="E210" s="84">
        <f>IF(B210&lt;=0.01,0,ROUND(B210*CHOOSE($B$3,Banco1!$C$5,Banco2!$C$5,Banco3!$C$5,Banco4!$C$5,Banco5!$C$5)/12,2))</f>
        <v/>
      </c>
      <c r="F210" s="83">
        <f>IF(B210&lt;=0.01,0,MAX(B210-D210,0))</f>
        <v/>
      </c>
      <c r="G210" s="85">
        <f>IFERROR(IF(Dashboard!C6&gt;0,1-(F210/Dashboard!C6),0),0)</f>
        <v/>
      </c>
    </row>
    <row r="211" ht="20" customHeight="1">
      <c r="A211" s="82" t="n">
        <v>206</v>
      </c>
      <c r="B211" s="83">
        <f>IF(F210&lt;=0.01,0,F210)</f>
        <v/>
      </c>
      <c r="C211" s="83">
        <f>IF(B211&lt;=0.01,0,IFERROR(-PMT(CHOOSE($B$3,Banco1!$C$5,Banco2!$C$5,Banco3!$C$5,Banco4!$C$5,Banco5!$C$5)/12,Dashboard!$C$7,Dashboard!$C$6),0))</f>
        <v/>
      </c>
      <c r="D211" s="83">
        <f>IF(B211&lt;=0.01,0,MIN(C211-E211,B211))</f>
        <v/>
      </c>
      <c r="E211" s="84">
        <f>IF(B211&lt;=0.01,0,ROUND(B211*CHOOSE($B$3,Banco1!$C$5,Banco2!$C$5,Banco3!$C$5,Banco4!$C$5,Banco5!$C$5)/12,2))</f>
        <v/>
      </c>
      <c r="F211" s="83">
        <f>IF(B211&lt;=0.01,0,MAX(B211-D211,0))</f>
        <v/>
      </c>
      <c r="G211" s="85">
        <f>IFERROR(IF(Dashboard!C6&gt;0,1-(F211/Dashboard!C6),0),0)</f>
        <v/>
      </c>
    </row>
    <row r="212" ht="20" customHeight="1">
      <c r="A212" s="82" t="n">
        <v>207</v>
      </c>
      <c r="B212" s="83">
        <f>IF(F211&lt;=0.01,0,F211)</f>
        <v/>
      </c>
      <c r="C212" s="83">
        <f>IF(B212&lt;=0.01,0,IFERROR(-PMT(CHOOSE($B$3,Banco1!$C$5,Banco2!$C$5,Banco3!$C$5,Banco4!$C$5,Banco5!$C$5)/12,Dashboard!$C$7,Dashboard!$C$6),0))</f>
        <v/>
      </c>
      <c r="D212" s="83">
        <f>IF(B212&lt;=0.01,0,MIN(C212-E212,B212))</f>
        <v/>
      </c>
      <c r="E212" s="84">
        <f>IF(B212&lt;=0.01,0,ROUND(B212*CHOOSE($B$3,Banco1!$C$5,Banco2!$C$5,Banco3!$C$5,Banco4!$C$5,Banco5!$C$5)/12,2))</f>
        <v/>
      </c>
      <c r="F212" s="83">
        <f>IF(B212&lt;=0.01,0,MAX(B212-D212,0))</f>
        <v/>
      </c>
      <c r="G212" s="85">
        <f>IFERROR(IF(Dashboard!C6&gt;0,1-(F212/Dashboard!C6),0),0)</f>
        <v/>
      </c>
    </row>
    <row r="213" ht="20" customHeight="1">
      <c r="A213" s="82" t="n">
        <v>208</v>
      </c>
      <c r="B213" s="83">
        <f>IF(F212&lt;=0.01,0,F212)</f>
        <v/>
      </c>
      <c r="C213" s="83">
        <f>IF(B213&lt;=0.01,0,IFERROR(-PMT(CHOOSE($B$3,Banco1!$C$5,Banco2!$C$5,Banco3!$C$5,Banco4!$C$5,Banco5!$C$5)/12,Dashboard!$C$7,Dashboard!$C$6),0))</f>
        <v/>
      </c>
      <c r="D213" s="83">
        <f>IF(B213&lt;=0.01,0,MIN(C213-E213,B213))</f>
        <v/>
      </c>
      <c r="E213" s="84">
        <f>IF(B213&lt;=0.01,0,ROUND(B213*CHOOSE($B$3,Banco1!$C$5,Banco2!$C$5,Banco3!$C$5,Banco4!$C$5,Banco5!$C$5)/12,2))</f>
        <v/>
      </c>
      <c r="F213" s="83">
        <f>IF(B213&lt;=0.01,0,MAX(B213-D213,0))</f>
        <v/>
      </c>
      <c r="G213" s="85">
        <f>IFERROR(IF(Dashboard!C6&gt;0,1-(F213/Dashboard!C6),0),0)</f>
        <v/>
      </c>
    </row>
    <row r="214" ht="20" customHeight="1">
      <c r="A214" s="82" t="n">
        <v>209</v>
      </c>
      <c r="B214" s="83">
        <f>IF(F213&lt;=0.01,0,F213)</f>
        <v/>
      </c>
      <c r="C214" s="83">
        <f>IF(B214&lt;=0.01,0,IFERROR(-PMT(CHOOSE($B$3,Banco1!$C$5,Banco2!$C$5,Banco3!$C$5,Banco4!$C$5,Banco5!$C$5)/12,Dashboard!$C$7,Dashboard!$C$6),0))</f>
        <v/>
      </c>
      <c r="D214" s="83">
        <f>IF(B214&lt;=0.01,0,MIN(C214-E214,B214))</f>
        <v/>
      </c>
      <c r="E214" s="84">
        <f>IF(B214&lt;=0.01,0,ROUND(B214*CHOOSE($B$3,Banco1!$C$5,Banco2!$C$5,Banco3!$C$5,Banco4!$C$5,Banco5!$C$5)/12,2))</f>
        <v/>
      </c>
      <c r="F214" s="83">
        <f>IF(B214&lt;=0.01,0,MAX(B214-D214,0))</f>
        <v/>
      </c>
      <c r="G214" s="85">
        <f>IFERROR(IF(Dashboard!C6&gt;0,1-(F214/Dashboard!C6),0),0)</f>
        <v/>
      </c>
    </row>
    <row r="215" ht="20" customHeight="1">
      <c r="A215" s="82" t="n">
        <v>210</v>
      </c>
      <c r="B215" s="83">
        <f>IF(F214&lt;=0.01,0,F214)</f>
        <v/>
      </c>
      <c r="C215" s="83">
        <f>IF(B215&lt;=0.01,0,IFERROR(-PMT(CHOOSE($B$3,Banco1!$C$5,Banco2!$C$5,Banco3!$C$5,Banco4!$C$5,Banco5!$C$5)/12,Dashboard!$C$7,Dashboard!$C$6),0))</f>
        <v/>
      </c>
      <c r="D215" s="83">
        <f>IF(B215&lt;=0.01,0,MIN(C215-E215,B215))</f>
        <v/>
      </c>
      <c r="E215" s="84">
        <f>IF(B215&lt;=0.01,0,ROUND(B215*CHOOSE($B$3,Banco1!$C$5,Banco2!$C$5,Banco3!$C$5,Banco4!$C$5,Banco5!$C$5)/12,2))</f>
        <v/>
      </c>
      <c r="F215" s="83">
        <f>IF(B215&lt;=0.01,0,MAX(B215-D215,0))</f>
        <v/>
      </c>
      <c r="G215" s="85">
        <f>IFERROR(IF(Dashboard!C6&gt;0,1-(F215/Dashboard!C6),0),0)</f>
        <v/>
      </c>
    </row>
    <row r="216" ht="20" customHeight="1">
      <c r="A216" s="82" t="n">
        <v>211</v>
      </c>
      <c r="B216" s="83">
        <f>IF(F215&lt;=0.01,0,F215)</f>
        <v/>
      </c>
      <c r="C216" s="83">
        <f>IF(B216&lt;=0.01,0,IFERROR(-PMT(CHOOSE($B$3,Banco1!$C$5,Banco2!$C$5,Banco3!$C$5,Banco4!$C$5,Banco5!$C$5)/12,Dashboard!$C$7,Dashboard!$C$6),0))</f>
        <v/>
      </c>
      <c r="D216" s="83">
        <f>IF(B216&lt;=0.01,0,MIN(C216-E216,B216))</f>
        <v/>
      </c>
      <c r="E216" s="84">
        <f>IF(B216&lt;=0.01,0,ROUND(B216*CHOOSE($B$3,Banco1!$C$5,Banco2!$C$5,Banco3!$C$5,Banco4!$C$5,Banco5!$C$5)/12,2))</f>
        <v/>
      </c>
      <c r="F216" s="83">
        <f>IF(B216&lt;=0.01,0,MAX(B216-D216,0))</f>
        <v/>
      </c>
      <c r="G216" s="85">
        <f>IFERROR(IF(Dashboard!C6&gt;0,1-(F216/Dashboard!C6),0),0)</f>
        <v/>
      </c>
    </row>
    <row r="217" ht="20" customHeight="1">
      <c r="A217" s="82" t="n">
        <v>212</v>
      </c>
      <c r="B217" s="83">
        <f>IF(F216&lt;=0.01,0,F216)</f>
        <v/>
      </c>
      <c r="C217" s="83">
        <f>IF(B217&lt;=0.01,0,IFERROR(-PMT(CHOOSE($B$3,Banco1!$C$5,Banco2!$C$5,Banco3!$C$5,Banco4!$C$5,Banco5!$C$5)/12,Dashboard!$C$7,Dashboard!$C$6),0))</f>
        <v/>
      </c>
      <c r="D217" s="83">
        <f>IF(B217&lt;=0.01,0,MIN(C217-E217,B217))</f>
        <v/>
      </c>
      <c r="E217" s="84">
        <f>IF(B217&lt;=0.01,0,ROUND(B217*CHOOSE($B$3,Banco1!$C$5,Banco2!$C$5,Banco3!$C$5,Banco4!$C$5,Banco5!$C$5)/12,2))</f>
        <v/>
      </c>
      <c r="F217" s="83">
        <f>IF(B217&lt;=0.01,0,MAX(B217-D217,0))</f>
        <v/>
      </c>
      <c r="G217" s="85">
        <f>IFERROR(IF(Dashboard!C6&gt;0,1-(F217/Dashboard!C6),0),0)</f>
        <v/>
      </c>
    </row>
    <row r="218" ht="20" customHeight="1">
      <c r="A218" s="82" t="n">
        <v>213</v>
      </c>
      <c r="B218" s="83">
        <f>IF(F217&lt;=0.01,0,F217)</f>
        <v/>
      </c>
      <c r="C218" s="83">
        <f>IF(B218&lt;=0.01,0,IFERROR(-PMT(CHOOSE($B$3,Banco1!$C$5,Banco2!$C$5,Banco3!$C$5,Banco4!$C$5,Banco5!$C$5)/12,Dashboard!$C$7,Dashboard!$C$6),0))</f>
        <v/>
      </c>
      <c r="D218" s="83">
        <f>IF(B218&lt;=0.01,0,MIN(C218-E218,B218))</f>
        <v/>
      </c>
      <c r="E218" s="84">
        <f>IF(B218&lt;=0.01,0,ROUND(B218*CHOOSE($B$3,Banco1!$C$5,Banco2!$C$5,Banco3!$C$5,Banco4!$C$5,Banco5!$C$5)/12,2))</f>
        <v/>
      </c>
      <c r="F218" s="83">
        <f>IF(B218&lt;=0.01,0,MAX(B218-D218,0))</f>
        <v/>
      </c>
      <c r="G218" s="85">
        <f>IFERROR(IF(Dashboard!C6&gt;0,1-(F218/Dashboard!C6),0),0)</f>
        <v/>
      </c>
    </row>
    <row r="219" ht="20" customHeight="1">
      <c r="A219" s="82" t="n">
        <v>214</v>
      </c>
      <c r="B219" s="83">
        <f>IF(F218&lt;=0.01,0,F218)</f>
        <v/>
      </c>
      <c r="C219" s="83">
        <f>IF(B219&lt;=0.01,0,IFERROR(-PMT(CHOOSE($B$3,Banco1!$C$5,Banco2!$C$5,Banco3!$C$5,Banco4!$C$5,Banco5!$C$5)/12,Dashboard!$C$7,Dashboard!$C$6),0))</f>
        <v/>
      </c>
      <c r="D219" s="83">
        <f>IF(B219&lt;=0.01,0,MIN(C219-E219,B219))</f>
        <v/>
      </c>
      <c r="E219" s="84">
        <f>IF(B219&lt;=0.01,0,ROUND(B219*CHOOSE($B$3,Banco1!$C$5,Banco2!$C$5,Banco3!$C$5,Banco4!$C$5,Banco5!$C$5)/12,2))</f>
        <v/>
      </c>
      <c r="F219" s="83">
        <f>IF(B219&lt;=0.01,0,MAX(B219-D219,0))</f>
        <v/>
      </c>
      <c r="G219" s="85">
        <f>IFERROR(IF(Dashboard!C6&gt;0,1-(F219/Dashboard!C6),0),0)</f>
        <v/>
      </c>
    </row>
    <row r="220" ht="20" customHeight="1">
      <c r="A220" s="82" t="n">
        <v>215</v>
      </c>
      <c r="B220" s="83">
        <f>IF(F219&lt;=0.01,0,F219)</f>
        <v/>
      </c>
      <c r="C220" s="83">
        <f>IF(B220&lt;=0.01,0,IFERROR(-PMT(CHOOSE($B$3,Banco1!$C$5,Banco2!$C$5,Banco3!$C$5,Banco4!$C$5,Banco5!$C$5)/12,Dashboard!$C$7,Dashboard!$C$6),0))</f>
        <v/>
      </c>
      <c r="D220" s="83">
        <f>IF(B220&lt;=0.01,0,MIN(C220-E220,B220))</f>
        <v/>
      </c>
      <c r="E220" s="84">
        <f>IF(B220&lt;=0.01,0,ROUND(B220*CHOOSE($B$3,Banco1!$C$5,Banco2!$C$5,Banco3!$C$5,Banco4!$C$5,Banco5!$C$5)/12,2))</f>
        <v/>
      </c>
      <c r="F220" s="83">
        <f>IF(B220&lt;=0.01,0,MAX(B220-D220,0))</f>
        <v/>
      </c>
      <c r="G220" s="85">
        <f>IFERROR(IF(Dashboard!C6&gt;0,1-(F220/Dashboard!C6),0),0)</f>
        <v/>
      </c>
    </row>
    <row r="221" ht="20" customHeight="1">
      <c r="A221" s="82" t="n">
        <v>216</v>
      </c>
      <c r="B221" s="83">
        <f>IF(F220&lt;=0.01,0,F220)</f>
        <v/>
      </c>
      <c r="C221" s="83">
        <f>IF(B221&lt;=0.01,0,IFERROR(-PMT(CHOOSE($B$3,Banco1!$C$5,Banco2!$C$5,Banco3!$C$5,Banco4!$C$5,Banco5!$C$5)/12,Dashboard!$C$7,Dashboard!$C$6),0))</f>
        <v/>
      </c>
      <c r="D221" s="83">
        <f>IF(B221&lt;=0.01,0,MIN(C221-E221,B221))</f>
        <v/>
      </c>
      <c r="E221" s="84">
        <f>IF(B221&lt;=0.01,0,ROUND(B221*CHOOSE($B$3,Banco1!$C$5,Banco2!$C$5,Banco3!$C$5,Banco4!$C$5,Banco5!$C$5)/12,2))</f>
        <v/>
      </c>
      <c r="F221" s="83">
        <f>IF(B221&lt;=0.01,0,MAX(B221-D221,0))</f>
        <v/>
      </c>
      <c r="G221" s="85">
        <f>IFERROR(IF(Dashboard!C6&gt;0,1-(F221/Dashboard!C6),0),0)</f>
        <v/>
      </c>
    </row>
    <row r="222" ht="20" customHeight="1">
      <c r="A222" s="82" t="n">
        <v>217</v>
      </c>
      <c r="B222" s="83">
        <f>IF(F221&lt;=0.01,0,F221)</f>
        <v/>
      </c>
      <c r="C222" s="83">
        <f>IF(B222&lt;=0.01,0,IFERROR(-PMT(CHOOSE($B$3,Banco1!$C$5,Banco2!$C$5,Banco3!$C$5,Banco4!$C$5,Banco5!$C$5)/12,Dashboard!$C$7,Dashboard!$C$6),0))</f>
        <v/>
      </c>
      <c r="D222" s="83">
        <f>IF(B222&lt;=0.01,0,MIN(C222-E222,B222))</f>
        <v/>
      </c>
      <c r="E222" s="84">
        <f>IF(B222&lt;=0.01,0,ROUND(B222*CHOOSE($B$3,Banco1!$C$5,Banco2!$C$5,Banco3!$C$5,Banco4!$C$5,Banco5!$C$5)/12,2))</f>
        <v/>
      </c>
      <c r="F222" s="83">
        <f>IF(B222&lt;=0.01,0,MAX(B222-D222,0))</f>
        <v/>
      </c>
      <c r="G222" s="85">
        <f>IFERROR(IF(Dashboard!C6&gt;0,1-(F222/Dashboard!C6),0),0)</f>
        <v/>
      </c>
    </row>
    <row r="223" ht="20" customHeight="1">
      <c r="A223" s="82" t="n">
        <v>218</v>
      </c>
      <c r="B223" s="83">
        <f>IF(F222&lt;=0.01,0,F222)</f>
        <v/>
      </c>
      <c r="C223" s="83">
        <f>IF(B223&lt;=0.01,0,IFERROR(-PMT(CHOOSE($B$3,Banco1!$C$5,Banco2!$C$5,Banco3!$C$5,Banco4!$C$5,Banco5!$C$5)/12,Dashboard!$C$7,Dashboard!$C$6),0))</f>
        <v/>
      </c>
      <c r="D223" s="83">
        <f>IF(B223&lt;=0.01,0,MIN(C223-E223,B223))</f>
        <v/>
      </c>
      <c r="E223" s="84">
        <f>IF(B223&lt;=0.01,0,ROUND(B223*CHOOSE($B$3,Banco1!$C$5,Banco2!$C$5,Banco3!$C$5,Banco4!$C$5,Banco5!$C$5)/12,2))</f>
        <v/>
      </c>
      <c r="F223" s="83">
        <f>IF(B223&lt;=0.01,0,MAX(B223-D223,0))</f>
        <v/>
      </c>
      <c r="G223" s="85">
        <f>IFERROR(IF(Dashboard!C6&gt;0,1-(F223/Dashboard!C6),0),0)</f>
        <v/>
      </c>
    </row>
    <row r="224" ht="20" customHeight="1">
      <c r="A224" s="82" t="n">
        <v>219</v>
      </c>
      <c r="B224" s="83">
        <f>IF(F223&lt;=0.01,0,F223)</f>
        <v/>
      </c>
      <c r="C224" s="83">
        <f>IF(B224&lt;=0.01,0,IFERROR(-PMT(CHOOSE($B$3,Banco1!$C$5,Banco2!$C$5,Banco3!$C$5,Banco4!$C$5,Banco5!$C$5)/12,Dashboard!$C$7,Dashboard!$C$6),0))</f>
        <v/>
      </c>
      <c r="D224" s="83">
        <f>IF(B224&lt;=0.01,0,MIN(C224-E224,B224))</f>
        <v/>
      </c>
      <c r="E224" s="84">
        <f>IF(B224&lt;=0.01,0,ROUND(B224*CHOOSE($B$3,Banco1!$C$5,Banco2!$C$5,Banco3!$C$5,Banco4!$C$5,Banco5!$C$5)/12,2))</f>
        <v/>
      </c>
      <c r="F224" s="83">
        <f>IF(B224&lt;=0.01,0,MAX(B224-D224,0))</f>
        <v/>
      </c>
      <c r="G224" s="85">
        <f>IFERROR(IF(Dashboard!C6&gt;0,1-(F224/Dashboard!C6),0),0)</f>
        <v/>
      </c>
    </row>
    <row r="225" ht="20" customHeight="1">
      <c r="A225" s="82" t="n">
        <v>220</v>
      </c>
      <c r="B225" s="83">
        <f>IF(F224&lt;=0.01,0,F224)</f>
        <v/>
      </c>
      <c r="C225" s="83">
        <f>IF(B225&lt;=0.01,0,IFERROR(-PMT(CHOOSE($B$3,Banco1!$C$5,Banco2!$C$5,Banco3!$C$5,Banco4!$C$5,Banco5!$C$5)/12,Dashboard!$C$7,Dashboard!$C$6),0))</f>
        <v/>
      </c>
      <c r="D225" s="83">
        <f>IF(B225&lt;=0.01,0,MIN(C225-E225,B225))</f>
        <v/>
      </c>
      <c r="E225" s="84">
        <f>IF(B225&lt;=0.01,0,ROUND(B225*CHOOSE($B$3,Banco1!$C$5,Banco2!$C$5,Banco3!$C$5,Banco4!$C$5,Banco5!$C$5)/12,2))</f>
        <v/>
      </c>
      <c r="F225" s="83">
        <f>IF(B225&lt;=0.01,0,MAX(B225-D225,0))</f>
        <v/>
      </c>
      <c r="G225" s="85">
        <f>IFERROR(IF(Dashboard!C6&gt;0,1-(F225/Dashboard!C6),0),0)</f>
        <v/>
      </c>
    </row>
    <row r="226" ht="20" customHeight="1">
      <c r="A226" s="82" t="n">
        <v>221</v>
      </c>
      <c r="B226" s="83">
        <f>IF(F225&lt;=0.01,0,F225)</f>
        <v/>
      </c>
      <c r="C226" s="83">
        <f>IF(B226&lt;=0.01,0,IFERROR(-PMT(CHOOSE($B$3,Banco1!$C$5,Banco2!$C$5,Banco3!$C$5,Banco4!$C$5,Banco5!$C$5)/12,Dashboard!$C$7,Dashboard!$C$6),0))</f>
        <v/>
      </c>
      <c r="D226" s="83">
        <f>IF(B226&lt;=0.01,0,MIN(C226-E226,B226))</f>
        <v/>
      </c>
      <c r="E226" s="84">
        <f>IF(B226&lt;=0.01,0,ROUND(B226*CHOOSE($B$3,Banco1!$C$5,Banco2!$C$5,Banco3!$C$5,Banco4!$C$5,Banco5!$C$5)/12,2))</f>
        <v/>
      </c>
      <c r="F226" s="83">
        <f>IF(B226&lt;=0.01,0,MAX(B226-D226,0))</f>
        <v/>
      </c>
      <c r="G226" s="85">
        <f>IFERROR(IF(Dashboard!C6&gt;0,1-(F226/Dashboard!C6),0),0)</f>
        <v/>
      </c>
    </row>
    <row r="227" ht="20" customHeight="1">
      <c r="A227" s="82" t="n">
        <v>222</v>
      </c>
      <c r="B227" s="83">
        <f>IF(F226&lt;=0.01,0,F226)</f>
        <v/>
      </c>
      <c r="C227" s="83">
        <f>IF(B227&lt;=0.01,0,IFERROR(-PMT(CHOOSE($B$3,Banco1!$C$5,Banco2!$C$5,Banco3!$C$5,Banco4!$C$5,Banco5!$C$5)/12,Dashboard!$C$7,Dashboard!$C$6),0))</f>
        <v/>
      </c>
      <c r="D227" s="83">
        <f>IF(B227&lt;=0.01,0,MIN(C227-E227,B227))</f>
        <v/>
      </c>
      <c r="E227" s="84">
        <f>IF(B227&lt;=0.01,0,ROUND(B227*CHOOSE($B$3,Banco1!$C$5,Banco2!$C$5,Banco3!$C$5,Banco4!$C$5,Banco5!$C$5)/12,2))</f>
        <v/>
      </c>
      <c r="F227" s="83">
        <f>IF(B227&lt;=0.01,0,MAX(B227-D227,0))</f>
        <v/>
      </c>
      <c r="G227" s="85">
        <f>IFERROR(IF(Dashboard!C6&gt;0,1-(F227/Dashboard!C6),0),0)</f>
        <v/>
      </c>
    </row>
    <row r="228" ht="20" customHeight="1">
      <c r="A228" s="82" t="n">
        <v>223</v>
      </c>
      <c r="B228" s="83">
        <f>IF(F227&lt;=0.01,0,F227)</f>
        <v/>
      </c>
      <c r="C228" s="83">
        <f>IF(B228&lt;=0.01,0,IFERROR(-PMT(CHOOSE($B$3,Banco1!$C$5,Banco2!$C$5,Banco3!$C$5,Banco4!$C$5,Banco5!$C$5)/12,Dashboard!$C$7,Dashboard!$C$6),0))</f>
        <v/>
      </c>
      <c r="D228" s="83">
        <f>IF(B228&lt;=0.01,0,MIN(C228-E228,B228))</f>
        <v/>
      </c>
      <c r="E228" s="84">
        <f>IF(B228&lt;=0.01,0,ROUND(B228*CHOOSE($B$3,Banco1!$C$5,Banco2!$C$5,Banco3!$C$5,Banco4!$C$5,Banco5!$C$5)/12,2))</f>
        <v/>
      </c>
      <c r="F228" s="83">
        <f>IF(B228&lt;=0.01,0,MAX(B228-D228,0))</f>
        <v/>
      </c>
      <c r="G228" s="85">
        <f>IFERROR(IF(Dashboard!C6&gt;0,1-(F228/Dashboard!C6),0),0)</f>
        <v/>
      </c>
    </row>
    <row r="229" ht="20" customHeight="1">
      <c r="A229" s="82" t="n">
        <v>224</v>
      </c>
      <c r="B229" s="83">
        <f>IF(F228&lt;=0.01,0,F228)</f>
        <v/>
      </c>
      <c r="C229" s="83">
        <f>IF(B229&lt;=0.01,0,IFERROR(-PMT(CHOOSE($B$3,Banco1!$C$5,Banco2!$C$5,Banco3!$C$5,Banco4!$C$5,Banco5!$C$5)/12,Dashboard!$C$7,Dashboard!$C$6),0))</f>
        <v/>
      </c>
      <c r="D229" s="83">
        <f>IF(B229&lt;=0.01,0,MIN(C229-E229,B229))</f>
        <v/>
      </c>
      <c r="E229" s="84">
        <f>IF(B229&lt;=0.01,0,ROUND(B229*CHOOSE($B$3,Banco1!$C$5,Banco2!$C$5,Banco3!$C$5,Banco4!$C$5,Banco5!$C$5)/12,2))</f>
        <v/>
      </c>
      <c r="F229" s="83">
        <f>IF(B229&lt;=0.01,0,MAX(B229-D229,0))</f>
        <v/>
      </c>
      <c r="G229" s="85">
        <f>IFERROR(IF(Dashboard!C6&gt;0,1-(F229/Dashboard!C6),0),0)</f>
        <v/>
      </c>
    </row>
    <row r="230" ht="20" customHeight="1">
      <c r="A230" s="82" t="n">
        <v>225</v>
      </c>
      <c r="B230" s="83">
        <f>IF(F229&lt;=0.01,0,F229)</f>
        <v/>
      </c>
      <c r="C230" s="83">
        <f>IF(B230&lt;=0.01,0,IFERROR(-PMT(CHOOSE($B$3,Banco1!$C$5,Banco2!$C$5,Banco3!$C$5,Banco4!$C$5,Banco5!$C$5)/12,Dashboard!$C$7,Dashboard!$C$6),0))</f>
        <v/>
      </c>
      <c r="D230" s="83">
        <f>IF(B230&lt;=0.01,0,MIN(C230-E230,B230))</f>
        <v/>
      </c>
      <c r="E230" s="84">
        <f>IF(B230&lt;=0.01,0,ROUND(B230*CHOOSE($B$3,Banco1!$C$5,Banco2!$C$5,Banco3!$C$5,Banco4!$C$5,Banco5!$C$5)/12,2))</f>
        <v/>
      </c>
      <c r="F230" s="83">
        <f>IF(B230&lt;=0.01,0,MAX(B230-D230,0))</f>
        <v/>
      </c>
      <c r="G230" s="85">
        <f>IFERROR(IF(Dashboard!C6&gt;0,1-(F230/Dashboard!C6),0),0)</f>
        <v/>
      </c>
    </row>
    <row r="231" ht="20" customHeight="1">
      <c r="A231" s="82" t="n">
        <v>226</v>
      </c>
      <c r="B231" s="83">
        <f>IF(F230&lt;=0.01,0,F230)</f>
        <v/>
      </c>
      <c r="C231" s="83">
        <f>IF(B231&lt;=0.01,0,IFERROR(-PMT(CHOOSE($B$3,Banco1!$C$5,Banco2!$C$5,Banco3!$C$5,Banco4!$C$5,Banco5!$C$5)/12,Dashboard!$C$7,Dashboard!$C$6),0))</f>
        <v/>
      </c>
      <c r="D231" s="83">
        <f>IF(B231&lt;=0.01,0,MIN(C231-E231,B231))</f>
        <v/>
      </c>
      <c r="E231" s="84">
        <f>IF(B231&lt;=0.01,0,ROUND(B231*CHOOSE($B$3,Banco1!$C$5,Banco2!$C$5,Banco3!$C$5,Banco4!$C$5,Banco5!$C$5)/12,2))</f>
        <v/>
      </c>
      <c r="F231" s="83">
        <f>IF(B231&lt;=0.01,0,MAX(B231-D231,0))</f>
        <v/>
      </c>
      <c r="G231" s="85">
        <f>IFERROR(IF(Dashboard!C6&gt;0,1-(F231/Dashboard!C6),0),0)</f>
        <v/>
      </c>
    </row>
    <row r="232" ht="20" customHeight="1">
      <c r="A232" s="82" t="n">
        <v>227</v>
      </c>
      <c r="B232" s="83">
        <f>IF(F231&lt;=0.01,0,F231)</f>
        <v/>
      </c>
      <c r="C232" s="83">
        <f>IF(B232&lt;=0.01,0,IFERROR(-PMT(CHOOSE($B$3,Banco1!$C$5,Banco2!$C$5,Banco3!$C$5,Banco4!$C$5,Banco5!$C$5)/12,Dashboard!$C$7,Dashboard!$C$6),0))</f>
        <v/>
      </c>
      <c r="D232" s="83">
        <f>IF(B232&lt;=0.01,0,MIN(C232-E232,B232))</f>
        <v/>
      </c>
      <c r="E232" s="84">
        <f>IF(B232&lt;=0.01,0,ROUND(B232*CHOOSE($B$3,Banco1!$C$5,Banco2!$C$5,Banco3!$C$5,Banco4!$C$5,Banco5!$C$5)/12,2))</f>
        <v/>
      </c>
      <c r="F232" s="83">
        <f>IF(B232&lt;=0.01,0,MAX(B232-D232,0))</f>
        <v/>
      </c>
      <c r="G232" s="85">
        <f>IFERROR(IF(Dashboard!C6&gt;0,1-(F232/Dashboard!C6),0),0)</f>
        <v/>
      </c>
    </row>
    <row r="233" ht="20" customHeight="1">
      <c r="A233" s="82" t="n">
        <v>228</v>
      </c>
      <c r="B233" s="83">
        <f>IF(F232&lt;=0.01,0,F232)</f>
        <v/>
      </c>
      <c r="C233" s="83">
        <f>IF(B233&lt;=0.01,0,IFERROR(-PMT(CHOOSE($B$3,Banco1!$C$5,Banco2!$C$5,Banco3!$C$5,Banco4!$C$5,Banco5!$C$5)/12,Dashboard!$C$7,Dashboard!$C$6),0))</f>
        <v/>
      </c>
      <c r="D233" s="83">
        <f>IF(B233&lt;=0.01,0,MIN(C233-E233,B233))</f>
        <v/>
      </c>
      <c r="E233" s="84">
        <f>IF(B233&lt;=0.01,0,ROUND(B233*CHOOSE($B$3,Banco1!$C$5,Banco2!$C$5,Banco3!$C$5,Banco4!$C$5,Banco5!$C$5)/12,2))</f>
        <v/>
      </c>
      <c r="F233" s="83">
        <f>IF(B233&lt;=0.01,0,MAX(B233-D233,0))</f>
        <v/>
      </c>
      <c r="G233" s="85">
        <f>IFERROR(IF(Dashboard!C6&gt;0,1-(F233/Dashboard!C6),0),0)</f>
        <v/>
      </c>
    </row>
    <row r="234" ht="20" customHeight="1">
      <c r="A234" s="82" t="n">
        <v>229</v>
      </c>
      <c r="B234" s="83">
        <f>IF(F233&lt;=0.01,0,F233)</f>
        <v/>
      </c>
      <c r="C234" s="83">
        <f>IF(B234&lt;=0.01,0,IFERROR(-PMT(CHOOSE($B$3,Banco1!$C$5,Banco2!$C$5,Banco3!$C$5,Banco4!$C$5,Banco5!$C$5)/12,Dashboard!$C$7,Dashboard!$C$6),0))</f>
        <v/>
      </c>
      <c r="D234" s="83">
        <f>IF(B234&lt;=0.01,0,MIN(C234-E234,B234))</f>
        <v/>
      </c>
      <c r="E234" s="84">
        <f>IF(B234&lt;=0.01,0,ROUND(B234*CHOOSE($B$3,Banco1!$C$5,Banco2!$C$5,Banco3!$C$5,Banco4!$C$5,Banco5!$C$5)/12,2))</f>
        <v/>
      </c>
      <c r="F234" s="83">
        <f>IF(B234&lt;=0.01,0,MAX(B234-D234,0))</f>
        <v/>
      </c>
      <c r="G234" s="85">
        <f>IFERROR(IF(Dashboard!C6&gt;0,1-(F234/Dashboard!C6),0),0)</f>
        <v/>
      </c>
    </row>
    <row r="235" ht="20" customHeight="1">
      <c r="A235" s="82" t="n">
        <v>230</v>
      </c>
      <c r="B235" s="83">
        <f>IF(F234&lt;=0.01,0,F234)</f>
        <v/>
      </c>
      <c r="C235" s="83">
        <f>IF(B235&lt;=0.01,0,IFERROR(-PMT(CHOOSE($B$3,Banco1!$C$5,Banco2!$C$5,Banco3!$C$5,Banco4!$C$5,Banco5!$C$5)/12,Dashboard!$C$7,Dashboard!$C$6),0))</f>
        <v/>
      </c>
      <c r="D235" s="83">
        <f>IF(B235&lt;=0.01,0,MIN(C235-E235,B235))</f>
        <v/>
      </c>
      <c r="E235" s="84">
        <f>IF(B235&lt;=0.01,0,ROUND(B235*CHOOSE($B$3,Banco1!$C$5,Banco2!$C$5,Banco3!$C$5,Banco4!$C$5,Banco5!$C$5)/12,2))</f>
        <v/>
      </c>
      <c r="F235" s="83">
        <f>IF(B235&lt;=0.01,0,MAX(B235-D235,0))</f>
        <v/>
      </c>
      <c r="G235" s="85">
        <f>IFERROR(IF(Dashboard!C6&gt;0,1-(F235/Dashboard!C6),0),0)</f>
        <v/>
      </c>
    </row>
    <row r="236" ht="20" customHeight="1">
      <c r="A236" s="82" t="n">
        <v>231</v>
      </c>
      <c r="B236" s="83">
        <f>IF(F235&lt;=0.01,0,F235)</f>
        <v/>
      </c>
      <c r="C236" s="83">
        <f>IF(B236&lt;=0.01,0,IFERROR(-PMT(CHOOSE($B$3,Banco1!$C$5,Banco2!$C$5,Banco3!$C$5,Banco4!$C$5,Banco5!$C$5)/12,Dashboard!$C$7,Dashboard!$C$6),0))</f>
        <v/>
      </c>
      <c r="D236" s="83">
        <f>IF(B236&lt;=0.01,0,MIN(C236-E236,B236))</f>
        <v/>
      </c>
      <c r="E236" s="84">
        <f>IF(B236&lt;=0.01,0,ROUND(B236*CHOOSE($B$3,Banco1!$C$5,Banco2!$C$5,Banco3!$C$5,Banco4!$C$5,Banco5!$C$5)/12,2))</f>
        <v/>
      </c>
      <c r="F236" s="83">
        <f>IF(B236&lt;=0.01,0,MAX(B236-D236,0))</f>
        <v/>
      </c>
      <c r="G236" s="85">
        <f>IFERROR(IF(Dashboard!C6&gt;0,1-(F236/Dashboard!C6),0),0)</f>
        <v/>
      </c>
    </row>
    <row r="237" ht="20" customHeight="1">
      <c r="A237" s="82" t="n">
        <v>232</v>
      </c>
      <c r="B237" s="83">
        <f>IF(F236&lt;=0.01,0,F236)</f>
        <v/>
      </c>
      <c r="C237" s="83">
        <f>IF(B237&lt;=0.01,0,IFERROR(-PMT(CHOOSE($B$3,Banco1!$C$5,Banco2!$C$5,Banco3!$C$5,Banco4!$C$5,Banco5!$C$5)/12,Dashboard!$C$7,Dashboard!$C$6),0))</f>
        <v/>
      </c>
      <c r="D237" s="83">
        <f>IF(B237&lt;=0.01,0,MIN(C237-E237,B237))</f>
        <v/>
      </c>
      <c r="E237" s="84">
        <f>IF(B237&lt;=0.01,0,ROUND(B237*CHOOSE($B$3,Banco1!$C$5,Banco2!$C$5,Banco3!$C$5,Banco4!$C$5,Banco5!$C$5)/12,2))</f>
        <v/>
      </c>
      <c r="F237" s="83">
        <f>IF(B237&lt;=0.01,0,MAX(B237-D237,0))</f>
        <v/>
      </c>
      <c r="G237" s="85">
        <f>IFERROR(IF(Dashboard!C6&gt;0,1-(F237/Dashboard!C6),0),0)</f>
        <v/>
      </c>
    </row>
    <row r="238" ht="20" customHeight="1">
      <c r="A238" s="82" t="n">
        <v>233</v>
      </c>
      <c r="B238" s="83">
        <f>IF(F237&lt;=0.01,0,F237)</f>
        <v/>
      </c>
      <c r="C238" s="83">
        <f>IF(B238&lt;=0.01,0,IFERROR(-PMT(CHOOSE($B$3,Banco1!$C$5,Banco2!$C$5,Banco3!$C$5,Banco4!$C$5,Banco5!$C$5)/12,Dashboard!$C$7,Dashboard!$C$6),0))</f>
        <v/>
      </c>
      <c r="D238" s="83">
        <f>IF(B238&lt;=0.01,0,MIN(C238-E238,B238))</f>
        <v/>
      </c>
      <c r="E238" s="84">
        <f>IF(B238&lt;=0.01,0,ROUND(B238*CHOOSE($B$3,Banco1!$C$5,Banco2!$C$5,Banco3!$C$5,Banco4!$C$5,Banco5!$C$5)/12,2))</f>
        <v/>
      </c>
      <c r="F238" s="83">
        <f>IF(B238&lt;=0.01,0,MAX(B238-D238,0))</f>
        <v/>
      </c>
      <c r="G238" s="85">
        <f>IFERROR(IF(Dashboard!C6&gt;0,1-(F238/Dashboard!C6),0),0)</f>
        <v/>
      </c>
    </row>
    <row r="239" ht="20" customHeight="1">
      <c r="A239" s="82" t="n">
        <v>234</v>
      </c>
      <c r="B239" s="83">
        <f>IF(F238&lt;=0.01,0,F238)</f>
        <v/>
      </c>
      <c r="C239" s="83">
        <f>IF(B239&lt;=0.01,0,IFERROR(-PMT(CHOOSE($B$3,Banco1!$C$5,Banco2!$C$5,Banco3!$C$5,Banco4!$C$5,Banco5!$C$5)/12,Dashboard!$C$7,Dashboard!$C$6),0))</f>
        <v/>
      </c>
      <c r="D239" s="83">
        <f>IF(B239&lt;=0.01,0,MIN(C239-E239,B239))</f>
        <v/>
      </c>
      <c r="E239" s="84">
        <f>IF(B239&lt;=0.01,0,ROUND(B239*CHOOSE($B$3,Banco1!$C$5,Banco2!$C$5,Banco3!$C$5,Banco4!$C$5,Banco5!$C$5)/12,2))</f>
        <v/>
      </c>
      <c r="F239" s="83">
        <f>IF(B239&lt;=0.01,0,MAX(B239-D239,0))</f>
        <v/>
      </c>
      <c r="G239" s="85">
        <f>IFERROR(IF(Dashboard!C6&gt;0,1-(F239/Dashboard!C6),0),0)</f>
        <v/>
      </c>
    </row>
    <row r="240" ht="20" customHeight="1">
      <c r="A240" s="82" t="n">
        <v>235</v>
      </c>
      <c r="B240" s="83">
        <f>IF(F239&lt;=0.01,0,F239)</f>
        <v/>
      </c>
      <c r="C240" s="83">
        <f>IF(B240&lt;=0.01,0,IFERROR(-PMT(CHOOSE($B$3,Banco1!$C$5,Banco2!$C$5,Banco3!$C$5,Banco4!$C$5,Banco5!$C$5)/12,Dashboard!$C$7,Dashboard!$C$6),0))</f>
        <v/>
      </c>
      <c r="D240" s="83">
        <f>IF(B240&lt;=0.01,0,MIN(C240-E240,B240))</f>
        <v/>
      </c>
      <c r="E240" s="84">
        <f>IF(B240&lt;=0.01,0,ROUND(B240*CHOOSE($B$3,Banco1!$C$5,Banco2!$C$5,Banco3!$C$5,Banco4!$C$5,Banco5!$C$5)/12,2))</f>
        <v/>
      </c>
      <c r="F240" s="83">
        <f>IF(B240&lt;=0.01,0,MAX(B240-D240,0))</f>
        <v/>
      </c>
      <c r="G240" s="85">
        <f>IFERROR(IF(Dashboard!C6&gt;0,1-(F240/Dashboard!C6),0),0)</f>
        <v/>
      </c>
    </row>
    <row r="241" ht="20" customHeight="1">
      <c r="A241" s="82" t="n">
        <v>236</v>
      </c>
      <c r="B241" s="83">
        <f>IF(F240&lt;=0.01,0,F240)</f>
        <v/>
      </c>
      <c r="C241" s="83">
        <f>IF(B241&lt;=0.01,0,IFERROR(-PMT(CHOOSE($B$3,Banco1!$C$5,Banco2!$C$5,Banco3!$C$5,Banco4!$C$5,Banco5!$C$5)/12,Dashboard!$C$7,Dashboard!$C$6),0))</f>
        <v/>
      </c>
      <c r="D241" s="83">
        <f>IF(B241&lt;=0.01,0,MIN(C241-E241,B241))</f>
        <v/>
      </c>
      <c r="E241" s="84">
        <f>IF(B241&lt;=0.01,0,ROUND(B241*CHOOSE($B$3,Banco1!$C$5,Banco2!$C$5,Banco3!$C$5,Banco4!$C$5,Banco5!$C$5)/12,2))</f>
        <v/>
      </c>
      <c r="F241" s="83">
        <f>IF(B241&lt;=0.01,0,MAX(B241-D241,0))</f>
        <v/>
      </c>
      <c r="G241" s="85">
        <f>IFERROR(IF(Dashboard!C6&gt;0,1-(F241/Dashboard!C6),0),0)</f>
        <v/>
      </c>
    </row>
    <row r="242" ht="20" customHeight="1">
      <c r="A242" s="82" t="n">
        <v>237</v>
      </c>
      <c r="B242" s="83">
        <f>IF(F241&lt;=0.01,0,F241)</f>
        <v/>
      </c>
      <c r="C242" s="83">
        <f>IF(B242&lt;=0.01,0,IFERROR(-PMT(CHOOSE($B$3,Banco1!$C$5,Banco2!$C$5,Banco3!$C$5,Banco4!$C$5,Banco5!$C$5)/12,Dashboard!$C$7,Dashboard!$C$6),0))</f>
        <v/>
      </c>
      <c r="D242" s="83">
        <f>IF(B242&lt;=0.01,0,MIN(C242-E242,B242))</f>
        <v/>
      </c>
      <c r="E242" s="84">
        <f>IF(B242&lt;=0.01,0,ROUND(B242*CHOOSE($B$3,Banco1!$C$5,Banco2!$C$5,Banco3!$C$5,Banco4!$C$5,Banco5!$C$5)/12,2))</f>
        <v/>
      </c>
      <c r="F242" s="83">
        <f>IF(B242&lt;=0.01,0,MAX(B242-D242,0))</f>
        <v/>
      </c>
      <c r="G242" s="85">
        <f>IFERROR(IF(Dashboard!C6&gt;0,1-(F242/Dashboard!C6),0),0)</f>
        <v/>
      </c>
    </row>
    <row r="243" ht="20" customHeight="1">
      <c r="A243" s="82" t="n">
        <v>238</v>
      </c>
      <c r="B243" s="83">
        <f>IF(F242&lt;=0.01,0,F242)</f>
        <v/>
      </c>
      <c r="C243" s="83">
        <f>IF(B243&lt;=0.01,0,IFERROR(-PMT(CHOOSE($B$3,Banco1!$C$5,Banco2!$C$5,Banco3!$C$5,Banco4!$C$5,Banco5!$C$5)/12,Dashboard!$C$7,Dashboard!$C$6),0))</f>
        <v/>
      </c>
      <c r="D243" s="83">
        <f>IF(B243&lt;=0.01,0,MIN(C243-E243,B243))</f>
        <v/>
      </c>
      <c r="E243" s="84">
        <f>IF(B243&lt;=0.01,0,ROUND(B243*CHOOSE($B$3,Banco1!$C$5,Banco2!$C$5,Banco3!$C$5,Banco4!$C$5,Banco5!$C$5)/12,2))</f>
        <v/>
      </c>
      <c r="F243" s="83">
        <f>IF(B243&lt;=0.01,0,MAX(B243-D243,0))</f>
        <v/>
      </c>
      <c r="G243" s="85">
        <f>IFERROR(IF(Dashboard!C6&gt;0,1-(F243/Dashboard!C6),0),0)</f>
        <v/>
      </c>
    </row>
    <row r="244" ht="20" customHeight="1">
      <c r="A244" s="82" t="n">
        <v>239</v>
      </c>
      <c r="B244" s="83">
        <f>IF(F243&lt;=0.01,0,F243)</f>
        <v/>
      </c>
      <c r="C244" s="83">
        <f>IF(B244&lt;=0.01,0,IFERROR(-PMT(CHOOSE($B$3,Banco1!$C$5,Banco2!$C$5,Banco3!$C$5,Banco4!$C$5,Banco5!$C$5)/12,Dashboard!$C$7,Dashboard!$C$6),0))</f>
        <v/>
      </c>
      <c r="D244" s="83">
        <f>IF(B244&lt;=0.01,0,MIN(C244-E244,B244))</f>
        <v/>
      </c>
      <c r="E244" s="84">
        <f>IF(B244&lt;=0.01,0,ROUND(B244*CHOOSE($B$3,Banco1!$C$5,Banco2!$C$5,Banco3!$C$5,Banco4!$C$5,Banco5!$C$5)/12,2))</f>
        <v/>
      </c>
      <c r="F244" s="83">
        <f>IF(B244&lt;=0.01,0,MAX(B244-D244,0))</f>
        <v/>
      </c>
      <c r="G244" s="85">
        <f>IFERROR(IF(Dashboard!C6&gt;0,1-(F244/Dashboard!C6),0),0)</f>
        <v/>
      </c>
    </row>
    <row r="245" ht="20" customHeight="1">
      <c r="A245" s="82" t="n">
        <v>240</v>
      </c>
      <c r="B245" s="83">
        <f>IF(F244&lt;=0.01,0,F244)</f>
        <v/>
      </c>
      <c r="C245" s="83">
        <f>IF(B245&lt;=0.01,0,IFERROR(-PMT(CHOOSE($B$3,Banco1!$C$5,Banco2!$C$5,Banco3!$C$5,Banco4!$C$5,Banco5!$C$5)/12,Dashboard!$C$7,Dashboard!$C$6),0))</f>
        <v/>
      </c>
      <c r="D245" s="83">
        <f>IF(B245&lt;=0.01,0,MIN(C245-E245,B245))</f>
        <v/>
      </c>
      <c r="E245" s="84">
        <f>IF(B245&lt;=0.01,0,ROUND(B245*CHOOSE($B$3,Banco1!$C$5,Banco2!$C$5,Banco3!$C$5,Banco4!$C$5,Banco5!$C$5)/12,2))</f>
        <v/>
      </c>
      <c r="F245" s="83">
        <f>IF(B245&lt;=0.01,0,MAX(B245-D245,0))</f>
        <v/>
      </c>
      <c r="G245" s="85">
        <f>IFERROR(IF(Dashboard!C6&gt;0,1-(F245/Dashboard!C6),0),0)</f>
        <v/>
      </c>
    </row>
    <row r="246" ht="20" customHeight="1">
      <c r="A246" s="82" t="n">
        <v>241</v>
      </c>
      <c r="B246" s="83">
        <f>IF(F245&lt;=0.01,0,F245)</f>
        <v/>
      </c>
      <c r="C246" s="83">
        <f>IF(B246&lt;=0.01,0,IFERROR(-PMT(CHOOSE($B$3,Banco1!$C$5,Banco2!$C$5,Banco3!$C$5,Banco4!$C$5,Banco5!$C$5)/12,Dashboard!$C$7,Dashboard!$C$6),0))</f>
        <v/>
      </c>
      <c r="D246" s="83">
        <f>IF(B246&lt;=0.01,0,MIN(C246-E246,B246))</f>
        <v/>
      </c>
      <c r="E246" s="84">
        <f>IF(B246&lt;=0.01,0,ROUND(B246*CHOOSE($B$3,Banco1!$C$5,Banco2!$C$5,Banco3!$C$5,Banco4!$C$5,Banco5!$C$5)/12,2))</f>
        <v/>
      </c>
      <c r="F246" s="83">
        <f>IF(B246&lt;=0.01,0,MAX(B246-D246,0))</f>
        <v/>
      </c>
      <c r="G246" s="85">
        <f>IFERROR(IF(Dashboard!C6&gt;0,1-(F246/Dashboard!C6),0),0)</f>
        <v/>
      </c>
    </row>
    <row r="247" ht="20" customHeight="1">
      <c r="A247" s="82" t="n">
        <v>242</v>
      </c>
      <c r="B247" s="83">
        <f>IF(F246&lt;=0.01,0,F246)</f>
        <v/>
      </c>
      <c r="C247" s="83">
        <f>IF(B247&lt;=0.01,0,IFERROR(-PMT(CHOOSE($B$3,Banco1!$C$5,Banco2!$C$5,Banco3!$C$5,Banco4!$C$5,Banco5!$C$5)/12,Dashboard!$C$7,Dashboard!$C$6),0))</f>
        <v/>
      </c>
      <c r="D247" s="83">
        <f>IF(B247&lt;=0.01,0,MIN(C247-E247,B247))</f>
        <v/>
      </c>
      <c r="E247" s="84">
        <f>IF(B247&lt;=0.01,0,ROUND(B247*CHOOSE($B$3,Banco1!$C$5,Banco2!$C$5,Banco3!$C$5,Banco4!$C$5,Banco5!$C$5)/12,2))</f>
        <v/>
      </c>
      <c r="F247" s="83">
        <f>IF(B247&lt;=0.01,0,MAX(B247-D247,0))</f>
        <v/>
      </c>
      <c r="G247" s="85">
        <f>IFERROR(IF(Dashboard!C6&gt;0,1-(F247/Dashboard!C6),0),0)</f>
        <v/>
      </c>
    </row>
    <row r="248" ht="20" customHeight="1">
      <c r="A248" s="82" t="n">
        <v>243</v>
      </c>
      <c r="B248" s="83">
        <f>IF(F247&lt;=0.01,0,F247)</f>
        <v/>
      </c>
      <c r="C248" s="83">
        <f>IF(B248&lt;=0.01,0,IFERROR(-PMT(CHOOSE($B$3,Banco1!$C$5,Banco2!$C$5,Banco3!$C$5,Banco4!$C$5,Banco5!$C$5)/12,Dashboard!$C$7,Dashboard!$C$6),0))</f>
        <v/>
      </c>
      <c r="D248" s="83">
        <f>IF(B248&lt;=0.01,0,MIN(C248-E248,B248))</f>
        <v/>
      </c>
      <c r="E248" s="84">
        <f>IF(B248&lt;=0.01,0,ROUND(B248*CHOOSE($B$3,Banco1!$C$5,Banco2!$C$5,Banco3!$C$5,Banco4!$C$5,Banco5!$C$5)/12,2))</f>
        <v/>
      </c>
      <c r="F248" s="83">
        <f>IF(B248&lt;=0.01,0,MAX(B248-D248,0))</f>
        <v/>
      </c>
      <c r="G248" s="85">
        <f>IFERROR(IF(Dashboard!C6&gt;0,1-(F248/Dashboard!C6),0),0)</f>
        <v/>
      </c>
    </row>
    <row r="249" ht="20" customHeight="1">
      <c r="A249" s="82" t="n">
        <v>244</v>
      </c>
      <c r="B249" s="83">
        <f>IF(F248&lt;=0.01,0,F248)</f>
        <v/>
      </c>
      <c r="C249" s="83">
        <f>IF(B249&lt;=0.01,0,IFERROR(-PMT(CHOOSE($B$3,Banco1!$C$5,Banco2!$C$5,Banco3!$C$5,Banco4!$C$5,Banco5!$C$5)/12,Dashboard!$C$7,Dashboard!$C$6),0))</f>
        <v/>
      </c>
      <c r="D249" s="83">
        <f>IF(B249&lt;=0.01,0,MIN(C249-E249,B249))</f>
        <v/>
      </c>
      <c r="E249" s="84">
        <f>IF(B249&lt;=0.01,0,ROUND(B249*CHOOSE($B$3,Banco1!$C$5,Banco2!$C$5,Banco3!$C$5,Banco4!$C$5,Banco5!$C$5)/12,2))</f>
        <v/>
      </c>
      <c r="F249" s="83">
        <f>IF(B249&lt;=0.01,0,MAX(B249-D249,0))</f>
        <v/>
      </c>
      <c r="G249" s="85">
        <f>IFERROR(IF(Dashboard!C6&gt;0,1-(F249/Dashboard!C6),0),0)</f>
        <v/>
      </c>
    </row>
    <row r="250" ht="20" customHeight="1">
      <c r="A250" s="82" t="n">
        <v>245</v>
      </c>
      <c r="B250" s="83">
        <f>IF(F249&lt;=0.01,0,F249)</f>
        <v/>
      </c>
      <c r="C250" s="83">
        <f>IF(B250&lt;=0.01,0,IFERROR(-PMT(CHOOSE($B$3,Banco1!$C$5,Banco2!$C$5,Banco3!$C$5,Banco4!$C$5,Banco5!$C$5)/12,Dashboard!$C$7,Dashboard!$C$6),0))</f>
        <v/>
      </c>
      <c r="D250" s="83">
        <f>IF(B250&lt;=0.01,0,MIN(C250-E250,B250))</f>
        <v/>
      </c>
      <c r="E250" s="84">
        <f>IF(B250&lt;=0.01,0,ROUND(B250*CHOOSE($B$3,Banco1!$C$5,Banco2!$C$5,Banco3!$C$5,Banco4!$C$5,Banco5!$C$5)/12,2))</f>
        <v/>
      </c>
      <c r="F250" s="83">
        <f>IF(B250&lt;=0.01,0,MAX(B250-D250,0))</f>
        <v/>
      </c>
      <c r="G250" s="85">
        <f>IFERROR(IF(Dashboard!C6&gt;0,1-(F250/Dashboard!C6),0),0)</f>
        <v/>
      </c>
    </row>
    <row r="251" ht="20" customHeight="1">
      <c r="A251" s="82" t="n">
        <v>246</v>
      </c>
      <c r="B251" s="83">
        <f>IF(F250&lt;=0.01,0,F250)</f>
        <v/>
      </c>
      <c r="C251" s="83">
        <f>IF(B251&lt;=0.01,0,IFERROR(-PMT(CHOOSE($B$3,Banco1!$C$5,Banco2!$C$5,Banco3!$C$5,Banco4!$C$5,Banco5!$C$5)/12,Dashboard!$C$7,Dashboard!$C$6),0))</f>
        <v/>
      </c>
      <c r="D251" s="83">
        <f>IF(B251&lt;=0.01,0,MIN(C251-E251,B251))</f>
        <v/>
      </c>
      <c r="E251" s="84">
        <f>IF(B251&lt;=0.01,0,ROUND(B251*CHOOSE($B$3,Banco1!$C$5,Banco2!$C$5,Banco3!$C$5,Banco4!$C$5,Banco5!$C$5)/12,2))</f>
        <v/>
      </c>
      <c r="F251" s="83">
        <f>IF(B251&lt;=0.01,0,MAX(B251-D251,0))</f>
        <v/>
      </c>
      <c r="G251" s="85">
        <f>IFERROR(IF(Dashboard!C6&gt;0,1-(F251/Dashboard!C6),0),0)</f>
        <v/>
      </c>
    </row>
    <row r="252" ht="20" customHeight="1">
      <c r="A252" s="82" t="n">
        <v>247</v>
      </c>
      <c r="B252" s="83">
        <f>IF(F251&lt;=0.01,0,F251)</f>
        <v/>
      </c>
      <c r="C252" s="83">
        <f>IF(B252&lt;=0.01,0,IFERROR(-PMT(CHOOSE($B$3,Banco1!$C$5,Banco2!$C$5,Banco3!$C$5,Banco4!$C$5,Banco5!$C$5)/12,Dashboard!$C$7,Dashboard!$C$6),0))</f>
        <v/>
      </c>
      <c r="D252" s="83">
        <f>IF(B252&lt;=0.01,0,MIN(C252-E252,B252))</f>
        <v/>
      </c>
      <c r="E252" s="84">
        <f>IF(B252&lt;=0.01,0,ROUND(B252*CHOOSE($B$3,Banco1!$C$5,Banco2!$C$5,Banco3!$C$5,Banco4!$C$5,Banco5!$C$5)/12,2))</f>
        <v/>
      </c>
      <c r="F252" s="83">
        <f>IF(B252&lt;=0.01,0,MAX(B252-D252,0))</f>
        <v/>
      </c>
      <c r="G252" s="85">
        <f>IFERROR(IF(Dashboard!C6&gt;0,1-(F252/Dashboard!C6),0),0)</f>
        <v/>
      </c>
    </row>
    <row r="253" ht="20" customHeight="1">
      <c r="A253" s="82" t="n">
        <v>248</v>
      </c>
      <c r="B253" s="83">
        <f>IF(F252&lt;=0.01,0,F252)</f>
        <v/>
      </c>
      <c r="C253" s="83">
        <f>IF(B253&lt;=0.01,0,IFERROR(-PMT(CHOOSE($B$3,Banco1!$C$5,Banco2!$C$5,Banco3!$C$5,Banco4!$C$5,Banco5!$C$5)/12,Dashboard!$C$7,Dashboard!$C$6),0))</f>
        <v/>
      </c>
      <c r="D253" s="83">
        <f>IF(B253&lt;=0.01,0,MIN(C253-E253,B253))</f>
        <v/>
      </c>
      <c r="E253" s="84">
        <f>IF(B253&lt;=0.01,0,ROUND(B253*CHOOSE($B$3,Banco1!$C$5,Banco2!$C$5,Banco3!$C$5,Banco4!$C$5,Banco5!$C$5)/12,2))</f>
        <v/>
      </c>
      <c r="F253" s="83">
        <f>IF(B253&lt;=0.01,0,MAX(B253-D253,0))</f>
        <v/>
      </c>
      <c r="G253" s="85">
        <f>IFERROR(IF(Dashboard!C6&gt;0,1-(F253/Dashboard!C6),0),0)</f>
        <v/>
      </c>
    </row>
    <row r="254" ht="20" customHeight="1">
      <c r="A254" s="82" t="n">
        <v>249</v>
      </c>
      <c r="B254" s="83">
        <f>IF(F253&lt;=0.01,0,F253)</f>
        <v/>
      </c>
      <c r="C254" s="83">
        <f>IF(B254&lt;=0.01,0,IFERROR(-PMT(CHOOSE($B$3,Banco1!$C$5,Banco2!$C$5,Banco3!$C$5,Banco4!$C$5,Banco5!$C$5)/12,Dashboard!$C$7,Dashboard!$C$6),0))</f>
        <v/>
      </c>
      <c r="D254" s="83">
        <f>IF(B254&lt;=0.01,0,MIN(C254-E254,B254))</f>
        <v/>
      </c>
      <c r="E254" s="84">
        <f>IF(B254&lt;=0.01,0,ROUND(B254*CHOOSE($B$3,Banco1!$C$5,Banco2!$C$5,Banco3!$C$5,Banco4!$C$5,Banco5!$C$5)/12,2))</f>
        <v/>
      </c>
      <c r="F254" s="83">
        <f>IF(B254&lt;=0.01,0,MAX(B254-D254,0))</f>
        <v/>
      </c>
      <c r="G254" s="85">
        <f>IFERROR(IF(Dashboard!C6&gt;0,1-(F254/Dashboard!C6),0),0)</f>
        <v/>
      </c>
    </row>
    <row r="255" ht="20" customHeight="1">
      <c r="A255" s="82" t="n">
        <v>250</v>
      </c>
      <c r="B255" s="83">
        <f>IF(F254&lt;=0.01,0,F254)</f>
        <v/>
      </c>
      <c r="C255" s="83">
        <f>IF(B255&lt;=0.01,0,IFERROR(-PMT(CHOOSE($B$3,Banco1!$C$5,Banco2!$C$5,Banco3!$C$5,Banco4!$C$5,Banco5!$C$5)/12,Dashboard!$C$7,Dashboard!$C$6),0))</f>
        <v/>
      </c>
      <c r="D255" s="83">
        <f>IF(B255&lt;=0.01,0,MIN(C255-E255,B255))</f>
        <v/>
      </c>
      <c r="E255" s="84">
        <f>IF(B255&lt;=0.01,0,ROUND(B255*CHOOSE($B$3,Banco1!$C$5,Banco2!$C$5,Banco3!$C$5,Banco4!$C$5,Banco5!$C$5)/12,2))</f>
        <v/>
      </c>
      <c r="F255" s="83">
        <f>IF(B255&lt;=0.01,0,MAX(B255-D255,0))</f>
        <v/>
      </c>
      <c r="G255" s="85">
        <f>IFERROR(IF(Dashboard!C6&gt;0,1-(F255/Dashboard!C6),0),0)</f>
        <v/>
      </c>
    </row>
    <row r="256" ht="20" customHeight="1">
      <c r="A256" s="82" t="n">
        <v>251</v>
      </c>
      <c r="B256" s="83">
        <f>IF(F255&lt;=0.01,0,F255)</f>
        <v/>
      </c>
      <c r="C256" s="83">
        <f>IF(B256&lt;=0.01,0,IFERROR(-PMT(CHOOSE($B$3,Banco1!$C$5,Banco2!$C$5,Banco3!$C$5,Banco4!$C$5,Banco5!$C$5)/12,Dashboard!$C$7,Dashboard!$C$6),0))</f>
        <v/>
      </c>
      <c r="D256" s="83">
        <f>IF(B256&lt;=0.01,0,MIN(C256-E256,B256))</f>
        <v/>
      </c>
      <c r="E256" s="84">
        <f>IF(B256&lt;=0.01,0,ROUND(B256*CHOOSE($B$3,Banco1!$C$5,Banco2!$C$5,Banco3!$C$5,Banco4!$C$5,Banco5!$C$5)/12,2))</f>
        <v/>
      </c>
      <c r="F256" s="83">
        <f>IF(B256&lt;=0.01,0,MAX(B256-D256,0))</f>
        <v/>
      </c>
      <c r="G256" s="85">
        <f>IFERROR(IF(Dashboard!C6&gt;0,1-(F256/Dashboard!C6),0),0)</f>
        <v/>
      </c>
    </row>
    <row r="257" ht="20" customHeight="1">
      <c r="A257" s="82" t="n">
        <v>252</v>
      </c>
      <c r="B257" s="83">
        <f>IF(F256&lt;=0.01,0,F256)</f>
        <v/>
      </c>
      <c r="C257" s="83">
        <f>IF(B257&lt;=0.01,0,IFERROR(-PMT(CHOOSE($B$3,Banco1!$C$5,Banco2!$C$5,Banco3!$C$5,Banco4!$C$5,Banco5!$C$5)/12,Dashboard!$C$7,Dashboard!$C$6),0))</f>
        <v/>
      </c>
      <c r="D257" s="83">
        <f>IF(B257&lt;=0.01,0,MIN(C257-E257,B257))</f>
        <v/>
      </c>
      <c r="E257" s="84">
        <f>IF(B257&lt;=0.01,0,ROUND(B257*CHOOSE($B$3,Banco1!$C$5,Banco2!$C$5,Banco3!$C$5,Banco4!$C$5,Banco5!$C$5)/12,2))</f>
        <v/>
      </c>
      <c r="F257" s="83">
        <f>IF(B257&lt;=0.01,0,MAX(B257-D257,0))</f>
        <v/>
      </c>
      <c r="G257" s="85">
        <f>IFERROR(IF(Dashboard!C6&gt;0,1-(F257/Dashboard!C6),0),0)</f>
        <v/>
      </c>
    </row>
    <row r="258" ht="20" customHeight="1">
      <c r="A258" s="82" t="n">
        <v>253</v>
      </c>
      <c r="B258" s="83">
        <f>IF(F257&lt;=0.01,0,F257)</f>
        <v/>
      </c>
      <c r="C258" s="83">
        <f>IF(B258&lt;=0.01,0,IFERROR(-PMT(CHOOSE($B$3,Banco1!$C$5,Banco2!$C$5,Banco3!$C$5,Banco4!$C$5,Banco5!$C$5)/12,Dashboard!$C$7,Dashboard!$C$6),0))</f>
        <v/>
      </c>
      <c r="D258" s="83">
        <f>IF(B258&lt;=0.01,0,MIN(C258-E258,B258))</f>
        <v/>
      </c>
      <c r="E258" s="84">
        <f>IF(B258&lt;=0.01,0,ROUND(B258*CHOOSE($B$3,Banco1!$C$5,Banco2!$C$5,Banco3!$C$5,Banco4!$C$5,Banco5!$C$5)/12,2))</f>
        <v/>
      </c>
      <c r="F258" s="83">
        <f>IF(B258&lt;=0.01,0,MAX(B258-D258,0))</f>
        <v/>
      </c>
      <c r="G258" s="85">
        <f>IFERROR(IF(Dashboard!C6&gt;0,1-(F258/Dashboard!C6),0),0)</f>
        <v/>
      </c>
    </row>
    <row r="259" ht="20" customHeight="1">
      <c r="A259" s="82" t="n">
        <v>254</v>
      </c>
      <c r="B259" s="83">
        <f>IF(F258&lt;=0.01,0,F258)</f>
        <v/>
      </c>
      <c r="C259" s="83">
        <f>IF(B259&lt;=0.01,0,IFERROR(-PMT(CHOOSE($B$3,Banco1!$C$5,Banco2!$C$5,Banco3!$C$5,Banco4!$C$5,Banco5!$C$5)/12,Dashboard!$C$7,Dashboard!$C$6),0))</f>
        <v/>
      </c>
      <c r="D259" s="83">
        <f>IF(B259&lt;=0.01,0,MIN(C259-E259,B259))</f>
        <v/>
      </c>
      <c r="E259" s="84">
        <f>IF(B259&lt;=0.01,0,ROUND(B259*CHOOSE($B$3,Banco1!$C$5,Banco2!$C$5,Banco3!$C$5,Banco4!$C$5,Banco5!$C$5)/12,2))</f>
        <v/>
      </c>
      <c r="F259" s="83">
        <f>IF(B259&lt;=0.01,0,MAX(B259-D259,0))</f>
        <v/>
      </c>
      <c r="G259" s="85">
        <f>IFERROR(IF(Dashboard!C6&gt;0,1-(F259/Dashboard!C6),0),0)</f>
        <v/>
      </c>
    </row>
    <row r="260" ht="20" customHeight="1">
      <c r="A260" s="82" t="n">
        <v>255</v>
      </c>
      <c r="B260" s="83">
        <f>IF(F259&lt;=0.01,0,F259)</f>
        <v/>
      </c>
      <c r="C260" s="83">
        <f>IF(B260&lt;=0.01,0,IFERROR(-PMT(CHOOSE($B$3,Banco1!$C$5,Banco2!$C$5,Banco3!$C$5,Banco4!$C$5,Banco5!$C$5)/12,Dashboard!$C$7,Dashboard!$C$6),0))</f>
        <v/>
      </c>
      <c r="D260" s="83">
        <f>IF(B260&lt;=0.01,0,MIN(C260-E260,B260))</f>
        <v/>
      </c>
      <c r="E260" s="84">
        <f>IF(B260&lt;=0.01,0,ROUND(B260*CHOOSE($B$3,Banco1!$C$5,Banco2!$C$5,Banco3!$C$5,Banco4!$C$5,Banco5!$C$5)/12,2))</f>
        <v/>
      </c>
      <c r="F260" s="83">
        <f>IF(B260&lt;=0.01,0,MAX(B260-D260,0))</f>
        <v/>
      </c>
      <c r="G260" s="85">
        <f>IFERROR(IF(Dashboard!C6&gt;0,1-(F260/Dashboard!C6),0),0)</f>
        <v/>
      </c>
    </row>
    <row r="261" ht="20" customHeight="1">
      <c r="A261" s="82" t="n">
        <v>256</v>
      </c>
      <c r="B261" s="83">
        <f>IF(F260&lt;=0.01,0,F260)</f>
        <v/>
      </c>
      <c r="C261" s="83">
        <f>IF(B261&lt;=0.01,0,IFERROR(-PMT(CHOOSE($B$3,Banco1!$C$5,Banco2!$C$5,Banco3!$C$5,Banco4!$C$5,Banco5!$C$5)/12,Dashboard!$C$7,Dashboard!$C$6),0))</f>
        <v/>
      </c>
      <c r="D261" s="83">
        <f>IF(B261&lt;=0.01,0,MIN(C261-E261,B261))</f>
        <v/>
      </c>
      <c r="E261" s="84">
        <f>IF(B261&lt;=0.01,0,ROUND(B261*CHOOSE($B$3,Banco1!$C$5,Banco2!$C$5,Banco3!$C$5,Banco4!$C$5,Banco5!$C$5)/12,2))</f>
        <v/>
      </c>
      <c r="F261" s="83">
        <f>IF(B261&lt;=0.01,0,MAX(B261-D261,0))</f>
        <v/>
      </c>
      <c r="G261" s="85">
        <f>IFERROR(IF(Dashboard!C6&gt;0,1-(F261/Dashboard!C6),0),0)</f>
        <v/>
      </c>
    </row>
    <row r="262" ht="20" customHeight="1">
      <c r="A262" s="82" t="n">
        <v>257</v>
      </c>
      <c r="B262" s="83">
        <f>IF(F261&lt;=0.01,0,F261)</f>
        <v/>
      </c>
      <c r="C262" s="83">
        <f>IF(B262&lt;=0.01,0,IFERROR(-PMT(CHOOSE($B$3,Banco1!$C$5,Banco2!$C$5,Banco3!$C$5,Banco4!$C$5,Banco5!$C$5)/12,Dashboard!$C$7,Dashboard!$C$6),0))</f>
        <v/>
      </c>
      <c r="D262" s="83">
        <f>IF(B262&lt;=0.01,0,MIN(C262-E262,B262))</f>
        <v/>
      </c>
      <c r="E262" s="84">
        <f>IF(B262&lt;=0.01,0,ROUND(B262*CHOOSE($B$3,Banco1!$C$5,Banco2!$C$5,Banco3!$C$5,Banco4!$C$5,Banco5!$C$5)/12,2))</f>
        <v/>
      </c>
      <c r="F262" s="83">
        <f>IF(B262&lt;=0.01,0,MAX(B262-D262,0))</f>
        <v/>
      </c>
      <c r="G262" s="85">
        <f>IFERROR(IF(Dashboard!C6&gt;0,1-(F262/Dashboard!C6),0),0)</f>
        <v/>
      </c>
    </row>
    <row r="263" ht="20" customHeight="1">
      <c r="A263" s="82" t="n">
        <v>258</v>
      </c>
      <c r="B263" s="83">
        <f>IF(F262&lt;=0.01,0,F262)</f>
        <v/>
      </c>
      <c r="C263" s="83">
        <f>IF(B263&lt;=0.01,0,IFERROR(-PMT(CHOOSE($B$3,Banco1!$C$5,Banco2!$C$5,Banco3!$C$5,Banco4!$C$5,Banco5!$C$5)/12,Dashboard!$C$7,Dashboard!$C$6),0))</f>
        <v/>
      </c>
      <c r="D263" s="83">
        <f>IF(B263&lt;=0.01,0,MIN(C263-E263,B263))</f>
        <v/>
      </c>
      <c r="E263" s="84">
        <f>IF(B263&lt;=0.01,0,ROUND(B263*CHOOSE($B$3,Banco1!$C$5,Banco2!$C$5,Banco3!$C$5,Banco4!$C$5,Banco5!$C$5)/12,2))</f>
        <v/>
      </c>
      <c r="F263" s="83">
        <f>IF(B263&lt;=0.01,0,MAX(B263-D263,0))</f>
        <v/>
      </c>
      <c r="G263" s="85">
        <f>IFERROR(IF(Dashboard!C6&gt;0,1-(F263/Dashboard!C6),0),0)</f>
        <v/>
      </c>
    </row>
    <row r="264" ht="20" customHeight="1">
      <c r="A264" s="82" t="n">
        <v>259</v>
      </c>
      <c r="B264" s="83">
        <f>IF(F263&lt;=0.01,0,F263)</f>
        <v/>
      </c>
      <c r="C264" s="83">
        <f>IF(B264&lt;=0.01,0,IFERROR(-PMT(CHOOSE($B$3,Banco1!$C$5,Banco2!$C$5,Banco3!$C$5,Banco4!$C$5,Banco5!$C$5)/12,Dashboard!$C$7,Dashboard!$C$6),0))</f>
        <v/>
      </c>
      <c r="D264" s="83">
        <f>IF(B264&lt;=0.01,0,MIN(C264-E264,B264))</f>
        <v/>
      </c>
      <c r="E264" s="84">
        <f>IF(B264&lt;=0.01,0,ROUND(B264*CHOOSE($B$3,Banco1!$C$5,Banco2!$C$5,Banco3!$C$5,Banco4!$C$5,Banco5!$C$5)/12,2))</f>
        <v/>
      </c>
      <c r="F264" s="83">
        <f>IF(B264&lt;=0.01,0,MAX(B264-D264,0))</f>
        <v/>
      </c>
      <c r="G264" s="85">
        <f>IFERROR(IF(Dashboard!C6&gt;0,1-(F264/Dashboard!C6),0),0)</f>
        <v/>
      </c>
    </row>
    <row r="265" ht="20" customHeight="1">
      <c r="A265" s="82" t="n">
        <v>260</v>
      </c>
      <c r="B265" s="83">
        <f>IF(F264&lt;=0.01,0,F264)</f>
        <v/>
      </c>
      <c r="C265" s="83">
        <f>IF(B265&lt;=0.01,0,IFERROR(-PMT(CHOOSE($B$3,Banco1!$C$5,Banco2!$C$5,Banco3!$C$5,Banco4!$C$5,Banco5!$C$5)/12,Dashboard!$C$7,Dashboard!$C$6),0))</f>
        <v/>
      </c>
      <c r="D265" s="83">
        <f>IF(B265&lt;=0.01,0,MIN(C265-E265,B265))</f>
        <v/>
      </c>
      <c r="E265" s="84">
        <f>IF(B265&lt;=0.01,0,ROUND(B265*CHOOSE($B$3,Banco1!$C$5,Banco2!$C$5,Banco3!$C$5,Banco4!$C$5,Banco5!$C$5)/12,2))</f>
        <v/>
      </c>
      <c r="F265" s="83">
        <f>IF(B265&lt;=0.01,0,MAX(B265-D265,0))</f>
        <v/>
      </c>
      <c r="G265" s="85">
        <f>IFERROR(IF(Dashboard!C6&gt;0,1-(F265/Dashboard!C6),0),0)</f>
        <v/>
      </c>
    </row>
    <row r="266" ht="20" customHeight="1">
      <c r="A266" s="82" t="n">
        <v>261</v>
      </c>
      <c r="B266" s="83">
        <f>IF(F265&lt;=0.01,0,F265)</f>
        <v/>
      </c>
      <c r="C266" s="83">
        <f>IF(B266&lt;=0.01,0,IFERROR(-PMT(CHOOSE($B$3,Banco1!$C$5,Banco2!$C$5,Banco3!$C$5,Banco4!$C$5,Banco5!$C$5)/12,Dashboard!$C$7,Dashboard!$C$6),0))</f>
        <v/>
      </c>
      <c r="D266" s="83">
        <f>IF(B266&lt;=0.01,0,MIN(C266-E266,B266))</f>
        <v/>
      </c>
      <c r="E266" s="84">
        <f>IF(B266&lt;=0.01,0,ROUND(B266*CHOOSE($B$3,Banco1!$C$5,Banco2!$C$5,Banco3!$C$5,Banco4!$C$5,Banco5!$C$5)/12,2))</f>
        <v/>
      </c>
      <c r="F266" s="83">
        <f>IF(B266&lt;=0.01,0,MAX(B266-D266,0))</f>
        <v/>
      </c>
      <c r="G266" s="85">
        <f>IFERROR(IF(Dashboard!C6&gt;0,1-(F266/Dashboard!C6),0),0)</f>
        <v/>
      </c>
    </row>
    <row r="267" ht="20" customHeight="1">
      <c r="A267" s="82" t="n">
        <v>262</v>
      </c>
      <c r="B267" s="83">
        <f>IF(F266&lt;=0.01,0,F266)</f>
        <v/>
      </c>
      <c r="C267" s="83">
        <f>IF(B267&lt;=0.01,0,IFERROR(-PMT(CHOOSE($B$3,Banco1!$C$5,Banco2!$C$5,Banco3!$C$5,Banco4!$C$5,Banco5!$C$5)/12,Dashboard!$C$7,Dashboard!$C$6),0))</f>
        <v/>
      </c>
      <c r="D267" s="83">
        <f>IF(B267&lt;=0.01,0,MIN(C267-E267,B267))</f>
        <v/>
      </c>
      <c r="E267" s="84">
        <f>IF(B267&lt;=0.01,0,ROUND(B267*CHOOSE($B$3,Banco1!$C$5,Banco2!$C$5,Banco3!$C$5,Banco4!$C$5,Banco5!$C$5)/12,2))</f>
        <v/>
      </c>
      <c r="F267" s="83">
        <f>IF(B267&lt;=0.01,0,MAX(B267-D267,0))</f>
        <v/>
      </c>
      <c r="G267" s="85">
        <f>IFERROR(IF(Dashboard!C6&gt;0,1-(F267/Dashboard!C6),0),0)</f>
        <v/>
      </c>
    </row>
    <row r="268" ht="20" customHeight="1">
      <c r="A268" s="82" t="n">
        <v>263</v>
      </c>
      <c r="B268" s="83">
        <f>IF(F267&lt;=0.01,0,F267)</f>
        <v/>
      </c>
      <c r="C268" s="83">
        <f>IF(B268&lt;=0.01,0,IFERROR(-PMT(CHOOSE($B$3,Banco1!$C$5,Banco2!$C$5,Banco3!$C$5,Banco4!$C$5,Banco5!$C$5)/12,Dashboard!$C$7,Dashboard!$C$6),0))</f>
        <v/>
      </c>
      <c r="D268" s="83">
        <f>IF(B268&lt;=0.01,0,MIN(C268-E268,B268))</f>
        <v/>
      </c>
      <c r="E268" s="84">
        <f>IF(B268&lt;=0.01,0,ROUND(B268*CHOOSE($B$3,Banco1!$C$5,Banco2!$C$5,Banco3!$C$5,Banco4!$C$5,Banco5!$C$5)/12,2))</f>
        <v/>
      </c>
      <c r="F268" s="83">
        <f>IF(B268&lt;=0.01,0,MAX(B268-D268,0))</f>
        <v/>
      </c>
      <c r="G268" s="85">
        <f>IFERROR(IF(Dashboard!C6&gt;0,1-(F268/Dashboard!C6),0),0)</f>
        <v/>
      </c>
    </row>
    <row r="269" ht="20" customHeight="1">
      <c r="A269" s="82" t="n">
        <v>264</v>
      </c>
      <c r="B269" s="83">
        <f>IF(F268&lt;=0.01,0,F268)</f>
        <v/>
      </c>
      <c r="C269" s="83">
        <f>IF(B269&lt;=0.01,0,IFERROR(-PMT(CHOOSE($B$3,Banco1!$C$5,Banco2!$C$5,Banco3!$C$5,Banco4!$C$5,Banco5!$C$5)/12,Dashboard!$C$7,Dashboard!$C$6),0))</f>
        <v/>
      </c>
      <c r="D269" s="83">
        <f>IF(B269&lt;=0.01,0,MIN(C269-E269,B269))</f>
        <v/>
      </c>
      <c r="E269" s="84">
        <f>IF(B269&lt;=0.01,0,ROUND(B269*CHOOSE($B$3,Banco1!$C$5,Banco2!$C$5,Banco3!$C$5,Banco4!$C$5,Banco5!$C$5)/12,2))</f>
        <v/>
      </c>
      <c r="F269" s="83">
        <f>IF(B269&lt;=0.01,0,MAX(B269-D269,0))</f>
        <v/>
      </c>
      <c r="G269" s="85">
        <f>IFERROR(IF(Dashboard!C6&gt;0,1-(F269/Dashboard!C6),0),0)</f>
        <v/>
      </c>
    </row>
    <row r="270" ht="20" customHeight="1">
      <c r="A270" s="82" t="n">
        <v>265</v>
      </c>
      <c r="B270" s="83">
        <f>IF(F269&lt;=0.01,0,F269)</f>
        <v/>
      </c>
      <c r="C270" s="83">
        <f>IF(B270&lt;=0.01,0,IFERROR(-PMT(CHOOSE($B$3,Banco1!$C$5,Banco2!$C$5,Banco3!$C$5,Banco4!$C$5,Banco5!$C$5)/12,Dashboard!$C$7,Dashboard!$C$6),0))</f>
        <v/>
      </c>
      <c r="D270" s="83">
        <f>IF(B270&lt;=0.01,0,MIN(C270-E270,B270))</f>
        <v/>
      </c>
      <c r="E270" s="84">
        <f>IF(B270&lt;=0.01,0,ROUND(B270*CHOOSE($B$3,Banco1!$C$5,Banco2!$C$5,Banco3!$C$5,Banco4!$C$5,Banco5!$C$5)/12,2))</f>
        <v/>
      </c>
      <c r="F270" s="83">
        <f>IF(B270&lt;=0.01,0,MAX(B270-D270,0))</f>
        <v/>
      </c>
      <c r="G270" s="85">
        <f>IFERROR(IF(Dashboard!C6&gt;0,1-(F270/Dashboard!C6),0),0)</f>
        <v/>
      </c>
    </row>
    <row r="271" ht="20" customHeight="1">
      <c r="A271" s="82" t="n">
        <v>266</v>
      </c>
      <c r="B271" s="83">
        <f>IF(F270&lt;=0.01,0,F270)</f>
        <v/>
      </c>
      <c r="C271" s="83">
        <f>IF(B271&lt;=0.01,0,IFERROR(-PMT(CHOOSE($B$3,Banco1!$C$5,Banco2!$C$5,Banco3!$C$5,Banco4!$C$5,Banco5!$C$5)/12,Dashboard!$C$7,Dashboard!$C$6),0))</f>
        <v/>
      </c>
      <c r="D271" s="83">
        <f>IF(B271&lt;=0.01,0,MIN(C271-E271,B271))</f>
        <v/>
      </c>
      <c r="E271" s="84">
        <f>IF(B271&lt;=0.01,0,ROUND(B271*CHOOSE($B$3,Banco1!$C$5,Banco2!$C$5,Banco3!$C$5,Banco4!$C$5,Banco5!$C$5)/12,2))</f>
        <v/>
      </c>
      <c r="F271" s="83">
        <f>IF(B271&lt;=0.01,0,MAX(B271-D271,0))</f>
        <v/>
      </c>
      <c r="G271" s="85">
        <f>IFERROR(IF(Dashboard!C6&gt;0,1-(F271/Dashboard!C6),0),0)</f>
        <v/>
      </c>
    </row>
    <row r="272" ht="20" customHeight="1">
      <c r="A272" s="82" t="n">
        <v>267</v>
      </c>
      <c r="B272" s="83">
        <f>IF(F271&lt;=0.01,0,F271)</f>
        <v/>
      </c>
      <c r="C272" s="83">
        <f>IF(B272&lt;=0.01,0,IFERROR(-PMT(CHOOSE($B$3,Banco1!$C$5,Banco2!$C$5,Banco3!$C$5,Banco4!$C$5,Banco5!$C$5)/12,Dashboard!$C$7,Dashboard!$C$6),0))</f>
        <v/>
      </c>
      <c r="D272" s="83">
        <f>IF(B272&lt;=0.01,0,MIN(C272-E272,B272))</f>
        <v/>
      </c>
      <c r="E272" s="84">
        <f>IF(B272&lt;=0.01,0,ROUND(B272*CHOOSE($B$3,Banco1!$C$5,Banco2!$C$5,Banco3!$C$5,Banco4!$C$5,Banco5!$C$5)/12,2))</f>
        <v/>
      </c>
      <c r="F272" s="83">
        <f>IF(B272&lt;=0.01,0,MAX(B272-D272,0))</f>
        <v/>
      </c>
      <c r="G272" s="85">
        <f>IFERROR(IF(Dashboard!C6&gt;0,1-(F272/Dashboard!C6),0),0)</f>
        <v/>
      </c>
    </row>
    <row r="273" ht="20" customHeight="1">
      <c r="A273" s="82" t="n">
        <v>268</v>
      </c>
      <c r="B273" s="83">
        <f>IF(F272&lt;=0.01,0,F272)</f>
        <v/>
      </c>
      <c r="C273" s="83">
        <f>IF(B273&lt;=0.01,0,IFERROR(-PMT(CHOOSE($B$3,Banco1!$C$5,Banco2!$C$5,Banco3!$C$5,Banco4!$C$5,Banco5!$C$5)/12,Dashboard!$C$7,Dashboard!$C$6),0))</f>
        <v/>
      </c>
      <c r="D273" s="83">
        <f>IF(B273&lt;=0.01,0,MIN(C273-E273,B273))</f>
        <v/>
      </c>
      <c r="E273" s="84">
        <f>IF(B273&lt;=0.01,0,ROUND(B273*CHOOSE($B$3,Banco1!$C$5,Banco2!$C$5,Banco3!$C$5,Banco4!$C$5,Banco5!$C$5)/12,2))</f>
        <v/>
      </c>
      <c r="F273" s="83">
        <f>IF(B273&lt;=0.01,0,MAX(B273-D273,0))</f>
        <v/>
      </c>
      <c r="G273" s="85">
        <f>IFERROR(IF(Dashboard!C6&gt;0,1-(F273/Dashboard!C6),0),0)</f>
        <v/>
      </c>
    </row>
    <row r="274" ht="20" customHeight="1">
      <c r="A274" s="82" t="n">
        <v>269</v>
      </c>
      <c r="B274" s="83">
        <f>IF(F273&lt;=0.01,0,F273)</f>
        <v/>
      </c>
      <c r="C274" s="83">
        <f>IF(B274&lt;=0.01,0,IFERROR(-PMT(CHOOSE($B$3,Banco1!$C$5,Banco2!$C$5,Banco3!$C$5,Banco4!$C$5,Banco5!$C$5)/12,Dashboard!$C$7,Dashboard!$C$6),0))</f>
        <v/>
      </c>
      <c r="D274" s="83">
        <f>IF(B274&lt;=0.01,0,MIN(C274-E274,B274))</f>
        <v/>
      </c>
      <c r="E274" s="84">
        <f>IF(B274&lt;=0.01,0,ROUND(B274*CHOOSE($B$3,Banco1!$C$5,Banco2!$C$5,Banco3!$C$5,Banco4!$C$5,Banco5!$C$5)/12,2))</f>
        <v/>
      </c>
      <c r="F274" s="83">
        <f>IF(B274&lt;=0.01,0,MAX(B274-D274,0))</f>
        <v/>
      </c>
      <c r="G274" s="85">
        <f>IFERROR(IF(Dashboard!C6&gt;0,1-(F274/Dashboard!C6),0),0)</f>
        <v/>
      </c>
    </row>
    <row r="275" ht="20" customHeight="1">
      <c r="A275" s="82" t="n">
        <v>270</v>
      </c>
      <c r="B275" s="83">
        <f>IF(F274&lt;=0.01,0,F274)</f>
        <v/>
      </c>
      <c r="C275" s="83">
        <f>IF(B275&lt;=0.01,0,IFERROR(-PMT(CHOOSE($B$3,Banco1!$C$5,Banco2!$C$5,Banco3!$C$5,Banco4!$C$5,Banco5!$C$5)/12,Dashboard!$C$7,Dashboard!$C$6),0))</f>
        <v/>
      </c>
      <c r="D275" s="83">
        <f>IF(B275&lt;=0.01,0,MIN(C275-E275,B275))</f>
        <v/>
      </c>
      <c r="E275" s="84">
        <f>IF(B275&lt;=0.01,0,ROUND(B275*CHOOSE($B$3,Banco1!$C$5,Banco2!$C$5,Banco3!$C$5,Banco4!$C$5,Banco5!$C$5)/12,2))</f>
        <v/>
      </c>
      <c r="F275" s="83">
        <f>IF(B275&lt;=0.01,0,MAX(B275-D275,0))</f>
        <v/>
      </c>
      <c r="G275" s="85">
        <f>IFERROR(IF(Dashboard!C6&gt;0,1-(F275/Dashboard!C6),0),0)</f>
        <v/>
      </c>
    </row>
    <row r="276" ht="20" customHeight="1">
      <c r="A276" s="82" t="n">
        <v>271</v>
      </c>
      <c r="B276" s="83">
        <f>IF(F275&lt;=0.01,0,F275)</f>
        <v/>
      </c>
      <c r="C276" s="83">
        <f>IF(B276&lt;=0.01,0,IFERROR(-PMT(CHOOSE($B$3,Banco1!$C$5,Banco2!$C$5,Banco3!$C$5,Banco4!$C$5,Banco5!$C$5)/12,Dashboard!$C$7,Dashboard!$C$6),0))</f>
        <v/>
      </c>
      <c r="D276" s="83">
        <f>IF(B276&lt;=0.01,0,MIN(C276-E276,B276))</f>
        <v/>
      </c>
      <c r="E276" s="84">
        <f>IF(B276&lt;=0.01,0,ROUND(B276*CHOOSE($B$3,Banco1!$C$5,Banco2!$C$5,Banco3!$C$5,Banco4!$C$5,Banco5!$C$5)/12,2))</f>
        <v/>
      </c>
      <c r="F276" s="83">
        <f>IF(B276&lt;=0.01,0,MAX(B276-D276,0))</f>
        <v/>
      </c>
      <c r="G276" s="85">
        <f>IFERROR(IF(Dashboard!C6&gt;0,1-(F276/Dashboard!C6),0),0)</f>
        <v/>
      </c>
    </row>
    <row r="277" ht="20" customHeight="1">
      <c r="A277" s="82" t="n">
        <v>272</v>
      </c>
      <c r="B277" s="83">
        <f>IF(F276&lt;=0.01,0,F276)</f>
        <v/>
      </c>
      <c r="C277" s="83">
        <f>IF(B277&lt;=0.01,0,IFERROR(-PMT(CHOOSE($B$3,Banco1!$C$5,Banco2!$C$5,Banco3!$C$5,Banco4!$C$5,Banco5!$C$5)/12,Dashboard!$C$7,Dashboard!$C$6),0))</f>
        <v/>
      </c>
      <c r="D277" s="83">
        <f>IF(B277&lt;=0.01,0,MIN(C277-E277,B277))</f>
        <v/>
      </c>
      <c r="E277" s="84">
        <f>IF(B277&lt;=0.01,0,ROUND(B277*CHOOSE($B$3,Banco1!$C$5,Banco2!$C$5,Banco3!$C$5,Banco4!$C$5,Banco5!$C$5)/12,2))</f>
        <v/>
      </c>
      <c r="F277" s="83">
        <f>IF(B277&lt;=0.01,0,MAX(B277-D277,0))</f>
        <v/>
      </c>
      <c r="G277" s="85">
        <f>IFERROR(IF(Dashboard!C6&gt;0,1-(F277/Dashboard!C6),0),0)</f>
        <v/>
      </c>
    </row>
    <row r="278" ht="20" customHeight="1">
      <c r="A278" s="82" t="n">
        <v>273</v>
      </c>
      <c r="B278" s="83">
        <f>IF(F277&lt;=0.01,0,F277)</f>
        <v/>
      </c>
      <c r="C278" s="83">
        <f>IF(B278&lt;=0.01,0,IFERROR(-PMT(CHOOSE($B$3,Banco1!$C$5,Banco2!$C$5,Banco3!$C$5,Banco4!$C$5,Banco5!$C$5)/12,Dashboard!$C$7,Dashboard!$C$6),0))</f>
        <v/>
      </c>
      <c r="D278" s="83">
        <f>IF(B278&lt;=0.01,0,MIN(C278-E278,B278))</f>
        <v/>
      </c>
      <c r="E278" s="84">
        <f>IF(B278&lt;=0.01,0,ROUND(B278*CHOOSE($B$3,Banco1!$C$5,Banco2!$C$5,Banco3!$C$5,Banco4!$C$5,Banco5!$C$5)/12,2))</f>
        <v/>
      </c>
      <c r="F278" s="83">
        <f>IF(B278&lt;=0.01,0,MAX(B278-D278,0))</f>
        <v/>
      </c>
      <c r="G278" s="85">
        <f>IFERROR(IF(Dashboard!C6&gt;0,1-(F278/Dashboard!C6),0),0)</f>
        <v/>
      </c>
    </row>
    <row r="279" ht="20" customHeight="1">
      <c r="A279" s="82" t="n">
        <v>274</v>
      </c>
      <c r="B279" s="83">
        <f>IF(F278&lt;=0.01,0,F278)</f>
        <v/>
      </c>
      <c r="C279" s="83">
        <f>IF(B279&lt;=0.01,0,IFERROR(-PMT(CHOOSE($B$3,Banco1!$C$5,Banco2!$C$5,Banco3!$C$5,Banco4!$C$5,Banco5!$C$5)/12,Dashboard!$C$7,Dashboard!$C$6),0))</f>
        <v/>
      </c>
      <c r="D279" s="83">
        <f>IF(B279&lt;=0.01,0,MIN(C279-E279,B279))</f>
        <v/>
      </c>
      <c r="E279" s="84">
        <f>IF(B279&lt;=0.01,0,ROUND(B279*CHOOSE($B$3,Banco1!$C$5,Banco2!$C$5,Banco3!$C$5,Banco4!$C$5,Banco5!$C$5)/12,2))</f>
        <v/>
      </c>
      <c r="F279" s="83">
        <f>IF(B279&lt;=0.01,0,MAX(B279-D279,0))</f>
        <v/>
      </c>
      <c r="G279" s="85">
        <f>IFERROR(IF(Dashboard!C6&gt;0,1-(F279/Dashboard!C6),0),0)</f>
        <v/>
      </c>
    </row>
    <row r="280" ht="20" customHeight="1">
      <c r="A280" s="82" t="n">
        <v>275</v>
      </c>
      <c r="B280" s="83">
        <f>IF(F279&lt;=0.01,0,F279)</f>
        <v/>
      </c>
      <c r="C280" s="83">
        <f>IF(B280&lt;=0.01,0,IFERROR(-PMT(CHOOSE($B$3,Banco1!$C$5,Banco2!$C$5,Banco3!$C$5,Banco4!$C$5,Banco5!$C$5)/12,Dashboard!$C$7,Dashboard!$C$6),0))</f>
        <v/>
      </c>
      <c r="D280" s="83">
        <f>IF(B280&lt;=0.01,0,MIN(C280-E280,B280))</f>
        <v/>
      </c>
      <c r="E280" s="84">
        <f>IF(B280&lt;=0.01,0,ROUND(B280*CHOOSE($B$3,Banco1!$C$5,Banco2!$C$5,Banco3!$C$5,Banco4!$C$5,Banco5!$C$5)/12,2))</f>
        <v/>
      </c>
      <c r="F280" s="83">
        <f>IF(B280&lt;=0.01,0,MAX(B280-D280,0))</f>
        <v/>
      </c>
      <c r="G280" s="85">
        <f>IFERROR(IF(Dashboard!C6&gt;0,1-(F280/Dashboard!C6),0),0)</f>
        <v/>
      </c>
    </row>
    <row r="281" ht="20" customHeight="1">
      <c r="A281" s="82" t="n">
        <v>276</v>
      </c>
      <c r="B281" s="83">
        <f>IF(F280&lt;=0.01,0,F280)</f>
        <v/>
      </c>
      <c r="C281" s="83">
        <f>IF(B281&lt;=0.01,0,IFERROR(-PMT(CHOOSE($B$3,Banco1!$C$5,Banco2!$C$5,Banco3!$C$5,Banco4!$C$5,Banco5!$C$5)/12,Dashboard!$C$7,Dashboard!$C$6),0))</f>
        <v/>
      </c>
      <c r="D281" s="83">
        <f>IF(B281&lt;=0.01,0,MIN(C281-E281,B281))</f>
        <v/>
      </c>
      <c r="E281" s="84">
        <f>IF(B281&lt;=0.01,0,ROUND(B281*CHOOSE($B$3,Banco1!$C$5,Banco2!$C$5,Banco3!$C$5,Banco4!$C$5,Banco5!$C$5)/12,2))</f>
        <v/>
      </c>
      <c r="F281" s="83">
        <f>IF(B281&lt;=0.01,0,MAX(B281-D281,0))</f>
        <v/>
      </c>
      <c r="G281" s="85">
        <f>IFERROR(IF(Dashboard!C6&gt;0,1-(F281/Dashboard!C6),0),0)</f>
        <v/>
      </c>
    </row>
    <row r="282" ht="20" customHeight="1">
      <c r="A282" s="82" t="n">
        <v>277</v>
      </c>
      <c r="B282" s="83">
        <f>IF(F281&lt;=0.01,0,F281)</f>
        <v/>
      </c>
      <c r="C282" s="83">
        <f>IF(B282&lt;=0.01,0,IFERROR(-PMT(CHOOSE($B$3,Banco1!$C$5,Banco2!$C$5,Banco3!$C$5,Banco4!$C$5,Banco5!$C$5)/12,Dashboard!$C$7,Dashboard!$C$6),0))</f>
        <v/>
      </c>
      <c r="D282" s="83">
        <f>IF(B282&lt;=0.01,0,MIN(C282-E282,B282))</f>
        <v/>
      </c>
      <c r="E282" s="84">
        <f>IF(B282&lt;=0.01,0,ROUND(B282*CHOOSE($B$3,Banco1!$C$5,Banco2!$C$5,Banco3!$C$5,Banco4!$C$5,Banco5!$C$5)/12,2))</f>
        <v/>
      </c>
      <c r="F282" s="83">
        <f>IF(B282&lt;=0.01,0,MAX(B282-D282,0))</f>
        <v/>
      </c>
      <c r="G282" s="85">
        <f>IFERROR(IF(Dashboard!C6&gt;0,1-(F282/Dashboard!C6),0),0)</f>
        <v/>
      </c>
    </row>
    <row r="283" ht="20" customHeight="1">
      <c r="A283" s="82" t="n">
        <v>278</v>
      </c>
      <c r="B283" s="83">
        <f>IF(F282&lt;=0.01,0,F282)</f>
        <v/>
      </c>
      <c r="C283" s="83">
        <f>IF(B283&lt;=0.01,0,IFERROR(-PMT(CHOOSE($B$3,Banco1!$C$5,Banco2!$C$5,Banco3!$C$5,Banco4!$C$5,Banco5!$C$5)/12,Dashboard!$C$7,Dashboard!$C$6),0))</f>
        <v/>
      </c>
      <c r="D283" s="83">
        <f>IF(B283&lt;=0.01,0,MIN(C283-E283,B283))</f>
        <v/>
      </c>
      <c r="E283" s="84">
        <f>IF(B283&lt;=0.01,0,ROUND(B283*CHOOSE($B$3,Banco1!$C$5,Banco2!$C$5,Banco3!$C$5,Banco4!$C$5,Banco5!$C$5)/12,2))</f>
        <v/>
      </c>
      <c r="F283" s="83">
        <f>IF(B283&lt;=0.01,0,MAX(B283-D283,0))</f>
        <v/>
      </c>
      <c r="G283" s="85">
        <f>IFERROR(IF(Dashboard!C6&gt;0,1-(F283/Dashboard!C6),0),0)</f>
        <v/>
      </c>
    </row>
    <row r="284" ht="20" customHeight="1">
      <c r="A284" s="82" t="n">
        <v>279</v>
      </c>
      <c r="B284" s="83">
        <f>IF(F283&lt;=0.01,0,F283)</f>
        <v/>
      </c>
      <c r="C284" s="83">
        <f>IF(B284&lt;=0.01,0,IFERROR(-PMT(CHOOSE($B$3,Banco1!$C$5,Banco2!$C$5,Banco3!$C$5,Banco4!$C$5,Banco5!$C$5)/12,Dashboard!$C$7,Dashboard!$C$6),0))</f>
        <v/>
      </c>
      <c r="D284" s="83">
        <f>IF(B284&lt;=0.01,0,MIN(C284-E284,B284))</f>
        <v/>
      </c>
      <c r="E284" s="84">
        <f>IF(B284&lt;=0.01,0,ROUND(B284*CHOOSE($B$3,Banco1!$C$5,Banco2!$C$5,Banco3!$C$5,Banco4!$C$5,Banco5!$C$5)/12,2))</f>
        <v/>
      </c>
      <c r="F284" s="83">
        <f>IF(B284&lt;=0.01,0,MAX(B284-D284,0))</f>
        <v/>
      </c>
      <c r="G284" s="85">
        <f>IFERROR(IF(Dashboard!C6&gt;0,1-(F284/Dashboard!C6),0),0)</f>
        <v/>
      </c>
    </row>
    <row r="285" ht="20" customHeight="1">
      <c r="A285" s="82" t="n">
        <v>280</v>
      </c>
      <c r="B285" s="83">
        <f>IF(F284&lt;=0.01,0,F284)</f>
        <v/>
      </c>
      <c r="C285" s="83">
        <f>IF(B285&lt;=0.01,0,IFERROR(-PMT(CHOOSE($B$3,Banco1!$C$5,Banco2!$C$5,Banco3!$C$5,Banco4!$C$5,Banco5!$C$5)/12,Dashboard!$C$7,Dashboard!$C$6),0))</f>
        <v/>
      </c>
      <c r="D285" s="83">
        <f>IF(B285&lt;=0.01,0,MIN(C285-E285,B285))</f>
        <v/>
      </c>
      <c r="E285" s="84">
        <f>IF(B285&lt;=0.01,0,ROUND(B285*CHOOSE($B$3,Banco1!$C$5,Banco2!$C$5,Banco3!$C$5,Banco4!$C$5,Banco5!$C$5)/12,2))</f>
        <v/>
      </c>
      <c r="F285" s="83">
        <f>IF(B285&lt;=0.01,0,MAX(B285-D285,0))</f>
        <v/>
      </c>
      <c r="G285" s="85">
        <f>IFERROR(IF(Dashboard!C6&gt;0,1-(F285/Dashboard!C6),0),0)</f>
        <v/>
      </c>
    </row>
    <row r="286" ht="20" customHeight="1">
      <c r="A286" s="82" t="n">
        <v>281</v>
      </c>
      <c r="B286" s="83">
        <f>IF(F285&lt;=0.01,0,F285)</f>
        <v/>
      </c>
      <c r="C286" s="83">
        <f>IF(B286&lt;=0.01,0,IFERROR(-PMT(CHOOSE($B$3,Banco1!$C$5,Banco2!$C$5,Banco3!$C$5,Banco4!$C$5,Banco5!$C$5)/12,Dashboard!$C$7,Dashboard!$C$6),0))</f>
        <v/>
      </c>
      <c r="D286" s="83">
        <f>IF(B286&lt;=0.01,0,MIN(C286-E286,B286))</f>
        <v/>
      </c>
      <c r="E286" s="84">
        <f>IF(B286&lt;=0.01,0,ROUND(B286*CHOOSE($B$3,Banco1!$C$5,Banco2!$C$5,Banco3!$C$5,Banco4!$C$5,Banco5!$C$5)/12,2))</f>
        <v/>
      </c>
      <c r="F286" s="83">
        <f>IF(B286&lt;=0.01,0,MAX(B286-D286,0))</f>
        <v/>
      </c>
      <c r="G286" s="85">
        <f>IFERROR(IF(Dashboard!C6&gt;0,1-(F286/Dashboard!C6),0),0)</f>
        <v/>
      </c>
    </row>
    <row r="287" ht="20" customHeight="1">
      <c r="A287" s="82" t="n">
        <v>282</v>
      </c>
      <c r="B287" s="83">
        <f>IF(F286&lt;=0.01,0,F286)</f>
        <v/>
      </c>
      <c r="C287" s="83">
        <f>IF(B287&lt;=0.01,0,IFERROR(-PMT(CHOOSE($B$3,Banco1!$C$5,Banco2!$C$5,Banco3!$C$5,Banco4!$C$5,Banco5!$C$5)/12,Dashboard!$C$7,Dashboard!$C$6),0))</f>
        <v/>
      </c>
      <c r="D287" s="83">
        <f>IF(B287&lt;=0.01,0,MIN(C287-E287,B287))</f>
        <v/>
      </c>
      <c r="E287" s="84">
        <f>IF(B287&lt;=0.01,0,ROUND(B287*CHOOSE($B$3,Banco1!$C$5,Banco2!$C$5,Banco3!$C$5,Banco4!$C$5,Banco5!$C$5)/12,2))</f>
        <v/>
      </c>
      <c r="F287" s="83">
        <f>IF(B287&lt;=0.01,0,MAX(B287-D287,0))</f>
        <v/>
      </c>
      <c r="G287" s="85">
        <f>IFERROR(IF(Dashboard!C6&gt;0,1-(F287/Dashboard!C6),0),0)</f>
        <v/>
      </c>
    </row>
    <row r="288" ht="20" customHeight="1">
      <c r="A288" s="82" t="n">
        <v>283</v>
      </c>
      <c r="B288" s="83">
        <f>IF(F287&lt;=0.01,0,F287)</f>
        <v/>
      </c>
      <c r="C288" s="83">
        <f>IF(B288&lt;=0.01,0,IFERROR(-PMT(CHOOSE($B$3,Banco1!$C$5,Banco2!$C$5,Banco3!$C$5,Banco4!$C$5,Banco5!$C$5)/12,Dashboard!$C$7,Dashboard!$C$6),0))</f>
        <v/>
      </c>
      <c r="D288" s="83">
        <f>IF(B288&lt;=0.01,0,MIN(C288-E288,B288))</f>
        <v/>
      </c>
      <c r="E288" s="84">
        <f>IF(B288&lt;=0.01,0,ROUND(B288*CHOOSE($B$3,Banco1!$C$5,Banco2!$C$5,Banco3!$C$5,Banco4!$C$5,Banco5!$C$5)/12,2))</f>
        <v/>
      </c>
      <c r="F288" s="83">
        <f>IF(B288&lt;=0.01,0,MAX(B288-D288,0))</f>
        <v/>
      </c>
      <c r="G288" s="85">
        <f>IFERROR(IF(Dashboard!C6&gt;0,1-(F288/Dashboard!C6),0),0)</f>
        <v/>
      </c>
    </row>
    <row r="289" ht="20" customHeight="1">
      <c r="A289" s="82" t="n">
        <v>284</v>
      </c>
      <c r="B289" s="83">
        <f>IF(F288&lt;=0.01,0,F288)</f>
        <v/>
      </c>
      <c r="C289" s="83">
        <f>IF(B289&lt;=0.01,0,IFERROR(-PMT(CHOOSE($B$3,Banco1!$C$5,Banco2!$C$5,Banco3!$C$5,Banco4!$C$5,Banco5!$C$5)/12,Dashboard!$C$7,Dashboard!$C$6),0))</f>
        <v/>
      </c>
      <c r="D289" s="83">
        <f>IF(B289&lt;=0.01,0,MIN(C289-E289,B289))</f>
        <v/>
      </c>
      <c r="E289" s="84">
        <f>IF(B289&lt;=0.01,0,ROUND(B289*CHOOSE($B$3,Banco1!$C$5,Banco2!$C$5,Banco3!$C$5,Banco4!$C$5,Banco5!$C$5)/12,2))</f>
        <v/>
      </c>
      <c r="F289" s="83">
        <f>IF(B289&lt;=0.01,0,MAX(B289-D289,0))</f>
        <v/>
      </c>
      <c r="G289" s="85">
        <f>IFERROR(IF(Dashboard!C6&gt;0,1-(F289/Dashboard!C6),0),0)</f>
        <v/>
      </c>
    </row>
    <row r="290" ht="20" customHeight="1">
      <c r="A290" s="82" t="n">
        <v>285</v>
      </c>
      <c r="B290" s="83">
        <f>IF(F289&lt;=0.01,0,F289)</f>
        <v/>
      </c>
      <c r="C290" s="83">
        <f>IF(B290&lt;=0.01,0,IFERROR(-PMT(CHOOSE($B$3,Banco1!$C$5,Banco2!$C$5,Banco3!$C$5,Banco4!$C$5,Banco5!$C$5)/12,Dashboard!$C$7,Dashboard!$C$6),0))</f>
        <v/>
      </c>
      <c r="D290" s="83">
        <f>IF(B290&lt;=0.01,0,MIN(C290-E290,B290))</f>
        <v/>
      </c>
      <c r="E290" s="84">
        <f>IF(B290&lt;=0.01,0,ROUND(B290*CHOOSE($B$3,Banco1!$C$5,Banco2!$C$5,Banco3!$C$5,Banco4!$C$5,Banco5!$C$5)/12,2))</f>
        <v/>
      </c>
      <c r="F290" s="83">
        <f>IF(B290&lt;=0.01,0,MAX(B290-D290,0))</f>
        <v/>
      </c>
      <c r="G290" s="85">
        <f>IFERROR(IF(Dashboard!C6&gt;0,1-(F290/Dashboard!C6),0),0)</f>
        <v/>
      </c>
    </row>
    <row r="291" ht="20" customHeight="1">
      <c r="A291" s="82" t="n">
        <v>286</v>
      </c>
      <c r="B291" s="83">
        <f>IF(F290&lt;=0.01,0,F290)</f>
        <v/>
      </c>
      <c r="C291" s="83">
        <f>IF(B291&lt;=0.01,0,IFERROR(-PMT(CHOOSE($B$3,Banco1!$C$5,Banco2!$C$5,Banco3!$C$5,Banco4!$C$5,Banco5!$C$5)/12,Dashboard!$C$7,Dashboard!$C$6),0))</f>
        <v/>
      </c>
      <c r="D291" s="83">
        <f>IF(B291&lt;=0.01,0,MIN(C291-E291,B291))</f>
        <v/>
      </c>
      <c r="E291" s="84">
        <f>IF(B291&lt;=0.01,0,ROUND(B291*CHOOSE($B$3,Banco1!$C$5,Banco2!$C$5,Banco3!$C$5,Banco4!$C$5,Banco5!$C$5)/12,2))</f>
        <v/>
      </c>
      <c r="F291" s="83">
        <f>IF(B291&lt;=0.01,0,MAX(B291-D291,0))</f>
        <v/>
      </c>
      <c r="G291" s="85">
        <f>IFERROR(IF(Dashboard!C6&gt;0,1-(F291/Dashboard!C6),0),0)</f>
        <v/>
      </c>
    </row>
    <row r="292" ht="20" customHeight="1">
      <c r="A292" s="82" t="n">
        <v>287</v>
      </c>
      <c r="B292" s="83">
        <f>IF(F291&lt;=0.01,0,F291)</f>
        <v/>
      </c>
      <c r="C292" s="83">
        <f>IF(B292&lt;=0.01,0,IFERROR(-PMT(CHOOSE($B$3,Banco1!$C$5,Banco2!$C$5,Banco3!$C$5,Banco4!$C$5,Banco5!$C$5)/12,Dashboard!$C$7,Dashboard!$C$6),0))</f>
        <v/>
      </c>
      <c r="D292" s="83">
        <f>IF(B292&lt;=0.01,0,MIN(C292-E292,B292))</f>
        <v/>
      </c>
      <c r="E292" s="84">
        <f>IF(B292&lt;=0.01,0,ROUND(B292*CHOOSE($B$3,Banco1!$C$5,Banco2!$C$5,Banco3!$C$5,Banco4!$C$5,Banco5!$C$5)/12,2))</f>
        <v/>
      </c>
      <c r="F292" s="83">
        <f>IF(B292&lt;=0.01,0,MAX(B292-D292,0))</f>
        <v/>
      </c>
      <c r="G292" s="85">
        <f>IFERROR(IF(Dashboard!C6&gt;0,1-(F292/Dashboard!C6),0),0)</f>
        <v/>
      </c>
    </row>
    <row r="293" ht="20" customHeight="1">
      <c r="A293" s="82" t="n">
        <v>288</v>
      </c>
      <c r="B293" s="83">
        <f>IF(F292&lt;=0.01,0,F292)</f>
        <v/>
      </c>
      <c r="C293" s="83">
        <f>IF(B293&lt;=0.01,0,IFERROR(-PMT(CHOOSE($B$3,Banco1!$C$5,Banco2!$C$5,Banco3!$C$5,Banco4!$C$5,Banco5!$C$5)/12,Dashboard!$C$7,Dashboard!$C$6),0))</f>
        <v/>
      </c>
      <c r="D293" s="83">
        <f>IF(B293&lt;=0.01,0,MIN(C293-E293,B293))</f>
        <v/>
      </c>
      <c r="E293" s="84">
        <f>IF(B293&lt;=0.01,0,ROUND(B293*CHOOSE($B$3,Banco1!$C$5,Banco2!$C$5,Banco3!$C$5,Banco4!$C$5,Banco5!$C$5)/12,2))</f>
        <v/>
      </c>
      <c r="F293" s="83">
        <f>IF(B293&lt;=0.01,0,MAX(B293-D293,0))</f>
        <v/>
      </c>
      <c r="G293" s="85">
        <f>IFERROR(IF(Dashboard!C6&gt;0,1-(F293/Dashboard!C6),0),0)</f>
        <v/>
      </c>
    </row>
    <row r="294" ht="20" customHeight="1">
      <c r="A294" s="82" t="n">
        <v>289</v>
      </c>
      <c r="B294" s="83">
        <f>IF(F293&lt;=0.01,0,F293)</f>
        <v/>
      </c>
      <c r="C294" s="83">
        <f>IF(B294&lt;=0.01,0,IFERROR(-PMT(CHOOSE($B$3,Banco1!$C$5,Banco2!$C$5,Banco3!$C$5,Banco4!$C$5,Banco5!$C$5)/12,Dashboard!$C$7,Dashboard!$C$6),0))</f>
        <v/>
      </c>
      <c r="D294" s="83">
        <f>IF(B294&lt;=0.01,0,MIN(C294-E294,B294))</f>
        <v/>
      </c>
      <c r="E294" s="84">
        <f>IF(B294&lt;=0.01,0,ROUND(B294*CHOOSE($B$3,Banco1!$C$5,Banco2!$C$5,Banco3!$C$5,Banco4!$C$5,Banco5!$C$5)/12,2))</f>
        <v/>
      </c>
      <c r="F294" s="83">
        <f>IF(B294&lt;=0.01,0,MAX(B294-D294,0))</f>
        <v/>
      </c>
      <c r="G294" s="85">
        <f>IFERROR(IF(Dashboard!C6&gt;0,1-(F294/Dashboard!C6),0),0)</f>
        <v/>
      </c>
    </row>
    <row r="295" ht="20" customHeight="1">
      <c r="A295" s="82" t="n">
        <v>290</v>
      </c>
      <c r="B295" s="83">
        <f>IF(F294&lt;=0.01,0,F294)</f>
        <v/>
      </c>
      <c r="C295" s="83">
        <f>IF(B295&lt;=0.01,0,IFERROR(-PMT(CHOOSE($B$3,Banco1!$C$5,Banco2!$C$5,Banco3!$C$5,Banco4!$C$5,Banco5!$C$5)/12,Dashboard!$C$7,Dashboard!$C$6),0))</f>
        <v/>
      </c>
      <c r="D295" s="83">
        <f>IF(B295&lt;=0.01,0,MIN(C295-E295,B295))</f>
        <v/>
      </c>
      <c r="E295" s="84">
        <f>IF(B295&lt;=0.01,0,ROUND(B295*CHOOSE($B$3,Banco1!$C$5,Banco2!$C$5,Banco3!$C$5,Banco4!$C$5,Banco5!$C$5)/12,2))</f>
        <v/>
      </c>
      <c r="F295" s="83">
        <f>IF(B295&lt;=0.01,0,MAX(B295-D295,0))</f>
        <v/>
      </c>
      <c r="G295" s="85">
        <f>IFERROR(IF(Dashboard!C6&gt;0,1-(F295/Dashboard!C6),0),0)</f>
        <v/>
      </c>
    </row>
    <row r="296" ht="20" customHeight="1">
      <c r="A296" s="82" t="n">
        <v>291</v>
      </c>
      <c r="B296" s="83">
        <f>IF(F295&lt;=0.01,0,F295)</f>
        <v/>
      </c>
      <c r="C296" s="83">
        <f>IF(B296&lt;=0.01,0,IFERROR(-PMT(CHOOSE($B$3,Banco1!$C$5,Banco2!$C$5,Banco3!$C$5,Banco4!$C$5,Banco5!$C$5)/12,Dashboard!$C$7,Dashboard!$C$6),0))</f>
        <v/>
      </c>
      <c r="D296" s="83">
        <f>IF(B296&lt;=0.01,0,MIN(C296-E296,B296))</f>
        <v/>
      </c>
      <c r="E296" s="84">
        <f>IF(B296&lt;=0.01,0,ROUND(B296*CHOOSE($B$3,Banco1!$C$5,Banco2!$C$5,Banco3!$C$5,Banco4!$C$5,Banco5!$C$5)/12,2))</f>
        <v/>
      </c>
      <c r="F296" s="83">
        <f>IF(B296&lt;=0.01,0,MAX(B296-D296,0))</f>
        <v/>
      </c>
      <c r="G296" s="85">
        <f>IFERROR(IF(Dashboard!C6&gt;0,1-(F296/Dashboard!C6),0),0)</f>
        <v/>
      </c>
    </row>
    <row r="297" ht="20" customHeight="1">
      <c r="A297" s="82" t="n">
        <v>292</v>
      </c>
      <c r="B297" s="83">
        <f>IF(F296&lt;=0.01,0,F296)</f>
        <v/>
      </c>
      <c r="C297" s="83">
        <f>IF(B297&lt;=0.01,0,IFERROR(-PMT(CHOOSE($B$3,Banco1!$C$5,Banco2!$C$5,Banco3!$C$5,Banco4!$C$5,Banco5!$C$5)/12,Dashboard!$C$7,Dashboard!$C$6),0))</f>
        <v/>
      </c>
      <c r="D297" s="83">
        <f>IF(B297&lt;=0.01,0,MIN(C297-E297,B297))</f>
        <v/>
      </c>
      <c r="E297" s="84">
        <f>IF(B297&lt;=0.01,0,ROUND(B297*CHOOSE($B$3,Banco1!$C$5,Banco2!$C$5,Banco3!$C$5,Banco4!$C$5,Banco5!$C$5)/12,2))</f>
        <v/>
      </c>
      <c r="F297" s="83">
        <f>IF(B297&lt;=0.01,0,MAX(B297-D297,0))</f>
        <v/>
      </c>
      <c r="G297" s="85">
        <f>IFERROR(IF(Dashboard!C6&gt;0,1-(F297/Dashboard!C6),0),0)</f>
        <v/>
      </c>
    </row>
    <row r="298" ht="20" customHeight="1">
      <c r="A298" s="82" t="n">
        <v>293</v>
      </c>
      <c r="B298" s="83">
        <f>IF(F297&lt;=0.01,0,F297)</f>
        <v/>
      </c>
      <c r="C298" s="83">
        <f>IF(B298&lt;=0.01,0,IFERROR(-PMT(CHOOSE($B$3,Banco1!$C$5,Banco2!$C$5,Banco3!$C$5,Banco4!$C$5,Banco5!$C$5)/12,Dashboard!$C$7,Dashboard!$C$6),0))</f>
        <v/>
      </c>
      <c r="D298" s="83">
        <f>IF(B298&lt;=0.01,0,MIN(C298-E298,B298))</f>
        <v/>
      </c>
      <c r="E298" s="84">
        <f>IF(B298&lt;=0.01,0,ROUND(B298*CHOOSE($B$3,Banco1!$C$5,Banco2!$C$5,Banco3!$C$5,Banco4!$C$5,Banco5!$C$5)/12,2))</f>
        <v/>
      </c>
      <c r="F298" s="83">
        <f>IF(B298&lt;=0.01,0,MAX(B298-D298,0))</f>
        <v/>
      </c>
      <c r="G298" s="85">
        <f>IFERROR(IF(Dashboard!C6&gt;0,1-(F298/Dashboard!C6),0),0)</f>
        <v/>
      </c>
    </row>
    <row r="299" ht="20" customHeight="1">
      <c r="A299" s="82" t="n">
        <v>294</v>
      </c>
      <c r="B299" s="83">
        <f>IF(F298&lt;=0.01,0,F298)</f>
        <v/>
      </c>
      <c r="C299" s="83">
        <f>IF(B299&lt;=0.01,0,IFERROR(-PMT(CHOOSE($B$3,Banco1!$C$5,Banco2!$C$5,Banco3!$C$5,Banco4!$C$5,Banco5!$C$5)/12,Dashboard!$C$7,Dashboard!$C$6),0))</f>
        <v/>
      </c>
      <c r="D299" s="83">
        <f>IF(B299&lt;=0.01,0,MIN(C299-E299,B299))</f>
        <v/>
      </c>
      <c r="E299" s="84">
        <f>IF(B299&lt;=0.01,0,ROUND(B299*CHOOSE($B$3,Banco1!$C$5,Banco2!$C$5,Banco3!$C$5,Banco4!$C$5,Banco5!$C$5)/12,2))</f>
        <v/>
      </c>
      <c r="F299" s="83">
        <f>IF(B299&lt;=0.01,0,MAX(B299-D299,0))</f>
        <v/>
      </c>
      <c r="G299" s="85">
        <f>IFERROR(IF(Dashboard!C6&gt;0,1-(F299/Dashboard!C6),0),0)</f>
        <v/>
      </c>
    </row>
    <row r="300" ht="20" customHeight="1">
      <c r="A300" s="82" t="n">
        <v>295</v>
      </c>
      <c r="B300" s="83">
        <f>IF(F299&lt;=0.01,0,F299)</f>
        <v/>
      </c>
      <c r="C300" s="83">
        <f>IF(B300&lt;=0.01,0,IFERROR(-PMT(CHOOSE($B$3,Banco1!$C$5,Banco2!$C$5,Banco3!$C$5,Banco4!$C$5,Banco5!$C$5)/12,Dashboard!$C$7,Dashboard!$C$6),0))</f>
        <v/>
      </c>
      <c r="D300" s="83">
        <f>IF(B300&lt;=0.01,0,MIN(C300-E300,B300))</f>
        <v/>
      </c>
      <c r="E300" s="84">
        <f>IF(B300&lt;=0.01,0,ROUND(B300*CHOOSE($B$3,Banco1!$C$5,Banco2!$C$5,Banco3!$C$5,Banco4!$C$5,Banco5!$C$5)/12,2))</f>
        <v/>
      </c>
      <c r="F300" s="83">
        <f>IF(B300&lt;=0.01,0,MAX(B300-D300,0))</f>
        <v/>
      </c>
      <c r="G300" s="85">
        <f>IFERROR(IF(Dashboard!C6&gt;0,1-(F300/Dashboard!C6),0),0)</f>
        <v/>
      </c>
    </row>
    <row r="301" ht="20" customHeight="1">
      <c r="A301" s="82" t="n">
        <v>296</v>
      </c>
      <c r="B301" s="83">
        <f>IF(F300&lt;=0.01,0,F300)</f>
        <v/>
      </c>
      <c r="C301" s="83">
        <f>IF(B301&lt;=0.01,0,IFERROR(-PMT(CHOOSE($B$3,Banco1!$C$5,Banco2!$C$5,Banco3!$C$5,Banco4!$C$5,Banco5!$C$5)/12,Dashboard!$C$7,Dashboard!$C$6),0))</f>
        <v/>
      </c>
      <c r="D301" s="83">
        <f>IF(B301&lt;=0.01,0,MIN(C301-E301,B301))</f>
        <v/>
      </c>
      <c r="E301" s="84">
        <f>IF(B301&lt;=0.01,0,ROUND(B301*CHOOSE($B$3,Banco1!$C$5,Banco2!$C$5,Banco3!$C$5,Banco4!$C$5,Banco5!$C$5)/12,2))</f>
        <v/>
      </c>
      <c r="F301" s="83">
        <f>IF(B301&lt;=0.01,0,MAX(B301-D301,0))</f>
        <v/>
      </c>
      <c r="G301" s="85">
        <f>IFERROR(IF(Dashboard!C6&gt;0,1-(F301/Dashboard!C6),0),0)</f>
        <v/>
      </c>
    </row>
    <row r="302" ht="20" customHeight="1">
      <c r="A302" s="82" t="n">
        <v>297</v>
      </c>
      <c r="B302" s="83">
        <f>IF(F301&lt;=0.01,0,F301)</f>
        <v/>
      </c>
      <c r="C302" s="83">
        <f>IF(B302&lt;=0.01,0,IFERROR(-PMT(CHOOSE($B$3,Banco1!$C$5,Banco2!$C$5,Banco3!$C$5,Banco4!$C$5,Banco5!$C$5)/12,Dashboard!$C$7,Dashboard!$C$6),0))</f>
        <v/>
      </c>
      <c r="D302" s="83">
        <f>IF(B302&lt;=0.01,0,MIN(C302-E302,B302))</f>
        <v/>
      </c>
      <c r="E302" s="84">
        <f>IF(B302&lt;=0.01,0,ROUND(B302*CHOOSE($B$3,Banco1!$C$5,Banco2!$C$5,Banco3!$C$5,Banco4!$C$5,Banco5!$C$5)/12,2))</f>
        <v/>
      </c>
      <c r="F302" s="83">
        <f>IF(B302&lt;=0.01,0,MAX(B302-D302,0))</f>
        <v/>
      </c>
      <c r="G302" s="85">
        <f>IFERROR(IF(Dashboard!C6&gt;0,1-(F302/Dashboard!C6),0),0)</f>
        <v/>
      </c>
    </row>
    <row r="303" ht="20" customHeight="1">
      <c r="A303" s="82" t="n">
        <v>298</v>
      </c>
      <c r="B303" s="83">
        <f>IF(F302&lt;=0.01,0,F302)</f>
        <v/>
      </c>
      <c r="C303" s="83">
        <f>IF(B303&lt;=0.01,0,IFERROR(-PMT(CHOOSE($B$3,Banco1!$C$5,Banco2!$C$5,Banco3!$C$5,Banco4!$C$5,Banco5!$C$5)/12,Dashboard!$C$7,Dashboard!$C$6),0))</f>
        <v/>
      </c>
      <c r="D303" s="83">
        <f>IF(B303&lt;=0.01,0,MIN(C303-E303,B303))</f>
        <v/>
      </c>
      <c r="E303" s="84">
        <f>IF(B303&lt;=0.01,0,ROUND(B303*CHOOSE($B$3,Banco1!$C$5,Banco2!$C$5,Banco3!$C$5,Banco4!$C$5,Banco5!$C$5)/12,2))</f>
        <v/>
      </c>
      <c r="F303" s="83">
        <f>IF(B303&lt;=0.01,0,MAX(B303-D303,0))</f>
        <v/>
      </c>
      <c r="G303" s="85">
        <f>IFERROR(IF(Dashboard!C6&gt;0,1-(F303/Dashboard!C6),0),0)</f>
        <v/>
      </c>
    </row>
    <row r="304" ht="20" customHeight="1">
      <c r="A304" s="82" t="n">
        <v>299</v>
      </c>
      <c r="B304" s="83">
        <f>IF(F303&lt;=0.01,0,F303)</f>
        <v/>
      </c>
      <c r="C304" s="83">
        <f>IF(B304&lt;=0.01,0,IFERROR(-PMT(CHOOSE($B$3,Banco1!$C$5,Banco2!$C$5,Banco3!$C$5,Banco4!$C$5,Banco5!$C$5)/12,Dashboard!$C$7,Dashboard!$C$6),0))</f>
        <v/>
      </c>
      <c r="D304" s="83">
        <f>IF(B304&lt;=0.01,0,MIN(C304-E304,B304))</f>
        <v/>
      </c>
      <c r="E304" s="84">
        <f>IF(B304&lt;=0.01,0,ROUND(B304*CHOOSE($B$3,Banco1!$C$5,Banco2!$C$5,Banco3!$C$5,Banco4!$C$5,Banco5!$C$5)/12,2))</f>
        <v/>
      </c>
      <c r="F304" s="83">
        <f>IF(B304&lt;=0.01,0,MAX(B304-D304,0))</f>
        <v/>
      </c>
      <c r="G304" s="85">
        <f>IFERROR(IF(Dashboard!C6&gt;0,1-(F304/Dashboard!C6),0),0)</f>
        <v/>
      </c>
    </row>
    <row r="305" ht="20" customHeight="1">
      <c r="A305" s="82" t="n">
        <v>300</v>
      </c>
      <c r="B305" s="83">
        <f>IF(F304&lt;=0.01,0,F304)</f>
        <v/>
      </c>
      <c r="C305" s="83">
        <f>IF(B305&lt;=0.01,0,IFERROR(-PMT(CHOOSE($B$3,Banco1!$C$5,Banco2!$C$5,Banco3!$C$5,Banco4!$C$5,Banco5!$C$5)/12,Dashboard!$C$7,Dashboard!$C$6),0))</f>
        <v/>
      </c>
      <c r="D305" s="83">
        <f>IF(B305&lt;=0.01,0,MIN(C305-E305,B305))</f>
        <v/>
      </c>
      <c r="E305" s="84">
        <f>IF(B305&lt;=0.01,0,ROUND(B305*CHOOSE($B$3,Banco1!$C$5,Banco2!$C$5,Banco3!$C$5,Banco4!$C$5,Banco5!$C$5)/12,2))</f>
        <v/>
      </c>
      <c r="F305" s="83">
        <f>IF(B305&lt;=0.01,0,MAX(B305-D305,0))</f>
        <v/>
      </c>
      <c r="G305" s="85">
        <f>IFERROR(IF(Dashboard!C6&gt;0,1-(F305/Dashboard!C6),0),0)</f>
        <v/>
      </c>
    </row>
    <row r="306" ht="20" customHeight="1">
      <c r="A306" s="82" t="n">
        <v>301</v>
      </c>
      <c r="B306" s="83">
        <f>IF(F305&lt;=0.01,0,F305)</f>
        <v/>
      </c>
      <c r="C306" s="83">
        <f>IF(B306&lt;=0.01,0,IFERROR(-PMT(CHOOSE($B$3,Banco1!$C$5,Banco2!$C$5,Banco3!$C$5,Banco4!$C$5,Banco5!$C$5)/12,Dashboard!$C$7,Dashboard!$C$6),0))</f>
        <v/>
      </c>
      <c r="D306" s="83">
        <f>IF(B306&lt;=0.01,0,MIN(C306-E306,B306))</f>
        <v/>
      </c>
      <c r="E306" s="84">
        <f>IF(B306&lt;=0.01,0,ROUND(B306*CHOOSE($B$3,Banco1!$C$5,Banco2!$C$5,Banco3!$C$5,Banco4!$C$5,Banco5!$C$5)/12,2))</f>
        <v/>
      </c>
      <c r="F306" s="83">
        <f>IF(B306&lt;=0.01,0,MAX(B306-D306,0))</f>
        <v/>
      </c>
      <c r="G306" s="85">
        <f>IFERROR(IF(Dashboard!C6&gt;0,1-(F306/Dashboard!C6),0),0)</f>
        <v/>
      </c>
    </row>
    <row r="307" ht="20" customHeight="1">
      <c r="A307" s="82" t="n">
        <v>302</v>
      </c>
      <c r="B307" s="83">
        <f>IF(F306&lt;=0.01,0,F306)</f>
        <v/>
      </c>
      <c r="C307" s="83">
        <f>IF(B307&lt;=0.01,0,IFERROR(-PMT(CHOOSE($B$3,Banco1!$C$5,Banco2!$C$5,Banco3!$C$5,Banco4!$C$5,Banco5!$C$5)/12,Dashboard!$C$7,Dashboard!$C$6),0))</f>
        <v/>
      </c>
      <c r="D307" s="83">
        <f>IF(B307&lt;=0.01,0,MIN(C307-E307,B307))</f>
        <v/>
      </c>
      <c r="E307" s="84">
        <f>IF(B307&lt;=0.01,0,ROUND(B307*CHOOSE($B$3,Banco1!$C$5,Banco2!$C$5,Banco3!$C$5,Banco4!$C$5,Banco5!$C$5)/12,2))</f>
        <v/>
      </c>
      <c r="F307" s="83">
        <f>IF(B307&lt;=0.01,0,MAX(B307-D307,0))</f>
        <v/>
      </c>
      <c r="G307" s="85">
        <f>IFERROR(IF(Dashboard!C6&gt;0,1-(F307/Dashboard!C6),0),0)</f>
        <v/>
      </c>
    </row>
    <row r="308" ht="20" customHeight="1">
      <c r="A308" s="82" t="n">
        <v>303</v>
      </c>
      <c r="B308" s="83">
        <f>IF(F307&lt;=0.01,0,F307)</f>
        <v/>
      </c>
      <c r="C308" s="83">
        <f>IF(B308&lt;=0.01,0,IFERROR(-PMT(CHOOSE($B$3,Banco1!$C$5,Banco2!$C$5,Banco3!$C$5,Banco4!$C$5,Banco5!$C$5)/12,Dashboard!$C$7,Dashboard!$C$6),0))</f>
        <v/>
      </c>
      <c r="D308" s="83">
        <f>IF(B308&lt;=0.01,0,MIN(C308-E308,B308))</f>
        <v/>
      </c>
      <c r="E308" s="84">
        <f>IF(B308&lt;=0.01,0,ROUND(B308*CHOOSE($B$3,Banco1!$C$5,Banco2!$C$5,Banco3!$C$5,Banco4!$C$5,Banco5!$C$5)/12,2))</f>
        <v/>
      </c>
      <c r="F308" s="83">
        <f>IF(B308&lt;=0.01,0,MAX(B308-D308,0))</f>
        <v/>
      </c>
      <c r="G308" s="85">
        <f>IFERROR(IF(Dashboard!C6&gt;0,1-(F308/Dashboard!C6),0),0)</f>
        <v/>
      </c>
    </row>
    <row r="309" ht="20" customHeight="1">
      <c r="A309" s="82" t="n">
        <v>304</v>
      </c>
      <c r="B309" s="83">
        <f>IF(F308&lt;=0.01,0,F308)</f>
        <v/>
      </c>
      <c r="C309" s="83">
        <f>IF(B309&lt;=0.01,0,IFERROR(-PMT(CHOOSE($B$3,Banco1!$C$5,Banco2!$C$5,Banco3!$C$5,Banco4!$C$5,Banco5!$C$5)/12,Dashboard!$C$7,Dashboard!$C$6),0))</f>
        <v/>
      </c>
      <c r="D309" s="83">
        <f>IF(B309&lt;=0.01,0,MIN(C309-E309,B309))</f>
        <v/>
      </c>
      <c r="E309" s="84">
        <f>IF(B309&lt;=0.01,0,ROUND(B309*CHOOSE($B$3,Banco1!$C$5,Banco2!$C$5,Banco3!$C$5,Banco4!$C$5,Banco5!$C$5)/12,2))</f>
        <v/>
      </c>
      <c r="F309" s="83">
        <f>IF(B309&lt;=0.01,0,MAX(B309-D309,0))</f>
        <v/>
      </c>
      <c r="G309" s="85">
        <f>IFERROR(IF(Dashboard!C6&gt;0,1-(F309/Dashboard!C6),0),0)</f>
        <v/>
      </c>
    </row>
    <row r="310" ht="20" customHeight="1">
      <c r="A310" s="82" t="n">
        <v>305</v>
      </c>
      <c r="B310" s="83">
        <f>IF(F309&lt;=0.01,0,F309)</f>
        <v/>
      </c>
      <c r="C310" s="83">
        <f>IF(B310&lt;=0.01,0,IFERROR(-PMT(CHOOSE($B$3,Banco1!$C$5,Banco2!$C$5,Banco3!$C$5,Banco4!$C$5,Banco5!$C$5)/12,Dashboard!$C$7,Dashboard!$C$6),0))</f>
        <v/>
      </c>
      <c r="D310" s="83">
        <f>IF(B310&lt;=0.01,0,MIN(C310-E310,B310))</f>
        <v/>
      </c>
      <c r="E310" s="84">
        <f>IF(B310&lt;=0.01,0,ROUND(B310*CHOOSE($B$3,Banco1!$C$5,Banco2!$C$5,Banco3!$C$5,Banco4!$C$5,Banco5!$C$5)/12,2))</f>
        <v/>
      </c>
      <c r="F310" s="83">
        <f>IF(B310&lt;=0.01,0,MAX(B310-D310,0))</f>
        <v/>
      </c>
      <c r="G310" s="85">
        <f>IFERROR(IF(Dashboard!C6&gt;0,1-(F310/Dashboard!C6),0),0)</f>
        <v/>
      </c>
    </row>
    <row r="311" ht="20" customHeight="1">
      <c r="A311" s="82" t="n">
        <v>306</v>
      </c>
      <c r="B311" s="83">
        <f>IF(F310&lt;=0.01,0,F310)</f>
        <v/>
      </c>
      <c r="C311" s="83">
        <f>IF(B311&lt;=0.01,0,IFERROR(-PMT(CHOOSE($B$3,Banco1!$C$5,Banco2!$C$5,Banco3!$C$5,Banco4!$C$5,Banco5!$C$5)/12,Dashboard!$C$7,Dashboard!$C$6),0))</f>
        <v/>
      </c>
      <c r="D311" s="83">
        <f>IF(B311&lt;=0.01,0,MIN(C311-E311,B311))</f>
        <v/>
      </c>
      <c r="E311" s="84">
        <f>IF(B311&lt;=0.01,0,ROUND(B311*CHOOSE($B$3,Banco1!$C$5,Banco2!$C$5,Banco3!$C$5,Banco4!$C$5,Banco5!$C$5)/12,2))</f>
        <v/>
      </c>
      <c r="F311" s="83">
        <f>IF(B311&lt;=0.01,0,MAX(B311-D311,0))</f>
        <v/>
      </c>
      <c r="G311" s="85">
        <f>IFERROR(IF(Dashboard!C6&gt;0,1-(F311/Dashboard!C6),0),0)</f>
        <v/>
      </c>
    </row>
    <row r="312" ht="20" customHeight="1">
      <c r="A312" s="82" t="n">
        <v>307</v>
      </c>
      <c r="B312" s="83">
        <f>IF(F311&lt;=0.01,0,F311)</f>
        <v/>
      </c>
      <c r="C312" s="83">
        <f>IF(B312&lt;=0.01,0,IFERROR(-PMT(CHOOSE($B$3,Banco1!$C$5,Banco2!$C$5,Banco3!$C$5,Banco4!$C$5,Banco5!$C$5)/12,Dashboard!$C$7,Dashboard!$C$6),0))</f>
        <v/>
      </c>
      <c r="D312" s="83">
        <f>IF(B312&lt;=0.01,0,MIN(C312-E312,B312))</f>
        <v/>
      </c>
      <c r="E312" s="84">
        <f>IF(B312&lt;=0.01,0,ROUND(B312*CHOOSE($B$3,Banco1!$C$5,Banco2!$C$5,Banco3!$C$5,Banco4!$C$5,Banco5!$C$5)/12,2))</f>
        <v/>
      </c>
      <c r="F312" s="83">
        <f>IF(B312&lt;=0.01,0,MAX(B312-D312,0))</f>
        <v/>
      </c>
      <c r="G312" s="85">
        <f>IFERROR(IF(Dashboard!C6&gt;0,1-(F312/Dashboard!C6),0),0)</f>
        <v/>
      </c>
    </row>
    <row r="313" ht="20" customHeight="1">
      <c r="A313" s="82" t="n">
        <v>308</v>
      </c>
      <c r="B313" s="83">
        <f>IF(F312&lt;=0.01,0,F312)</f>
        <v/>
      </c>
      <c r="C313" s="83">
        <f>IF(B313&lt;=0.01,0,IFERROR(-PMT(CHOOSE($B$3,Banco1!$C$5,Banco2!$C$5,Banco3!$C$5,Banco4!$C$5,Banco5!$C$5)/12,Dashboard!$C$7,Dashboard!$C$6),0))</f>
        <v/>
      </c>
      <c r="D313" s="83">
        <f>IF(B313&lt;=0.01,0,MIN(C313-E313,B313))</f>
        <v/>
      </c>
      <c r="E313" s="84">
        <f>IF(B313&lt;=0.01,0,ROUND(B313*CHOOSE($B$3,Banco1!$C$5,Banco2!$C$5,Banco3!$C$5,Banco4!$C$5,Banco5!$C$5)/12,2))</f>
        <v/>
      </c>
      <c r="F313" s="83">
        <f>IF(B313&lt;=0.01,0,MAX(B313-D313,0))</f>
        <v/>
      </c>
      <c r="G313" s="85">
        <f>IFERROR(IF(Dashboard!C6&gt;0,1-(F313/Dashboard!C6),0),0)</f>
        <v/>
      </c>
    </row>
    <row r="314" ht="20" customHeight="1">
      <c r="A314" s="82" t="n">
        <v>309</v>
      </c>
      <c r="B314" s="83">
        <f>IF(F313&lt;=0.01,0,F313)</f>
        <v/>
      </c>
      <c r="C314" s="83">
        <f>IF(B314&lt;=0.01,0,IFERROR(-PMT(CHOOSE($B$3,Banco1!$C$5,Banco2!$C$5,Banco3!$C$5,Banco4!$C$5,Banco5!$C$5)/12,Dashboard!$C$7,Dashboard!$C$6),0))</f>
        <v/>
      </c>
      <c r="D314" s="83">
        <f>IF(B314&lt;=0.01,0,MIN(C314-E314,B314))</f>
        <v/>
      </c>
      <c r="E314" s="84">
        <f>IF(B314&lt;=0.01,0,ROUND(B314*CHOOSE($B$3,Banco1!$C$5,Banco2!$C$5,Banco3!$C$5,Banco4!$C$5,Banco5!$C$5)/12,2))</f>
        <v/>
      </c>
      <c r="F314" s="83">
        <f>IF(B314&lt;=0.01,0,MAX(B314-D314,0))</f>
        <v/>
      </c>
      <c r="G314" s="85">
        <f>IFERROR(IF(Dashboard!C6&gt;0,1-(F314/Dashboard!C6),0),0)</f>
        <v/>
      </c>
    </row>
    <row r="315" ht="20" customHeight="1">
      <c r="A315" s="82" t="n">
        <v>310</v>
      </c>
      <c r="B315" s="83">
        <f>IF(F314&lt;=0.01,0,F314)</f>
        <v/>
      </c>
      <c r="C315" s="83">
        <f>IF(B315&lt;=0.01,0,IFERROR(-PMT(CHOOSE($B$3,Banco1!$C$5,Banco2!$C$5,Banco3!$C$5,Banco4!$C$5,Banco5!$C$5)/12,Dashboard!$C$7,Dashboard!$C$6),0))</f>
        <v/>
      </c>
      <c r="D315" s="83">
        <f>IF(B315&lt;=0.01,0,MIN(C315-E315,B315))</f>
        <v/>
      </c>
      <c r="E315" s="84">
        <f>IF(B315&lt;=0.01,0,ROUND(B315*CHOOSE($B$3,Banco1!$C$5,Banco2!$C$5,Banco3!$C$5,Banco4!$C$5,Banco5!$C$5)/12,2))</f>
        <v/>
      </c>
      <c r="F315" s="83">
        <f>IF(B315&lt;=0.01,0,MAX(B315-D315,0))</f>
        <v/>
      </c>
      <c r="G315" s="85">
        <f>IFERROR(IF(Dashboard!C6&gt;0,1-(F315/Dashboard!C6),0),0)</f>
        <v/>
      </c>
    </row>
    <row r="316" ht="20" customHeight="1">
      <c r="A316" s="82" t="n">
        <v>311</v>
      </c>
      <c r="B316" s="83">
        <f>IF(F315&lt;=0.01,0,F315)</f>
        <v/>
      </c>
      <c r="C316" s="83">
        <f>IF(B316&lt;=0.01,0,IFERROR(-PMT(CHOOSE($B$3,Banco1!$C$5,Banco2!$C$5,Banco3!$C$5,Banco4!$C$5,Banco5!$C$5)/12,Dashboard!$C$7,Dashboard!$C$6),0))</f>
        <v/>
      </c>
      <c r="D316" s="83">
        <f>IF(B316&lt;=0.01,0,MIN(C316-E316,B316))</f>
        <v/>
      </c>
      <c r="E316" s="84">
        <f>IF(B316&lt;=0.01,0,ROUND(B316*CHOOSE($B$3,Banco1!$C$5,Banco2!$C$5,Banco3!$C$5,Banco4!$C$5,Banco5!$C$5)/12,2))</f>
        <v/>
      </c>
      <c r="F316" s="83">
        <f>IF(B316&lt;=0.01,0,MAX(B316-D316,0))</f>
        <v/>
      </c>
      <c r="G316" s="85">
        <f>IFERROR(IF(Dashboard!C6&gt;0,1-(F316/Dashboard!C6),0),0)</f>
        <v/>
      </c>
    </row>
    <row r="317" ht="20" customHeight="1">
      <c r="A317" s="82" t="n">
        <v>312</v>
      </c>
      <c r="B317" s="83">
        <f>IF(F316&lt;=0.01,0,F316)</f>
        <v/>
      </c>
      <c r="C317" s="83">
        <f>IF(B317&lt;=0.01,0,IFERROR(-PMT(CHOOSE($B$3,Banco1!$C$5,Banco2!$C$5,Banco3!$C$5,Banco4!$C$5,Banco5!$C$5)/12,Dashboard!$C$7,Dashboard!$C$6),0))</f>
        <v/>
      </c>
      <c r="D317" s="83">
        <f>IF(B317&lt;=0.01,0,MIN(C317-E317,B317))</f>
        <v/>
      </c>
      <c r="E317" s="84">
        <f>IF(B317&lt;=0.01,0,ROUND(B317*CHOOSE($B$3,Banco1!$C$5,Banco2!$C$5,Banco3!$C$5,Banco4!$C$5,Banco5!$C$5)/12,2))</f>
        <v/>
      </c>
      <c r="F317" s="83">
        <f>IF(B317&lt;=0.01,0,MAX(B317-D317,0))</f>
        <v/>
      </c>
      <c r="G317" s="85">
        <f>IFERROR(IF(Dashboard!C6&gt;0,1-(F317/Dashboard!C6),0),0)</f>
        <v/>
      </c>
    </row>
    <row r="318" ht="20" customHeight="1">
      <c r="A318" s="82" t="n">
        <v>313</v>
      </c>
      <c r="B318" s="83">
        <f>IF(F317&lt;=0.01,0,F317)</f>
        <v/>
      </c>
      <c r="C318" s="83">
        <f>IF(B318&lt;=0.01,0,IFERROR(-PMT(CHOOSE($B$3,Banco1!$C$5,Banco2!$C$5,Banco3!$C$5,Banco4!$C$5,Banco5!$C$5)/12,Dashboard!$C$7,Dashboard!$C$6),0))</f>
        <v/>
      </c>
      <c r="D318" s="83">
        <f>IF(B318&lt;=0.01,0,MIN(C318-E318,B318))</f>
        <v/>
      </c>
      <c r="E318" s="84">
        <f>IF(B318&lt;=0.01,0,ROUND(B318*CHOOSE($B$3,Banco1!$C$5,Banco2!$C$5,Banco3!$C$5,Banco4!$C$5,Banco5!$C$5)/12,2))</f>
        <v/>
      </c>
      <c r="F318" s="83">
        <f>IF(B318&lt;=0.01,0,MAX(B318-D318,0))</f>
        <v/>
      </c>
      <c r="G318" s="85">
        <f>IFERROR(IF(Dashboard!C6&gt;0,1-(F318/Dashboard!C6),0),0)</f>
        <v/>
      </c>
    </row>
    <row r="319" ht="20" customHeight="1">
      <c r="A319" s="82" t="n">
        <v>314</v>
      </c>
      <c r="B319" s="83">
        <f>IF(F318&lt;=0.01,0,F318)</f>
        <v/>
      </c>
      <c r="C319" s="83">
        <f>IF(B319&lt;=0.01,0,IFERROR(-PMT(CHOOSE($B$3,Banco1!$C$5,Banco2!$C$5,Banco3!$C$5,Banco4!$C$5,Banco5!$C$5)/12,Dashboard!$C$7,Dashboard!$C$6),0))</f>
        <v/>
      </c>
      <c r="D319" s="83">
        <f>IF(B319&lt;=0.01,0,MIN(C319-E319,B319))</f>
        <v/>
      </c>
      <c r="E319" s="84">
        <f>IF(B319&lt;=0.01,0,ROUND(B319*CHOOSE($B$3,Banco1!$C$5,Banco2!$C$5,Banco3!$C$5,Banco4!$C$5,Banco5!$C$5)/12,2))</f>
        <v/>
      </c>
      <c r="F319" s="83">
        <f>IF(B319&lt;=0.01,0,MAX(B319-D319,0))</f>
        <v/>
      </c>
      <c r="G319" s="85">
        <f>IFERROR(IF(Dashboard!C6&gt;0,1-(F319/Dashboard!C6),0),0)</f>
        <v/>
      </c>
    </row>
    <row r="320" ht="20" customHeight="1">
      <c r="A320" s="82" t="n">
        <v>315</v>
      </c>
      <c r="B320" s="83">
        <f>IF(F319&lt;=0.01,0,F319)</f>
        <v/>
      </c>
      <c r="C320" s="83">
        <f>IF(B320&lt;=0.01,0,IFERROR(-PMT(CHOOSE($B$3,Banco1!$C$5,Banco2!$C$5,Banco3!$C$5,Banco4!$C$5,Banco5!$C$5)/12,Dashboard!$C$7,Dashboard!$C$6),0))</f>
        <v/>
      </c>
      <c r="D320" s="83">
        <f>IF(B320&lt;=0.01,0,MIN(C320-E320,B320))</f>
        <v/>
      </c>
      <c r="E320" s="84">
        <f>IF(B320&lt;=0.01,0,ROUND(B320*CHOOSE($B$3,Banco1!$C$5,Banco2!$C$5,Banco3!$C$5,Banco4!$C$5,Banco5!$C$5)/12,2))</f>
        <v/>
      </c>
      <c r="F320" s="83">
        <f>IF(B320&lt;=0.01,0,MAX(B320-D320,0))</f>
        <v/>
      </c>
      <c r="G320" s="85">
        <f>IFERROR(IF(Dashboard!C6&gt;0,1-(F320/Dashboard!C6),0),0)</f>
        <v/>
      </c>
    </row>
    <row r="321" ht="20" customHeight="1">
      <c r="A321" s="82" t="n">
        <v>316</v>
      </c>
      <c r="B321" s="83">
        <f>IF(F320&lt;=0.01,0,F320)</f>
        <v/>
      </c>
      <c r="C321" s="83">
        <f>IF(B321&lt;=0.01,0,IFERROR(-PMT(CHOOSE($B$3,Banco1!$C$5,Banco2!$C$5,Banco3!$C$5,Banco4!$C$5,Banco5!$C$5)/12,Dashboard!$C$7,Dashboard!$C$6),0))</f>
        <v/>
      </c>
      <c r="D321" s="83">
        <f>IF(B321&lt;=0.01,0,MIN(C321-E321,B321))</f>
        <v/>
      </c>
      <c r="E321" s="84">
        <f>IF(B321&lt;=0.01,0,ROUND(B321*CHOOSE($B$3,Banco1!$C$5,Banco2!$C$5,Banco3!$C$5,Banco4!$C$5,Banco5!$C$5)/12,2))</f>
        <v/>
      </c>
      <c r="F321" s="83">
        <f>IF(B321&lt;=0.01,0,MAX(B321-D321,0))</f>
        <v/>
      </c>
      <c r="G321" s="85">
        <f>IFERROR(IF(Dashboard!C6&gt;0,1-(F321/Dashboard!C6),0),0)</f>
        <v/>
      </c>
    </row>
    <row r="322" ht="20" customHeight="1">
      <c r="A322" s="82" t="n">
        <v>317</v>
      </c>
      <c r="B322" s="83">
        <f>IF(F321&lt;=0.01,0,F321)</f>
        <v/>
      </c>
      <c r="C322" s="83">
        <f>IF(B322&lt;=0.01,0,IFERROR(-PMT(CHOOSE($B$3,Banco1!$C$5,Banco2!$C$5,Banco3!$C$5,Banco4!$C$5,Banco5!$C$5)/12,Dashboard!$C$7,Dashboard!$C$6),0))</f>
        <v/>
      </c>
      <c r="D322" s="83">
        <f>IF(B322&lt;=0.01,0,MIN(C322-E322,B322))</f>
        <v/>
      </c>
      <c r="E322" s="84">
        <f>IF(B322&lt;=0.01,0,ROUND(B322*CHOOSE($B$3,Banco1!$C$5,Banco2!$C$5,Banco3!$C$5,Banco4!$C$5,Banco5!$C$5)/12,2))</f>
        <v/>
      </c>
      <c r="F322" s="83">
        <f>IF(B322&lt;=0.01,0,MAX(B322-D322,0))</f>
        <v/>
      </c>
      <c r="G322" s="85">
        <f>IFERROR(IF(Dashboard!C6&gt;0,1-(F322/Dashboard!C6),0),0)</f>
        <v/>
      </c>
    </row>
    <row r="323" ht="20" customHeight="1">
      <c r="A323" s="82" t="n">
        <v>318</v>
      </c>
      <c r="B323" s="83">
        <f>IF(F322&lt;=0.01,0,F322)</f>
        <v/>
      </c>
      <c r="C323" s="83">
        <f>IF(B323&lt;=0.01,0,IFERROR(-PMT(CHOOSE($B$3,Banco1!$C$5,Banco2!$C$5,Banco3!$C$5,Banco4!$C$5,Banco5!$C$5)/12,Dashboard!$C$7,Dashboard!$C$6),0))</f>
        <v/>
      </c>
      <c r="D323" s="83">
        <f>IF(B323&lt;=0.01,0,MIN(C323-E323,B323))</f>
        <v/>
      </c>
      <c r="E323" s="84">
        <f>IF(B323&lt;=0.01,0,ROUND(B323*CHOOSE($B$3,Banco1!$C$5,Banco2!$C$5,Banco3!$C$5,Banco4!$C$5,Banco5!$C$5)/12,2))</f>
        <v/>
      </c>
      <c r="F323" s="83">
        <f>IF(B323&lt;=0.01,0,MAX(B323-D323,0))</f>
        <v/>
      </c>
      <c r="G323" s="85">
        <f>IFERROR(IF(Dashboard!C6&gt;0,1-(F323/Dashboard!C6),0),0)</f>
        <v/>
      </c>
    </row>
    <row r="324" ht="20" customHeight="1">
      <c r="A324" s="82" t="n">
        <v>319</v>
      </c>
      <c r="B324" s="83">
        <f>IF(F323&lt;=0.01,0,F323)</f>
        <v/>
      </c>
      <c r="C324" s="83">
        <f>IF(B324&lt;=0.01,0,IFERROR(-PMT(CHOOSE($B$3,Banco1!$C$5,Banco2!$C$5,Banco3!$C$5,Banco4!$C$5,Banco5!$C$5)/12,Dashboard!$C$7,Dashboard!$C$6),0))</f>
        <v/>
      </c>
      <c r="D324" s="83">
        <f>IF(B324&lt;=0.01,0,MIN(C324-E324,B324))</f>
        <v/>
      </c>
      <c r="E324" s="84">
        <f>IF(B324&lt;=0.01,0,ROUND(B324*CHOOSE($B$3,Banco1!$C$5,Banco2!$C$5,Banco3!$C$5,Banco4!$C$5,Banco5!$C$5)/12,2))</f>
        <v/>
      </c>
      <c r="F324" s="83">
        <f>IF(B324&lt;=0.01,0,MAX(B324-D324,0))</f>
        <v/>
      </c>
      <c r="G324" s="85">
        <f>IFERROR(IF(Dashboard!C6&gt;0,1-(F324/Dashboard!C6),0),0)</f>
        <v/>
      </c>
    </row>
    <row r="325" ht="20" customHeight="1">
      <c r="A325" s="82" t="n">
        <v>320</v>
      </c>
      <c r="B325" s="83">
        <f>IF(F324&lt;=0.01,0,F324)</f>
        <v/>
      </c>
      <c r="C325" s="83">
        <f>IF(B325&lt;=0.01,0,IFERROR(-PMT(CHOOSE($B$3,Banco1!$C$5,Banco2!$C$5,Banco3!$C$5,Banco4!$C$5,Banco5!$C$5)/12,Dashboard!$C$7,Dashboard!$C$6),0))</f>
        <v/>
      </c>
      <c r="D325" s="83">
        <f>IF(B325&lt;=0.01,0,MIN(C325-E325,B325))</f>
        <v/>
      </c>
      <c r="E325" s="84">
        <f>IF(B325&lt;=0.01,0,ROUND(B325*CHOOSE($B$3,Banco1!$C$5,Banco2!$C$5,Banco3!$C$5,Banco4!$C$5,Banco5!$C$5)/12,2))</f>
        <v/>
      </c>
      <c r="F325" s="83">
        <f>IF(B325&lt;=0.01,0,MAX(B325-D325,0))</f>
        <v/>
      </c>
      <c r="G325" s="85">
        <f>IFERROR(IF(Dashboard!C6&gt;0,1-(F325/Dashboard!C6),0),0)</f>
        <v/>
      </c>
    </row>
    <row r="326" ht="20" customHeight="1">
      <c r="A326" s="82" t="n">
        <v>321</v>
      </c>
      <c r="B326" s="83">
        <f>IF(F325&lt;=0.01,0,F325)</f>
        <v/>
      </c>
      <c r="C326" s="83">
        <f>IF(B326&lt;=0.01,0,IFERROR(-PMT(CHOOSE($B$3,Banco1!$C$5,Banco2!$C$5,Banco3!$C$5,Banco4!$C$5,Banco5!$C$5)/12,Dashboard!$C$7,Dashboard!$C$6),0))</f>
        <v/>
      </c>
      <c r="D326" s="83">
        <f>IF(B326&lt;=0.01,0,MIN(C326-E326,B326))</f>
        <v/>
      </c>
      <c r="E326" s="84">
        <f>IF(B326&lt;=0.01,0,ROUND(B326*CHOOSE($B$3,Banco1!$C$5,Banco2!$C$5,Banco3!$C$5,Banco4!$C$5,Banco5!$C$5)/12,2))</f>
        <v/>
      </c>
      <c r="F326" s="83">
        <f>IF(B326&lt;=0.01,0,MAX(B326-D326,0))</f>
        <v/>
      </c>
      <c r="G326" s="85">
        <f>IFERROR(IF(Dashboard!C6&gt;0,1-(F326/Dashboard!C6),0),0)</f>
        <v/>
      </c>
    </row>
    <row r="327" ht="20" customHeight="1">
      <c r="A327" s="82" t="n">
        <v>322</v>
      </c>
      <c r="B327" s="83">
        <f>IF(F326&lt;=0.01,0,F326)</f>
        <v/>
      </c>
      <c r="C327" s="83">
        <f>IF(B327&lt;=0.01,0,IFERROR(-PMT(CHOOSE($B$3,Banco1!$C$5,Banco2!$C$5,Banco3!$C$5,Banco4!$C$5,Banco5!$C$5)/12,Dashboard!$C$7,Dashboard!$C$6),0))</f>
        <v/>
      </c>
      <c r="D327" s="83">
        <f>IF(B327&lt;=0.01,0,MIN(C327-E327,B327))</f>
        <v/>
      </c>
      <c r="E327" s="84">
        <f>IF(B327&lt;=0.01,0,ROUND(B327*CHOOSE($B$3,Banco1!$C$5,Banco2!$C$5,Banco3!$C$5,Banco4!$C$5,Banco5!$C$5)/12,2))</f>
        <v/>
      </c>
      <c r="F327" s="83">
        <f>IF(B327&lt;=0.01,0,MAX(B327-D327,0))</f>
        <v/>
      </c>
      <c r="G327" s="85">
        <f>IFERROR(IF(Dashboard!C6&gt;0,1-(F327/Dashboard!C6),0),0)</f>
        <v/>
      </c>
    </row>
    <row r="328" ht="20" customHeight="1">
      <c r="A328" s="82" t="n">
        <v>323</v>
      </c>
      <c r="B328" s="83">
        <f>IF(F327&lt;=0.01,0,F327)</f>
        <v/>
      </c>
      <c r="C328" s="83">
        <f>IF(B328&lt;=0.01,0,IFERROR(-PMT(CHOOSE($B$3,Banco1!$C$5,Banco2!$C$5,Banco3!$C$5,Banco4!$C$5,Banco5!$C$5)/12,Dashboard!$C$7,Dashboard!$C$6),0))</f>
        <v/>
      </c>
      <c r="D328" s="83">
        <f>IF(B328&lt;=0.01,0,MIN(C328-E328,B328))</f>
        <v/>
      </c>
      <c r="E328" s="84">
        <f>IF(B328&lt;=0.01,0,ROUND(B328*CHOOSE($B$3,Banco1!$C$5,Banco2!$C$5,Banco3!$C$5,Banco4!$C$5,Banco5!$C$5)/12,2))</f>
        <v/>
      </c>
      <c r="F328" s="83">
        <f>IF(B328&lt;=0.01,0,MAX(B328-D328,0))</f>
        <v/>
      </c>
      <c r="G328" s="85">
        <f>IFERROR(IF(Dashboard!C6&gt;0,1-(F328/Dashboard!C6),0),0)</f>
        <v/>
      </c>
    </row>
    <row r="329" ht="20" customHeight="1">
      <c r="A329" s="82" t="n">
        <v>324</v>
      </c>
      <c r="B329" s="83">
        <f>IF(F328&lt;=0.01,0,F328)</f>
        <v/>
      </c>
      <c r="C329" s="83">
        <f>IF(B329&lt;=0.01,0,IFERROR(-PMT(CHOOSE($B$3,Banco1!$C$5,Banco2!$C$5,Banco3!$C$5,Banco4!$C$5,Banco5!$C$5)/12,Dashboard!$C$7,Dashboard!$C$6),0))</f>
        <v/>
      </c>
      <c r="D329" s="83">
        <f>IF(B329&lt;=0.01,0,MIN(C329-E329,B329))</f>
        <v/>
      </c>
      <c r="E329" s="84">
        <f>IF(B329&lt;=0.01,0,ROUND(B329*CHOOSE($B$3,Banco1!$C$5,Banco2!$C$5,Banco3!$C$5,Banco4!$C$5,Banco5!$C$5)/12,2))</f>
        <v/>
      </c>
      <c r="F329" s="83">
        <f>IF(B329&lt;=0.01,0,MAX(B329-D329,0))</f>
        <v/>
      </c>
      <c r="G329" s="85">
        <f>IFERROR(IF(Dashboard!C6&gt;0,1-(F329/Dashboard!C6),0),0)</f>
        <v/>
      </c>
    </row>
    <row r="330" ht="20" customHeight="1">
      <c r="A330" s="82" t="n">
        <v>325</v>
      </c>
      <c r="B330" s="83">
        <f>IF(F329&lt;=0.01,0,F329)</f>
        <v/>
      </c>
      <c r="C330" s="83">
        <f>IF(B330&lt;=0.01,0,IFERROR(-PMT(CHOOSE($B$3,Banco1!$C$5,Banco2!$C$5,Banco3!$C$5,Banco4!$C$5,Banco5!$C$5)/12,Dashboard!$C$7,Dashboard!$C$6),0))</f>
        <v/>
      </c>
      <c r="D330" s="83">
        <f>IF(B330&lt;=0.01,0,MIN(C330-E330,B330))</f>
        <v/>
      </c>
      <c r="E330" s="84">
        <f>IF(B330&lt;=0.01,0,ROUND(B330*CHOOSE($B$3,Banco1!$C$5,Banco2!$C$5,Banco3!$C$5,Banco4!$C$5,Banco5!$C$5)/12,2))</f>
        <v/>
      </c>
      <c r="F330" s="83">
        <f>IF(B330&lt;=0.01,0,MAX(B330-D330,0))</f>
        <v/>
      </c>
      <c r="G330" s="85">
        <f>IFERROR(IF(Dashboard!C6&gt;0,1-(F330/Dashboard!C6),0),0)</f>
        <v/>
      </c>
    </row>
    <row r="331" ht="20" customHeight="1">
      <c r="A331" s="82" t="n">
        <v>326</v>
      </c>
      <c r="B331" s="83">
        <f>IF(F330&lt;=0.01,0,F330)</f>
        <v/>
      </c>
      <c r="C331" s="83">
        <f>IF(B331&lt;=0.01,0,IFERROR(-PMT(CHOOSE($B$3,Banco1!$C$5,Banco2!$C$5,Banco3!$C$5,Banco4!$C$5,Banco5!$C$5)/12,Dashboard!$C$7,Dashboard!$C$6),0))</f>
        <v/>
      </c>
      <c r="D331" s="83">
        <f>IF(B331&lt;=0.01,0,MIN(C331-E331,B331))</f>
        <v/>
      </c>
      <c r="E331" s="84">
        <f>IF(B331&lt;=0.01,0,ROUND(B331*CHOOSE($B$3,Banco1!$C$5,Banco2!$C$5,Banco3!$C$5,Banco4!$C$5,Banco5!$C$5)/12,2))</f>
        <v/>
      </c>
      <c r="F331" s="83">
        <f>IF(B331&lt;=0.01,0,MAX(B331-D331,0))</f>
        <v/>
      </c>
      <c r="G331" s="85">
        <f>IFERROR(IF(Dashboard!C6&gt;0,1-(F331/Dashboard!C6),0),0)</f>
        <v/>
      </c>
    </row>
    <row r="332" ht="20" customHeight="1">
      <c r="A332" s="82" t="n">
        <v>327</v>
      </c>
      <c r="B332" s="83">
        <f>IF(F331&lt;=0.01,0,F331)</f>
        <v/>
      </c>
      <c r="C332" s="83">
        <f>IF(B332&lt;=0.01,0,IFERROR(-PMT(CHOOSE($B$3,Banco1!$C$5,Banco2!$C$5,Banco3!$C$5,Banco4!$C$5,Banco5!$C$5)/12,Dashboard!$C$7,Dashboard!$C$6),0))</f>
        <v/>
      </c>
      <c r="D332" s="83">
        <f>IF(B332&lt;=0.01,0,MIN(C332-E332,B332))</f>
        <v/>
      </c>
      <c r="E332" s="84">
        <f>IF(B332&lt;=0.01,0,ROUND(B332*CHOOSE($B$3,Banco1!$C$5,Banco2!$C$5,Banco3!$C$5,Banco4!$C$5,Banco5!$C$5)/12,2))</f>
        <v/>
      </c>
      <c r="F332" s="83">
        <f>IF(B332&lt;=0.01,0,MAX(B332-D332,0))</f>
        <v/>
      </c>
      <c r="G332" s="85">
        <f>IFERROR(IF(Dashboard!C6&gt;0,1-(F332/Dashboard!C6),0),0)</f>
        <v/>
      </c>
    </row>
    <row r="333" ht="20" customHeight="1">
      <c r="A333" s="82" t="n">
        <v>328</v>
      </c>
      <c r="B333" s="83">
        <f>IF(F332&lt;=0.01,0,F332)</f>
        <v/>
      </c>
      <c r="C333" s="83">
        <f>IF(B333&lt;=0.01,0,IFERROR(-PMT(CHOOSE($B$3,Banco1!$C$5,Banco2!$C$5,Banco3!$C$5,Banco4!$C$5,Banco5!$C$5)/12,Dashboard!$C$7,Dashboard!$C$6),0))</f>
        <v/>
      </c>
      <c r="D333" s="83">
        <f>IF(B333&lt;=0.01,0,MIN(C333-E333,B333))</f>
        <v/>
      </c>
      <c r="E333" s="84">
        <f>IF(B333&lt;=0.01,0,ROUND(B333*CHOOSE($B$3,Banco1!$C$5,Banco2!$C$5,Banco3!$C$5,Banco4!$C$5,Banco5!$C$5)/12,2))</f>
        <v/>
      </c>
      <c r="F333" s="83">
        <f>IF(B333&lt;=0.01,0,MAX(B333-D333,0))</f>
        <v/>
      </c>
      <c r="G333" s="85">
        <f>IFERROR(IF(Dashboard!C6&gt;0,1-(F333/Dashboard!C6),0),0)</f>
        <v/>
      </c>
    </row>
    <row r="334" ht="20" customHeight="1">
      <c r="A334" s="82" t="n">
        <v>329</v>
      </c>
      <c r="B334" s="83">
        <f>IF(F333&lt;=0.01,0,F333)</f>
        <v/>
      </c>
      <c r="C334" s="83">
        <f>IF(B334&lt;=0.01,0,IFERROR(-PMT(CHOOSE($B$3,Banco1!$C$5,Banco2!$C$5,Banco3!$C$5,Banco4!$C$5,Banco5!$C$5)/12,Dashboard!$C$7,Dashboard!$C$6),0))</f>
        <v/>
      </c>
      <c r="D334" s="83">
        <f>IF(B334&lt;=0.01,0,MIN(C334-E334,B334))</f>
        <v/>
      </c>
      <c r="E334" s="84">
        <f>IF(B334&lt;=0.01,0,ROUND(B334*CHOOSE($B$3,Banco1!$C$5,Banco2!$C$5,Banco3!$C$5,Banco4!$C$5,Banco5!$C$5)/12,2))</f>
        <v/>
      </c>
      <c r="F334" s="83">
        <f>IF(B334&lt;=0.01,0,MAX(B334-D334,0))</f>
        <v/>
      </c>
      <c r="G334" s="85">
        <f>IFERROR(IF(Dashboard!C6&gt;0,1-(F334/Dashboard!C6),0),0)</f>
        <v/>
      </c>
    </row>
    <row r="335" ht="20" customHeight="1">
      <c r="A335" s="82" t="n">
        <v>330</v>
      </c>
      <c r="B335" s="83">
        <f>IF(F334&lt;=0.01,0,F334)</f>
        <v/>
      </c>
      <c r="C335" s="83">
        <f>IF(B335&lt;=0.01,0,IFERROR(-PMT(CHOOSE($B$3,Banco1!$C$5,Banco2!$C$5,Banco3!$C$5,Banco4!$C$5,Banco5!$C$5)/12,Dashboard!$C$7,Dashboard!$C$6),0))</f>
        <v/>
      </c>
      <c r="D335" s="83">
        <f>IF(B335&lt;=0.01,0,MIN(C335-E335,B335))</f>
        <v/>
      </c>
      <c r="E335" s="84">
        <f>IF(B335&lt;=0.01,0,ROUND(B335*CHOOSE($B$3,Banco1!$C$5,Banco2!$C$5,Banco3!$C$5,Banco4!$C$5,Banco5!$C$5)/12,2))</f>
        <v/>
      </c>
      <c r="F335" s="83">
        <f>IF(B335&lt;=0.01,0,MAX(B335-D335,0))</f>
        <v/>
      </c>
      <c r="G335" s="85">
        <f>IFERROR(IF(Dashboard!C6&gt;0,1-(F335/Dashboard!C6),0),0)</f>
        <v/>
      </c>
    </row>
    <row r="336" ht="20" customHeight="1">
      <c r="A336" s="82" t="n">
        <v>331</v>
      </c>
      <c r="B336" s="83">
        <f>IF(F335&lt;=0.01,0,F335)</f>
        <v/>
      </c>
      <c r="C336" s="83">
        <f>IF(B336&lt;=0.01,0,IFERROR(-PMT(CHOOSE($B$3,Banco1!$C$5,Banco2!$C$5,Banco3!$C$5,Banco4!$C$5,Banco5!$C$5)/12,Dashboard!$C$7,Dashboard!$C$6),0))</f>
        <v/>
      </c>
      <c r="D336" s="83">
        <f>IF(B336&lt;=0.01,0,MIN(C336-E336,B336))</f>
        <v/>
      </c>
      <c r="E336" s="84">
        <f>IF(B336&lt;=0.01,0,ROUND(B336*CHOOSE($B$3,Banco1!$C$5,Banco2!$C$5,Banco3!$C$5,Banco4!$C$5,Banco5!$C$5)/12,2))</f>
        <v/>
      </c>
      <c r="F336" s="83">
        <f>IF(B336&lt;=0.01,0,MAX(B336-D336,0))</f>
        <v/>
      </c>
      <c r="G336" s="85">
        <f>IFERROR(IF(Dashboard!C6&gt;0,1-(F336/Dashboard!C6),0),0)</f>
        <v/>
      </c>
    </row>
    <row r="337" ht="20" customHeight="1">
      <c r="A337" s="82" t="n">
        <v>332</v>
      </c>
      <c r="B337" s="83">
        <f>IF(F336&lt;=0.01,0,F336)</f>
        <v/>
      </c>
      <c r="C337" s="83">
        <f>IF(B337&lt;=0.01,0,IFERROR(-PMT(CHOOSE($B$3,Banco1!$C$5,Banco2!$C$5,Banco3!$C$5,Banco4!$C$5,Banco5!$C$5)/12,Dashboard!$C$7,Dashboard!$C$6),0))</f>
        <v/>
      </c>
      <c r="D337" s="83">
        <f>IF(B337&lt;=0.01,0,MIN(C337-E337,B337))</f>
        <v/>
      </c>
      <c r="E337" s="84">
        <f>IF(B337&lt;=0.01,0,ROUND(B337*CHOOSE($B$3,Banco1!$C$5,Banco2!$C$5,Banco3!$C$5,Banco4!$C$5,Banco5!$C$5)/12,2))</f>
        <v/>
      </c>
      <c r="F337" s="83">
        <f>IF(B337&lt;=0.01,0,MAX(B337-D337,0))</f>
        <v/>
      </c>
      <c r="G337" s="85">
        <f>IFERROR(IF(Dashboard!C6&gt;0,1-(F337/Dashboard!C6),0),0)</f>
        <v/>
      </c>
    </row>
    <row r="338" ht="20" customHeight="1">
      <c r="A338" s="82" t="n">
        <v>333</v>
      </c>
      <c r="B338" s="83">
        <f>IF(F337&lt;=0.01,0,F337)</f>
        <v/>
      </c>
      <c r="C338" s="83">
        <f>IF(B338&lt;=0.01,0,IFERROR(-PMT(CHOOSE($B$3,Banco1!$C$5,Banco2!$C$5,Banco3!$C$5,Banco4!$C$5,Banco5!$C$5)/12,Dashboard!$C$7,Dashboard!$C$6),0))</f>
        <v/>
      </c>
      <c r="D338" s="83">
        <f>IF(B338&lt;=0.01,0,MIN(C338-E338,B338))</f>
        <v/>
      </c>
      <c r="E338" s="84">
        <f>IF(B338&lt;=0.01,0,ROUND(B338*CHOOSE($B$3,Banco1!$C$5,Banco2!$C$5,Banco3!$C$5,Banco4!$C$5,Banco5!$C$5)/12,2))</f>
        <v/>
      </c>
      <c r="F338" s="83">
        <f>IF(B338&lt;=0.01,0,MAX(B338-D338,0))</f>
        <v/>
      </c>
      <c r="G338" s="85">
        <f>IFERROR(IF(Dashboard!C6&gt;0,1-(F338/Dashboard!C6),0),0)</f>
        <v/>
      </c>
    </row>
    <row r="339" ht="20" customHeight="1">
      <c r="A339" s="82" t="n">
        <v>334</v>
      </c>
      <c r="B339" s="83">
        <f>IF(F338&lt;=0.01,0,F338)</f>
        <v/>
      </c>
      <c r="C339" s="83">
        <f>IF(B339&lt;=0.01,0,IFERROR(-PMT(CHOOSE($B$3,Banco1!$C$5,Banco2!$C$5,Banco3!$C$5,Banco4!$C$5,Banco5!$C$5)/12,Dashboard!$C$7,Dashboard!$C$6),0))</f>
        <v/>
      </c>
      <c r="D339" s="83">
        <f>IF(B339&lt;=0.01,0,MIN(C339-E339,B339))</f>
        <v/>
      </c>
      <c r="E339" s="84">
        <f>IF(B339&lt;=0.01,0,ROUND(B339*CHOOSE($B$3,Banco1!$C$5,Banco2!$C$5,Banco3!$C$5,Banco4!$C$5,Banco5!$C$5)/12,2))</f>
        <v/>
      </c>
      <c r="F339" s="83">
        <f>IF(B339&lt;=0.01,0,MAX(B339-D339,0))</f>
        <v/>
      </c>
      <c r="G339" s="85">
        <f>IFERROR(IF(Dashboard!C6&gt;0,1-(F339/Dashboard!C6),0),0)</f>
        <v/>
      </c>
    </row>
    <row r="340" ht="20" customHeight="1">
      <c r="A340" s="82" t="n">
        <v>335</v>
      </c>
      <c r="B340" s="83">
        <f>IF(F339&lt;=0.01,0,F339)</f>
        <v/>
      </c>
      <c r="C340" s="83">
        <f>IF(B340&lt;=0.01,0,IFERROR(-PMT(CHOOSE($B$3,Banco1!$C$5,Banco2!$C$5,Banco3!$C$5,Banco4!$C$5,Banco5!$C$5)/12,Dashboard!$C$7,Dashboard!$C$6),0))</f>
        <v/>
      </c>
      <c r="D340" s="83">
        <f>IF(B340&lt;=0.01,0,MIN(C340-E340,B340))</f>
        <v/>
      </c>
      <c r="E340" s="84">
        <f>IF(B340&lt;=0.01,0,ROUND(B340*CHOOSE($B$3,Banco1!$C$5,Banco2!$C$5,Banco3!$C$5,Banco4!$C$5,Banco5!$C$5)/12,2))</f>
        <v/>
      </c>
      <c r="F340" s="83">
        <f>IF(B340&lt;=0.01,0,MAX(B340-D340,0))</f>
        <v/>
      </c>
      <c r="G340" s="85">
        <f>IFERROR(IF(Dashboard!C6&gt;0,1-(F340/Dashboard!C6),0),0)</f>
        <v/>
      </c>
    </row>
    <row r="341" ht="20" customHeight="1">
      <c r="A341" s="82" t="n">
        <v>336</v>
      </c>
      <c r="B341" s="83">
        <f>IF(F340&lt;=0.01,0,F340)</f>
        <v/>
      </c>
      <c r="C341" s="83">
        <f>IF(B341&lt;=0.01,0,IFERROR(-PMT(CHOOSE($B$3,Banco1!$C$5,Banco2!$C$5,Banco3!$C$5,Banco4!$C$5,Banco5!$C$5)/12,Dashboard!$C$7,Dashboard!$C$6),0))</f>
        <v/>
      </c>
      <c r="D341" s="83">
        <f>IF(B341&lt;=0.01,0,MIN(C341-E341,B341))</f>
        <v/>
      </c>
      <c r="E341" s="84">
        <f>IF(B341&lt;=0.01,0,ROUND(B341*CHOOSE($B$3,Banco1!$C$5,Banco2!$C$5,Banco3!$C$5,Banco4!$C$5,Banco5!$C$5)/12,2))</f>
        <v/>
      </c>
      <c r="F341" s="83">
        <f>IF(B341&lt;=0.01,0,MAX(B341-D341,0))</f>
        <v/>
      </c>
      <c r="G341" s="85">
        <f>IFERROR(IF(Dashboard!C6&gt;0,1-(F341/Dashboard!C6),0),0)</f>
        <v/>
      </c>
    </row>
    <row r="342" ht="20" customHeight="1">
      <c r="A342" s="82" t="n">
        <v>337</v>
      </c>
      <c r="B342" s="83">
        <f>IF(F341&lt;=0.01,0,F341)</f>
        <v/>
      </c>
      <c r="C342" s="83">
        <f>IF(B342&lt;=0.01,0,IFERROR(-PMT(CHOOSE($B$3,Banco1!$C$5,Banco2!$C$5,Banco3!$C$5,Banco4!$C$5,Banco5!$C$5)/12,Dashboard!$C$7,Dashboard!$C$6),0))</f>
        <v/>
      </c>
      <c r="D342" s="83">
        <f>IF(B342&lt;=0.01,0,MIN(C342-E342,B342))</f>
        <v/>
      </c>
      <c r="E342" s="84">
        <f>IF(B342&lt;=0.01,0,ROUND(B342*CHOOSE($B$3,Banco1!$C$5,Banco2!$C$5,Banco3!$C$5,Banco4!$C$5,Banco5!$C$5)/12,2))</f>
        <v/>
      </c>
      <c r="F342" s="83">
        <f>IF(B342&lt;=0.01,0,MAX(B342-D342,0))</f>
        <v/>
      </c>
      <c r="G342" s="85">
        <f>IFERROR(IF(Dashboard!C6&gt;0,1-(F342/Dashboard!C6),0),0)</f>
        <v/>
      </c>
    </row>
    <row r="343" ht="20" customHeight="1">
      <c r="A343" s="82" t="n">
        <v>338</v>
      </c>
      <c r="B343" s="83">
        <f>IF(F342&lt;=0.01,0,F342)</f>
        <v/>
      </c>
      <c r="C343" s="83">
        <f>IF(B343&lt;=0.01,0,IFERROR(-PMT(CHOOSE($B$3,Banco1!$C$5,Banco2!$C$5,Banco3!$C$5,Banco4!$C$5,Banco5!$C$5)/12,Dashboard!$C$7,Dashboard!$C$6),0))</f>
        <v/>
      </c>
      <c r="D343" s="83">
        <f>IF(B343&lt;=0.01,0,MIN(C343-E343,B343))</f>
        <v/>
      </c>
      <c r="E343" s="84">
        <f>IF(B343&lt;=0.01,0,ROUND(B343*CHOOSE($B$3,Banco1!$C$5,Banco2!$C$5,Banco3!$C$5,Banco4!$C$5,Banco5!$C$5)/12,2))</f>
        <v/>
      </c>
      <c r="F343" s="83">
        <f>IF(B343&lt;=0.01,0,MAX(B343-D343,0))</f>
        <v/>
      </c>
      <c r="G343" s="85">
        <f>IFERROR(IF(Dashboard!C6&gt;0,1-(F343/Dashboard!C6),0),0)</f>
        <v/>
      </c>
    </row>
    <row r="344" ht="20" customHeight="1">
      <c r="A344" s="82" t="n">
        <v>339</v>
      </c>
      <c r="B344" s="83">
        <f>IF(F343&lt;=0.01,0,F343)</f>
        <v/>
      </c>
      <c r="C344" s="83">
        <f>IF(B344&lt;=0.01,0,IFERROR(-PMT(CHOOSE($B$3,Banco1!$C$5,Banco2!$C$5,Banco3!$C$5,Banco4!$C$5,Banco5!$C$5)/12,Dashboard!$C$7,Dashboard!$C$6),0))</f>
        <v/>
      </c>
      <c r="D344" s="83">
        <f>IF(B344&lt;=0.01,0,MIN(C344-E344,B344))</f>
        <v/>
      </c>
      <c r="E344" s="84">
        <f>IF(B344&lt;=0.01,0,ROUND(B344*CHOOSE($B$3,Banco1!$C$5,Banco2!$C$5,Banco3!$C$5,Banco4!$C$5,Banco5!$C$5)/12,2))</f>
        <v/>
      </c>
      <c r="F344" s="83">
        <f>IF(B344&lt;=0.01,0,MAX(B344-D344,0))</f>
        <v/>
      </c>
      <c r="G344" s="85">
        <f>IFERROR(IF(Dashboard!C6&gt;0,1-(F344/Dashboard!C6),0),0)</f>
        <v/>
      </c>
    </row>
    <row r="345" ht="20" customHeight="1">
      <c r="A345" s="82" t="n">
        <v>340</v>
      </c>
      <c r="B345" s="83">
        <f>IF(F344&lt;=0.01,0,F344)</f>
        <v/>
      </c>
      <c r="C345" s="83">
        <f>IF(B345&lt;=0.01,0,IFERROR(-PMT(CHOOSE($B$3,Banco1!$C$5,Banco2!$C$5,Banco3!$C$5,Banco4!$C$5,Banco5!$C$5)/12,Dashboard!$C$7,Dashboard!$C$6),0))</f>
        <v/>
      </c>
      <c r="D345" s="83">
        <f>IF(B345&lt;=0.01,0,MIN(C345-E345,B345))</f>
        <v/>
      </c>
      <c r="E345" s="84">
        <f>IF(B345&lt;=0.01,0,ROUND(B345*CHOOSE($B$3,Banco1!$C$5,Banco2!$C$5,Banco3!$C$5,Banco4!$C$5,Banco5!$C$5)/12,2))</f>
        <v/>
      </c>
      <c r="F345" s="83">
        <f>IF(B345&lt;=0.01,0,MAX(B345-D345,0))</f>
        <v/>
      </c>
      <c r="G345" s="85">
        <f>IFERROR(IF(Dashboard!C6&gt;0,1-(F345/Dashboard!C6),0),0)</f>
        <v/>
      </c>
    </row>
    <row r="346" ht="20" customHeight="1">
      <c r="A346" s="82" t="n">
        <v>341</v>
      </c>
      <c r="B346" s="83">
        <f>IF(F345&lt;=0.01,0,F345)</f>
        <v/>
      </c>
      <c r="C346" s="83">
        <f>IF(B346&lt;=0.01,0,IFERROR(-PMT(CHOOSE($B$3,Banco1!$C$5,Banco2!$C$5,Banco3!$C$5,Banco4!$C$5,Banco5!$C$5)/12,Dashboard!$C$7,Dashboard!$C$6),0))</f>
        <v/>
      </c>
      <c r="D346" s="83">
        <f>IF(B346&lt;=0.01,0,MIN(C346-E346,B346))</f>
        <v/>
      </c>
      <c r="E346" s="84">
        <f>IF(B346&lt;=0.01,0,ROUND(B346*CHOOSE($B$3,Banco1!$C$5,Banco2!$C$5,Banco3!$C$5,Banco4!$C$5,Banco5!$C$5)/12,2))</f>
        <v/>
      </c>
      <c r="F346" s="83">
        <f>IF(B346&lt;=0.01,0,MAX(B346-D346,0))</f>
        <v/>
      </c>
      <c r="G346" s="85">
        <f>IFERROR(IF(Dashboard!C6&gt;0,1-(F346/Dashboard!C6),0),0)</f>
        <v/>
      </c>
    </row>
    <row r="347" ht="20" customHeight="1">
      <c r="A347" s="82" t="n">
        <v>342</v>
      </c>
      <c r="B347" s="83">
        <f>IF(F346&lt;=0.01,0,F346)</f>
        <v/>
      </c>
      <c r="C347" s="83">
        <f>IF(B347&lt;=0.01,0,IFERROR(-PMT(CHOOSE($B$3,Banco1!$C$5,Banco2!$C$5,Banco3!$C$5,Banco4!$C$5,Banco5!$C$5)/12,Dashboard!$C$7,Dashboard!$C$6),0))</f>
        <v/>
      </c>
      <c r="D347" s="83">
        <f>IF(B347&lt;=0.01,0,MIN(C347-E347,B347))</f>
        <v/>
      </c>
      <c r="E347" s="84">
        <f>IF(B347&lt;=0.01,0,ROUND(B347*CHOOSE($B$3,Banco1!$C$5,Banco2!$C$5,Banco3!$C$5,Banco4!$C$5,Banco5!$C$5)/12,2))</f>
        <v/>
      </c>
      <c r="F347" s="83">
        <f>IF(B347&lt;=0.01,0,MAX(B347-D347,0))</f>
        <v/>
      </c>
      <c r="G347" s="85">
        <f>IFERROR(IF(Dashboard!C6&gt;0,1-(F347/Dashboard!C6),0),0)</f>
        <v/>
      </c>
    </row>
    <row r="348" ht="20" customHeight="1">
      <c r="A348" s="82" t="n">
        <v>343</v>
      </c>
      <c r="B348" s="83">
        <f>IF(F347&lt;=0.01,0,F347)</f>
        <v/>
      </c>
      <c r="C348" s="83">
        <f>IF(B348&lt;=0.01,0,IFERROR(-PMT(CHOOSE($B$3,Banco1!$C$5,Banco2!$C$5,Banco3!$C$5,Banco4!$C$5,Banco5!$C$5)/12,Dashboard!$C$7,Dashboard!$C$6),0))</f>
        <v/>
      </c>
      <c r="D348" s="83">
        <f>IF(B348&lt;=0.01,0,MIN(C348-E348,B348))</f>
        <v/>
      </c>
      <c r="E348" s="84">
        <f>IF(B348&lt;=0.01,0,ROUND(B348*CHOOSE($B$3,Banco1!$C$5,Banco2!$C$5,Banco3!$C$5,Banco4!$C$5,Banco5!$C$5)/12,2))</f>
        <v/>
      </c>
      <c r="F348" s="83">
        <f>IF(B348&lt;=0.01,0,MAX(B348-D348,0))</f>
        <v/>
      </c>
      <c r="G348" s="85">
        <f>IFERROR(IF(Dashboard!C6&gt;0,1-(F348/Dashboard!C6),0),0)</f>
        <v/>
      </c>
    </row>
    <row r="349" ht="20" customHeight="1">
      <c r="A349" s="82" t="n">
        <v>344</v>
      </c>
      <c r="B349" s="83">
        <f>IF(F348&lt;=0.01,0,F348)</f>
        <v/>
      </c>
      <c r="C349" s="83">
        <f>IF(B349&lt;=0.01,0,IFERROR(-PMT(CHOOSE($B$3,Banco1!$C$5,Banco2!$C$5,Banco3!$C$5,Banco4!$C$5,Banco5!$C$5)/12,Dashboard!$C$7,Dashboard!$C$6),0))</f>
        <v/>
      </c>
      <c r="D349" s="83">
        <f>IF(B349&lt;=0.01,0,MIN(C349-E349,B349))</f>
        <v/>
      </c>
      <c r="E349" s="84">
        <f>IF(B349&lt;=0.01,0,ROUND(B349*CHOOSE($B$3,Banco1!$C$5,Banco2!$C$5,Banco3!$C$5,Banco4!$C$5,Banco5!$C$5)/12,2))</f>
        <v/>
      </c>
      <c r="F349" s="83">
        <f>IF(B349&lt;=0.01,0,MAX(B349-D349,0))</f>
        <v/>
      </c>
      <c r="G349" s="85">
        <f>IFERROR(IF(Dashboard!C6&gt;0,1-(F349/Dashboard!C6),0),0)</f>
        <v/>
      </c>
    </row>
    <row r="350" ht="20" customHeight="1">
      <c r="A350" s="82" t="n">
        <v>345</v>
      </c>
      <c r="B350" s="83">
        <f>IF(F349&lt;=0.01,0,F349)</f>
        <v/>
      </c>
      <c r="C350" s="83">
        <f>IF(B350&lt;=0.01,0,IFERROR(-PMT(CHOOSE($B$3,Banco1!$C$5,Banco2!$C$5,Banco3!$C$5,Banco4!$C$5,Banco5!$C$5)/12,Dashboard!$C$7,Dashboard!$C$6),0))</f>
        <v/>
      </c>
      <c r="D350" s="83">
        <f>IF(B350&lt;=0.01,0,MIN(C350-E350,B350))</f>
        <v/>
      </c>
      <c r="E350" s="84">
        <f>IF(B350&lt;=0.01,0,ROUND(B350*CHOOSE($B$3,Banco1!$C$5,Banco2!$C$5,Banco3!$C$5,Banco4!$C$5,Banco5!$C$5)/12,2))</f>
        <v/>
      </c>
      <c r="F350" s="83">
        <f>IF(B350&lt;=0.01,0,MAX(B350-D350,0))</f>
        <v/>
      </c>
      <c r="G350" s="85">
        <f>IFERROR(IF(Dashboard!C6&gt;0,1-(F350/Dashboard!C6),0),0)</f>
        <v/>
      </c>
    </row>
    <row r="351" ht="20" customHeight="1">
      <c r="A351" s="82" t="n">
        <v>346</v>
      </c>
      <c r="B351" s="83">
        <f>IF(F350&lt;=0.01,0,F350)</f>
        <v/>
      </c>
      <c r="C351" s="83">
        <f>IF(B351&lt;=0.01,0,IFERROR(-PMT(CHOOSE($B$3,Banco1!$C$5,Banco2!$C$5,Banco3!$C$5,Banco4!$C$5,Banco5!$C$5)/12,Dashboard!$C$7,Dashboard!$C$6),0))</f>
        <v/>
      </c>
      <c r="D351" s="83">
        <f>IF(B351&lt;=0.01,0,MIN(C351-E351,B351))</f>
        <v/>
      </c>
      <c r="E351" s="84">
        <f>IF(B351&lt;=0.01,0,ROUND(B351*CHOOSE($B$3,Banco1!$C$5,Banco2!$C$5,Banco3!$C$5,Banco4!$C$5,Banco5!$C$5)/12,2))</f>
        <v/>
      </c>
      <c r="F351" s="83">
        <f>IF(B351&lt;=0.01,0,MAX(B351-D351,0))</f>
        <v/>
      </c>
      <c r="G351" s="85">
        <f>IFERROR(IF(Dashboard!C6&gt;0,1-(F351/Dashboard!C6),0),0)</f>
        <v/>
      </c>
    </row>
    <row r="352" ht="20" customHeight="1">
      <c r="A352" s="82" t="n">
        <v>347</v>
      </c>
      <c r="B352" s="83">
        <f>IF(F351&lt;=0.01,0,F351)</f>
        <v/>
      </c>
      <c r="C352" s="83">
        <f>IF(B352&lt;=0.01,0,IFERROR(-PMT(CHOOSE($B$3,Banco1!$C$5,Banco2!$C$5,Banco3!$C$5,Banco4!$C$5,Banco5!$C$5)/12,Dashboard!$C$7,Dashboard!$C$6),0))</f>
        <v/>
      </c>
      <c r="D352" s="83">
        <f>IF(B352&lt;=0.01,0,MIN(C352-E352,B352))</f>
        <v/>
      </c>
      <c r="E352" s="84">
        <f>IF(B352&lt;=0.01,0,ROUND(B352*CHOOSE($B$3,Banco1!$C$5,Banco2!$C$5,Banco3!$C$5,Banco4!$C$5,Banco5!$C$5)/12,2))</f>
        <v/>
      </c>
      <c r="F352" s="83">
        <f>IF(B352&lt;=0.01,0,MAX(B352-D352,0))</f>
        <v/>
      </c>
      <c r="G352" s="85">
        <f>IFERROR(IF(Dashboard!C6&gt;0,1-(F352/Dashboard!C6),0),0)</f>
        <v/>
      </c>
    </row>
    <row r="353" ht="20" customHeight="1">
      <c r="A353" s="82" t="n">
        <v>348</v>
      </c>
      <c r="B353" s="83">
        <f>IF(F352&lt;=0.01,0,F352)</f>
        <v/>
      </c>
      <c r="C353" s="83">
        <f>IF(B353&lt;=0.01,0,IFERROR(-PMT(CHOOSE($B$3,Banco1!$C$5,Banco2!$C$5,Banco3!$C$5,Banco4!$C$5,Banco5!$C$5)/12,Dashboard!$C$7,Dashboard!$C$6),0))</f>
        <v/>
      </c>
      <c r="D353" s="83">
        <f>IF(B353&lt;=0.01,0,MIN(C353-E353,B353))</f>
        <v/>
      </c>
      <c r="E353" s="84">
        <f>IF(B353&lt;=0.01,0,ROUND(B353*CHOOSE($B$3,Banco1!$C$5,Banco2!$C$5,Banco3!$C$5,Banco4!$C$5,Banco5!$C$5)/12,2))</f>
        <v/>
      </c>
      <c r="F353" s="83">
        <f>IF(B353&lt;=0.01,0,MAX(B353-D353,0))</f>
        <v/>
      </c>
      <c r="G353" s="85">
        <f>IFERROR(IF(Dashboard!C6&gt;0,1-(F353/Dashboard!C6),0),0)</f>
        <v/>
      </c>
    </row>
    <row r="354" ht="20" customHeight="1">
      <c r="A354" s="82" t="n">
        <v>349</v>
      </c>
      <c r="B354" s="83">
        <f>IF(F353&lt;=0.01,0,F353)</f>
        <v/>
      </c>
      <c r="C354" s="83">
        <f>IF(B354&lt;=0.01,0,IFERROR(-PMT(CHOOSE($B$3,Banco1!$C$5,Banco2!$C$5,Banco3!$C$5,Banco4!$C$5,Banco5!$C$5)/12,Dashboard!$C$7,Dashboard!$C$6),0))</f>
        <v/>
      </c>
      <c r="D354" s="83">
        <f>IF(B354&lt;=0.01,0,MIN(C354-E354,B354))</f>
        <v/>
      </c>
      <c r="E354" s="84">
        <f>IF(B354&lt;=0.01,0,ROUND(B354*CHOOSE($B$3,Banco1!$C$5,Banco2!$C$5,Banco3!$C$5,Banco4!$C$5,Banco5!$C$5)/12,2))</f>
        <v/>
      </c>
      <c r="F354" s="83">
        <f>IF(B354&lt;=0.01,0,MAX(B354-D354,0))</f>
        <v/>
      </c>
      <c r="G354" s="85">
        <f>IFERROR(IF(Dashboard!C6&gt;0,1-(F354/Dashboard!C6),0),0)</f>
        <v/>
      </c>
    </row>
    <row r="355" ht="20" customHeight="1">
      <c r="A355" s="82" t="n">
        <v>350</v>
      </c>
      <c r="B355" s="83">
        <f>IF(F354&lt;=0.01,0,F354)</f>
        <v/>
      </c>
      <c r="C355" s="83">
        <f>IF(B355&lt;=0.01,0,IFERROR(-PMT(CHOOSE($B$3,Banco1!$C$5,Banco2!$C$5,Banco3!$C$5,Banco4!$C$5,Banco5!$C$5)/12,Dashboard!$C$7,Dashboard!$C$6),0))</f>
        <v/>
      </c>
      <c r="D355" s="83">
        <f>IF(B355&lt;=0.01,0,MIN(C355-E355,B355))</f>
        <v/>
      </c>
      <c r="E355" s="84">
        <f>IF(B355&lt;=0.01,0,ROUND(B355*CHOOSE($B$3,Banco1!$C$5,Banco2!$C$5,Banco3!$C$5,Banco4!$C$5,Banco5!$C$5)/12,2))</f>
        <v/>
      </c>
      <c r="F355" s="83">
        <f>IF(B355&lt;=0.01,0,MAX(B355-D355,0))</f>
        <v/>
      </c>
      <c r="G355" s="85">
        <f>IFERROR(IF(Dashboard!C6&gt;0,1-(F355/Dashboard!C6),0),0)</f>
        <v/>
      </c>
    </row>
    <row r="356" ht="20" customHeight="1">
      <c r="A356" s="82" t="n">
        <v>351</v>
      </c>
      <c r="B356" s="83">
        <f>IF(F355&lt;=0.01,0,F355)</f>
        <v/>
      </c>
      <c r="C356" s="83">
        <f>IF(B356&lt;=0.01,0,IFERROR(-PMT(CHOOSE($B$3,Banco1!$C$5,Banco2!$C$5,Banco3!$C$5,Banco4!$C$5,Banco5!$C$5)/12,Dashboard!$C$7,Dashboard!$C$6),0))</f>
        <v/>
      </c>
      <c r="D356" s="83">
        <f>IF(B356&lt;=0.01,0,MIN(C356-E356,B356))</f>
        <v/>
      </c>
      <c r="E356" s="84">
        <f>IF(B356&lt;=0.01,0,ROUND(B356*CHOOSE($B$3,Banco1!$C$5,Banco2!$C$5,Banco3!$C$5,Banco4!$C$5,Banco5!$C$5)/12,2))</f>
        <v/>
      </c>
      <c r="F356" s="83">
        <f>IF(B356&lt;=0.01,0,MAX(B356-D356,0))</f>
        <v/>
      </c>
      <c r="G356" s="85">
        <f>IFERROR(IF(Dashboard!C6&gt;0,1-(F356/Dashboard!C6),0),0)</f>
        <v/>
      </c>
    </row>
    <row r="357" ht="20" customHeight="1">
      <c r="A357" s="82" t="n">
        <v>352</v>
      </c>
      <c r="B357" s="83">
        <f>IF(F356&lt;=0.01,0,F356)</f>
        <v/>
      </c>
      <c r="C357" s="83">
        <f>IF(B357&lt;=0.01,0,IFERROR(-PMT(CHOOSE($B$3,Banco1!$C$5,Banco2!$C$5,Banco3!$C$5,Banco4!$C$5,Banco5!$C$5)/12,Dashboard!$C$7,Dashboard!$C$6),0))</f>
        <v/>
      </c>
      <c r="D357" s="83">
        <f>IF(B357&lt;=0.01,0,MIN(C357-E357,B357))</f>
        <v/>
      </c>
      <c r="E357" s="84">
        <f>IF(B357&lt;=0.01,0,ROUND(B357*CHOOSE($B$3,Banco1!$C$5,Banco2!$C$5,Banco3!$C$5,Banco4!$C$5,Banco5!$C$5)/12,2))</f>
        <v/>
      </c>
      <c r="F357" s="83">
        <f>IF(B357&lt;=0.01,0,MAX(B357-D357,0))</f>
        <v/>
      </c>
      <c r="G357" s="85">
        <f>IFERROR(IF(Dashboard!C6&gt;0,1-(F357/Dashboard!C6),0),0)</f>
        <v/>
      </c>
    </row>
    <row r="358" ht="20" customHeight="1">
      <c r="A358" s="82" t="n">
        <v>353</v>
      </c>
      <c r="B358" s="83">
        <f>IF(F357&lt;=0.01,0,F357)</f>
        <v/>
      </c>
      <c r="C358" s="83">
        <f>IF(B358&lt;=0.01,0,IFERROR(-PMT(CHOOSE($B$3,Banco1!$C$5,Banco2!$C$5,Banco3!$C$5,Banco4!$C$5,Banco5!$C$5)/12,Dashboard!$C$7,Dashboard!$C$6),0))</f>
        <v/>
      </c>
      <c r="D358" s="83">
        <f>IF(B358&lt;=0.01,0,MIN(C358-E358,B358))</f>
        <v/>
      </c>
      <c r="E358" s="84">
        <f>IF(B358&lt;=0.01,0,ROUND(B358*CHOOSE($B$3,Banco1!$C$5,Banco2!$C$5,Banco3!$C$5,Banco4!$C$5,Banco5!$C$5)/12,2))</f>
        <v/>
      </c>
      <c r="F358" s="83">
        <f>IF(B358&lt;=0.01,0,MAX(B358-D358,0))</f>
        <v/>
      </c>
      <c r="G358" s="85">
        <f>IFERROR(IF(Dashboard!C6&gt;0,1-(F358/Dashboard!C6),0),0)</f>
        <v/>
      </c>
    </row>
    <row r="359" ht="20" customHeight="1">
      <c r="A359" s="82" t="n">
        <v>354</v>
      </c>
      <c r="B359" s="83">
        <f>IF(F358&lt;=0.01,0,F358)</f>
        <v/>
      </c>
      <c r="C359" s="83">
        <f>IF(B359&lt;=0.01,0,IFERROR(-PMT(CHOOSE($B$3,Banco1!$C$5,Banco2!$C$5,Banco3!$C$5,Banco4!$C$5,Banco5!$C$5)/12,Dashboard!$C$7,Dashboard!$C$6),0))</f>
        <v/>
      </c>
      <c r="D359" s="83">
        <f>IF(B359&lt;=0.01,0,MIN(C359-E359,B359))</f>
        <v/>
      </c>
      <c r="E359" s="84">
        <f>IF(B359&lt;=0.01,0,ROUND(B359*CHOOSE($B$3,Banco1!$C$5,Banco2!$C$5,Banco3!$C$5,Banco4!$C$5,Banco5!$C$5)/12,2))</f>
        <v/>
      </c>
      <c r="F359" s="83">
        <f>IF(B359&lt;=0.01,0,MAX(B359-D359,0))</f>
        <v/>
      </c>
      <c r="G359" s="85">
        <f>IFERROR(IF(Dashboard!C6&gt;0,1-(F359/Dashboard!C6),0),0)</f>
        <v/>
      </c>
    </row>
    <row r="360" ht="20" customHeight="1">
      <c r="A360" s="82" t="n">
        <v>355</v>
      </c>
      <c r="B360" s="83">
        <f>IF(F359&lt;=0.01,0,F359)</f>
        <v/>
      </c>
      <c r="C360" s="83">
        <f>IF(B360&lt;=0.01,0,IFERROR(-PMT(CHOOSE($B$3,Banco1!$C$5,Banco2!$C$5,Banco3!$C$5,Banco4!$C$5,Banco5!$C$5)/12,Dashboard!$C$7,Dashboard!$C$6),0))</f>
        <v/>
      </c>
      <c r="D360" s="83">
        <f>IF(B360&lt;=0.01,0,MIN(C360-E360,B360))</f>
        <v/>
      </c>
      <c r="E360" s="84">
        <f>IF(B360&lt;=0.01,0,ROUND(B360*CHOOSE($B$3,Banco1!$C$5,Banco2!$C$5,Banco3!$C$5,Banco4!$C$5,Banco5!$C$5)/12,2))</f>
        <v/>
      </c>
      <c r="F360" s="83">
        <f>IF(B360&lt;=0.01,0,MAX(B360-D360,0))</f>
        <v/>
      </c>
      <c r="G360" s="85">
        <f>IFERROR(IF(Dashboard!C6&gt;0,1-(F360/Dashboard!C6),0),0)</f>
        <v/>
      </c>
    </row>
    <row r="361" ht="20" customHeight="1">
      <c r="A361" s="82" t="n">
        <v>356</v>
      </c>
      <c r="B361" s="83">
        <f>IF(F360&lt;=0.01,0,F360)</f>
        <v/>
      </c>
      <c r="C361" s="83">
        <f>IF(B361&lt;=0.01,0,IFERROR(-PMT(CHOOSE($B$3,Banco1!$C$5,Banco2!$C$5,Banco3!$C$5,Banco4!$C$5,Banco5!$C$5)/12,Dashboard!$C$7,Dashboard!$C$6),0))</f>
        <v/>
      </c>
      <c r="D361" s="83">
        <f>IF(B361&lt;=0.01,0,MIN(C361-E361,B361))</f>
        <v/>
      </c>
      <c r="E361" s="84">
        <f>IF(B361&lt;=0.01,0,ROUND(B361*CHOOSE($B$3,Banco1!$C$5,Banco2!$C$5,Banco3!$C$5,Banco4!$C$5,Banco5!$C$5)/12,2))</f>
        <v/>
      </c>
      <c r="F361" s="83">
        <f>IF(B361&lt;=0.01,0,MAX(B361-D361,0))</f>
        <v/>
      </c>
      <c r="G361" s="85">
        <f>IFERROR(IF(Dashboard!C6&gt;0,1-(F361/Dashboard!C6),0),0)</f>
        <v/>
      </c>
    </row>
    <row r="362" ht="20" customHeight="1">
      <c r="A362" s="82" t="n">
        <v>357</v>
      </c>
      <c r="B362" s="83">
        <f>IF(F361&lt;=0.01,0,F361)</f>
        <v/>
      </c>
      <c r="C362" s="83">
        <f>IF(B362&lt;=0.01,0,IFERROR(-PMT(CHOOSE($B$3,Banco1!$C$5,Banco2!$C$5,Banco3!$C$5,Banco4!$C$5,Banco5!$C$5)/12,Dashboard!$C$7,Dashboard!$C$6),0))</f>
        <v/>
      </c>
      <c r="D362" s="83">
        <f>IF(B362&lt;=0.01,0,MIN(C362-E362,B362))</f>
        <v/>
      </c>
      <c r="E362" s="84">
        <f>IF(B362&lt;=0.01,0,ROUND(B362*CHOOSE($B$3,Banco1!$C$5,Banco2!$C$5,Banco3!$C$5,Banco4!$C$5,Banco5!$C$5)/12,2))</f>
        <v/>
      </c>
      <c r="F362" s="83">
        <f>IF(B362&lt;=0.01,0,MAX(B362-D362,0))</f>
        <v/>
      </c>
      <c r="G362" s="85">
        <f>IFERROR(IF(Dashboard!C6&gt;0,1-(F362/Dashboard!C6),0),0)</f>
        <v/>
      </c>
    </row>
    <row r="363" ht="20" customHeight="1">
      <c r="A363" s="82" t="n">
        <v>358</v>
      </c>
      <c r="B363" s="83">
        <f>IF(F362&lt;=0.01,0,F362)</f>
        <v/>
      </c>
      <c r="C363" s="83">
        <f>IF(B363&lt;=0.01,0,IFERROR(-PMT(CHOOSE($B$3,Banco1!$C$5,Banco2!$C$5,Banco3!$C$5,Banco4!$C$5,Banco5!$C$5)/12,Dashboard!$C$7,Dashboard!$C$6),0))</f>
        <v/>
      </c>
      <c r="D363" s="83">
        <f>IF(B363&lt;=0.01,0,MIN(C363-E363,B363))</f>
        <v/>
      </c>
      <c r="E363" s="84">
        <f>IF(B363&lt;=0.01,0,ROUND(B363*CHOOSE($B$3,Banco1!$C$5,Banco2!$C$5,Banco3!$C$5,Banco4!$C$5,Banco5!$C$5)/12,2))</f>
        <v/>
      </c>
      <c r="F363" s="83">
        <f>IF(B363&lt;=0.01,0,MAX(B363-D363,0))</f>
        <v/>
      </c>
      <c r="G363" s="85">
        <f>IFERROR(IF(Dashboard!C6&gt;0,1-(F363/Dashboard!C6),0),0)</f>
        <v/>
      </c>
    </row>
    <row r="364" ht="20" customHeight="1">
      <c r="A364" s="82" t="n">
        <v>359</v>
      </c>
      <c r="B364" s="83">
        <f>IF(F363&lt;=0.01,0,F363)</f>
        <v/>
      </c>
      <c r="C364" s="83">
        <f>IF(B364&lt;=0.01,0,IFERROR(-PMT(CHOOSE($B$3,Banco1!$C$5,Banco2!$C$5,Banco3!$C$5,Banco4!$C$5,Banco5!$C$5)/12,Dashboard!$C$7,Dashboard!$C$6),0))</f>
        <v/>
      </c>
      <c r="D364" s="83">
        <f>IF(B364&lt;=0.01,0,MIN(C364-E364,B364))</f>
        <v/>
      </c>
      <c r="E364" s="84">
        <f>IF(B364&lt;=0.01,0,ROUND(B364*CHOOSE($B$3,Banco1!$C$5,Banco2!$C$5,Banco3!$C$5,Banco4!$C$5,Banco5!$C$5)/12,2))</f>
        <v/>
      </c>
      <c r="F364" s="83">
        <f>IF(B364&lt;=0.01,0,MAX(B364-D364,0))</f>
        <v/>
      </c>
      <c r="G364" s="85">
        <f>IFERROR(IF(Dashboard!C6&gt;0,1-(F364/Dashboard!C6),0),0)</f>
        <v/>
      </c>
    </row>
    <row r="365" ht="20" customHeight="1">
      <c r="A365" s="82" t="n">
        <v>360</v>
      </c>
      <c r="B365" s="83">
        <f>IF(F364&lt;=0.01,0,F364)</f>
        <v/>
      </c>
      <c r="C365" s="83">
        <f>IF(B365&lt;=0.01,0,IFERROR(-PMT(CHOOSE($B$3,Banco1!$C$5,Banco2!$C$5,Banco3!$C$5,Banco4!$C$5,Banco5!$C$5)/12,Dashboard!$C$7,Dashboard!$C$6),0))</f>
        <v/>
      </c>
      <c r="D365" s="83">
        <f>IF(B365&lt;=0.01,0,MIN(C365-E365,B365))</f>
        <v/>
      </c>
      <c r="E365" s="84">
        <f>IF(B365&lt;=0.01,0,ROUND(B365*CHOOSE($B$3,Banco1!$C$5,Banco2!$C$5,Banco3!$C$5,Banco4!$C$5,Banco5!$C$5)/12,2))</f>
        <v/>
      </c>
      <c r="F365" s="83">
        <f>IF(B365&lt;=0.01,0,MAX(B365-D365,0))</f>
        <v/>
      </c>
      <c r="G365" s="85">
        <f>IFERROR(IF(Dashboard!C6&gt;0,1-(F365/Dashboard!C6),0),0)</f>
        <v/>
      </c>
    </row>
    <row r="366" ht="28" customHeight="1">
      <c r="A366" s="86" t="inlineStr">
        <is>
          <t>TOTALES</t>
        </is>
      </c>
      <c r="B366" s="1" t="n"/>
      <c r="C366" s="87">
        <f>SUM(C6:C365)</f>
        <v/>
      </c>
      <c r="D366" s="87">
        <f>SUM(D6:D365)</f>
        <v/>
      </c>
      <c r="E366" s="87">
        <f>SUM(E6:E365)</f>
        <v/>
      </c>
      <c r="F366" s="1" t="n"/>
      <c r="G366" s="1" t="n"/>
    </row>
    <row r="386">
      <c r="A386" t="inlineStr">
        <is>
          <t>Anio</t>
        </is>
      </c>
      <c r="B386" t="inlineStr">
        <is>
          <t>Capital Acum.</t>
        </is>
      </c>
      <c r="C386" t="inlineStr">
        <is>
          <t>Interes Acum.</t>
        </is>
      </c>
    </row>
    <row r="387">
      <c r="A387" t="n">
        <v>1</v>
      </c>
      <c r="B387" s="43">
        <f>IFERROR(SUM(D6:D17),0)</f>
        <v/>
      </c>
      <c r="C387" s="43">
        <f>IFERROR(SUM(E6:E17),0)</f>
        <v/>
      </c>
    </row>
    <row r="388">
      <c r="A388" t="n">
        <v>2</v>
      </c>
      <c r="B388" s="43">
        <f>IFERROR(SUM(D6:D29),0)</f>
        <v/>
      </c>
      <c r="C388" s="43">
        <f>IFERROR(SUM(E6:E29),0)</f>
        <v/>
      </c>
    </row>
    <row r="389">
      <c r="A389" t="n">
        <v>3</v>
      </c>
      <c r="B389" s="43">
        <f>IFERROR(SUM(D6:D41),0)</f>
        <v/>
      </c>
      <c r="C389" s="43">
        <f>IFERROR(SUM(E6:E41),0)</f>
        <v/>
      </c>
    </row>
    <row r="390">
      <c r="A390" t="n">
        <v>4</v>
      </c>
      <c r="B390" s="43">
        <f>IFERROR(SUM(D6:D53),0)</f>
        <v/>
      </c>
      <c r="C390" s="43">
        <f>IFERROR(SUM(E6:E53),0)</f>
        <v/>
      </c>
    </row>
    <row r="391">
      <c r="A391" t="n">
        <v>5</v>
      </c>
      <c r="B391" s="43">
        <f>IFERROR(SUM(D6:D65),0)</f>
        <v/>
      </c>
      <c r="C391" s="43">
        <f>IFERROR(SUM(E6:E65),0)</f>
        <v/>
      </c>
    </row>
    <row r="392">
      <c r="A392" t="n">
        <v>6</v>
      </c>
      <c r="B392" s="43">
        <f>IFERROR(SUM(D6:D77),0)</f>
        <v/>
      </c>
      <c r="C392" s="43">
        <f>IFERROR(SUM(E6:E77),0)</f>
        <v/>
      </c>
    </row>
    <row r="393">
      <c r="A393" t="n">
        <v>7</v>
      </c>
      <c r="B393" s="43">
        <f>IFERROR(SUM(D6:D89),0)</f>
        <v/>
      </c>
      <c r="C393" s="43">
        <f>IFERROR(SUM(E6:E89),0)</f>
        <v/>
      </c>
    </row>
    <row r="394">
      <c r="A394" t="n">
        <v>8</v>
      </c>
      <c r="B394" s="43">
        <f>IFERROR(SUM(D6:D101),0)</f>
        <v/>
      </c>
      <c r="C394" s="43">
        <f>IFERROR(SUM(E6:E101),0)</f>
        <v/>
      </c>
    </row>
    <row r="395">
      <c r="A395" t="n">
        <v>9</v>
      </c>
      <c r="B395" s="43">
        <f>IFERROR(SUM(D6:D113),0)</f>
        <v/>
      </c>
      <c r="C395" s="43">
        <f>IFERROR(SUM(E6:E113),0)</f>
        <v/>
      </c>
    </row>
    <row r="396">
      <c r="A396" t="n">
        <v>10</v>
      </c>
      <c r="B396" s="43">
        <f>IFERROR(SUM(D6:D125),0)</f>
        <v/>
      </c>
      <c r="C396" s="43">
        <f>IFERROR(SUM(E6:E125),0)</f>
        <v/>
      </c>
    </row>
    <row r="397">
      <c r="A397" t="n">
        <v>11</v>
      </c>
      <c r="B397" s="43">
        <f>IFERROR(SUM(D6:D137),0)</f>
        <v/>
      </c>
      <c r="C397" s="43">
        <f>IFERROR(SUM(E6:E137),0)</f>
        <v/>
      </c>
    </row>
    <row r="398">
      <c r="A398" t="n">
        <v>12</v>
      </c>
      <c r="B398" s="43">
        <f>IFERROR(SUM(D6:D149),0)</f>
        <v/>
      </c>
      <c r="C398" s="43">
        <f>IFERROR(SUM(E6:E149),0)</f>
        <v/>
      </c>
    </row>
    <row r="399">
      <c r="A399" t="n">
        <v>13</v>
      </c>
      <c r="B399" s="43">
        <f>IFERROR(SUM(D6:D161),0)</f>
        <v/>
      </c>
      <c r="C399" s="43">
        <f>IFERROR(SUM(E6:E161),0)</f>
        <v/>
      </c>
    </row>
    <row r="400">
      <c r="A400" t="n">
        <v>14</v>
      </c>
      <c r="B400" s="43">
        <f>IFERROR(SUM(D6:D173),0)</f>
        <v/>
      </c>
      <c r="C400" s="43">
        <f>IFERROR(SUM(E6:E173),0)</f>
        <v/>
      </c>
    </row>
    <row r="401">
      <c r="A401" t="n">
        <v>15</v>
      </c>
      <c r="B401" s="43">
        <f>IFERROR(SUM(D6:D185),0)</f>
        <v/>
      </c>
      <c r="C401" s="43">
        <f>IFERROR(SUM(E6:E185),0)</f>
        <v/>
      </c>
    </row>
    <row r="402">
      <c r="A402" t="n">
        <v>16</v>
      </c>
      <c r="B402" s="43">
        <f>IFERROR(SUM(D6:D197),0)</f>
        <v/>
      </c>
      <c r="C402" s="43">
        <f>IFERROR(SUM(E6:E197),0)</f>
        <v/>
      </c>
    </row>
    <row r="403">
      <c r="A403" t="n">
        <v>17</v>
      </c>
      <c r="B403" s="43">
        <f>IFERROR(SUM(D6:D209),0)</f>
        <v/>
      </c>
      <c r="C403" s="43">
        <f>IFERROR(SUM(E6:E209),0)</f>
        <v/>
      </c>
    </row>
    <row r="404">
      <c r="A404" t="n">
        <v>18</v>
      </c>
      <c r="B404" s="43">
        <f>IFERROR(SUM(D6:D221),0)</f>
        <v/>
      </c>
      <c r="C404" s="43">
        <f>IFERROR(SUM(E6:E221),0)</f>
        <v/>
      </c>
    </row>
    <row r="405">
      <c r="A405" t="n">
        <v>19</v>
      </c>
      <c r="B405" s="43">
        <f>IFERROR(SUM(D6:D233),0)</f>
        <v/>
      </c>
      <c r="C405" s="43">
        <f>IFERROR(SUM(E6:E233),0)</f>
        <v/>
      </c>
    </row>
    <row r="406">
      <c r="A406" t="n">
        <v>20</v>
      </c>
      <c r="B406" s="43">
        <f>IFERROR(SUM(D6:D245),0)</f>
        <v/>
      </c>
      <c r="C406" s="43">
        <f>IFERROR(SUM(E6:E245),0)</f>
        <v/>
      </c>
    </row>
    <row r="407">
      <c r="A407" t="n">
        <v>21</v>
      </c>
      <c r="B407" s="43">
        <f>IFERROR(SUM(D6:D257),0)</f>
        <v/>
      </c>
      <c r="C407" s="43">
        <f>IFERROR(SUM(E6:E257),0)</f>
        <v/>
      </c>
    </row>
    <row r="408">
      <c r="A408" t="n">
        <v>22</v>
      </c>
      <c r="B408" s="43">
        <f>IFERROR(SUM(D6:D269),0)</f>
        <v/>
      </c>
      <c r="C408" s="43">
        <f>IFERROR(SUM(E6:E269),0)</f>
        <v/>
      </c>
    </row>
    <row r="409">
      <c r="A409" t="n">
        <v>23</v>
      </c>
      <c r="B409" s="43">
        <f>IFERROR(SUM(D6:D281),0)</f>
        <v/>
      </c>
      <c r="C409" s="43">
        <f>IFERROR(SUM(E6:E281),0)</f>
        <v/>
      </c>
    </row>
    <row r="410">
      <c r="A410" t="n">
        <v>24</v>
      </c>
      <c r="B410" s="43">
        <f>IFERROR(SUM(D6:D293),0)</f>
        <v/>
      </c>
      <c r="C410" s="43">
        <f>IFERROR(SUM(E6:E293),0)</f>
        <v/>
      </c>
    </row>
    <row r="411">
      <c r="A411" t="n">
        <v>25</v>
      </c>
      <c r="B411" s="43">
        <f>IFERROR(SUM(D6:D305),0)</f>
        <v/>
      </c>
      <c r="C411" s="43">
        <f>IFERROR(SUM(E6:E305),0)</f>
        <v/>
      </c>
    </row>
    <row r="412">
      <c r="A412" t="n">
        <v>26</v>
      </c>
      <c r="B412" s="43">
        <f>IFERROR(SUM(D6:D317),0)</f>
        <v/>
      </c>
      <c r="C412" s="43">
        <f>IFERROR(SUM(E6:E317),0)</f>
        <v/>
      </c>
    </row>
    <row r="413">
      <c r="A413" t="n">
        <v>27</v>
      </c>
      <c r="B413" s="43">
        <f>IFERROR(SUM(D6:D329),0)</f>
        <v/>
      </c>
      <c r="C413" s="43">
        <f>IFERROR(SUM(E6:E329),0)</f>
        <v/>
      </c>
    </row>
    <row r="414">
      <c r="A414" t="n">
        <v>28</v>
      </c>
      <c r="B414" s="43">
        <f>IFERROR(SUM(D6:D341),0)</f>
        <v/>
      </c>
      <c r="C414" s="43">
        <f>IFERROR(SUM(E6:E341),0)</f>
        <v/>
      </c>
    </row>
    <row r="415">
      <c r="A415" t="n">
        <v>29</v>
      </c>
      <c r="B415" s="43">
        <f>IFERROR(SUM(D6:D353),0)</f>
        <v/>
      </c>
      <c r="C415" s="43">
        <f>IFERROR(SUM(E6:E353),0)</f>
        <v/>
      </c>
    </row>
    <row r="416">
      <c r="A416" t="n">
        <v>30</v>
      </c>
      <c r="B416" s="43">
        <f>IFERROR(SUM(D6:D365),0)</f>
        <v/>
      </c>
      <c r="C416" s="43">
        <f>IFERROR(SUM(E6:E365),0)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G2"/>
    <mergeCell ref="A1:G1"/>
  </mergeCells>
  <conditionalFormatting sqref="F6:F365">
    <cfRule type="cellIs" priority="1" operator="lessThanOrEqual" dxfId="0">
      <formula>0.01</formula>
    </cfRule>
  </conditionalFormatting>
  <conditionalFormatting sqref="G6:G365">
    <cfRule type="dataBar" priority="2">
      <dataBar>
        <cfvo type="num" val="0"/>
        <cfvo type="num" val="1"/>
        <color rgb="0010B981"/>
      </dataBar>
    </cfRule>
  </conditionalFormatting>
  <dataValidations count="1">
    <dataValidation sqref="B3" showDropDown="0" showInputMessage="0" showErrorMessage="0" allowBlank="0" errorTitle="Banco invalido" error="Selecciona un banco del 1 al 5" promptTitle="Seleccionar Banco" prompt="Ingresa el numero de banco (1-5) para ver su amortizacion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/>
  </sheetPr>
  <dimension ref="B1:H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40" customHeight="1">
      <c r="B1" s="77" t="inlineStr">
        <is>
          <t>ANALISIS DE SENSIBILIDAD</t>
        </is>
      </c>
      <c r="C1" s="1" t="n"/>
      <c r="D1" s="1" t="n"/>
      <c r="E1" s="1" t="n"/>
      <c r="F1" s="1" t="n"/>
      <c r="G1" s="1" t="n"/>
      <c r="H1" s="1" t="n"/>
    </row>
    <row r="2" ht="24" customHeight="1">
      <c r="B2" s="3" t="inlineStr">
        <is>
          <t>Que pasa si cambia la tasa o el plazo? Analiza diferentes escenarios</t>
        </is>
      </c>
      <c r="C2" s="1" t="n"/>
      <c r="D2" s="1" t="n"/>
      <c r="E2" s="1" t="n"/>
      <c r="F2" s="1" t="n"/>
      <c r="G2" s="1" t="n"/>
      <c r="H2" s="1" t="n"/>
    </row>
    <row r="3" ht="8" customHeight="1"/>
    <row r="4" ht="28" customHeight="1">
      <c r="B4" s="4" t="inlineStr">
        <is>
          <t>CUOTA MENSUAL (Bs.) segun Tasa y Plazo</t>
        </is>
      </c>
      <c r="C4" s="5" t="n"/>
      <c r="D4" s="5" t="n"/>
      <c r="E4" s="5" t="n"/>
      <c r="F4" s="5" t="n"/>
      <c r="G4" s="5" t="n"/>
      <c r="H4" s="5" t="n"/>
    </row>
    <row r="5" ht="24" customHeight="1">
      <c r="B5" s="88" t="inlineStr">
        <is>
          <t>TASA \ PLAZO</t>
        </is>
      </c>
      <c r="C5" s="56" t="inlineStr">
        <is>
          <t>10 anios</t>
        </is>
      </c>
      <c r="D5" s="56" t="inlineStr">
        <is>
          <t>15 anios</t>
        </is>
      </c>
      <c r="E5" s="56" t="inlineStr">
        <is>
          <t>20 anios</t>
        </is>
      </c>
      <c r="F5" s="56" t="inlineStr">
        <is>
          <t>25 anios</t>
        </is>
      </c>
      <c r="G5" s="56" t="inlineStr">
        <is>
          <t>30 anios</t>
        </is>
      </c>
    </row>
    <row r="6" ht="24" customHeight="1">
      <c r="B6" s="89" t="n">
        <v>0.05</v>
      </c>
      <c r="C6" s="90">
        <f>IFERROR(-PMT($B6/12,120,Dashboard!$C$6),0)</f>
        <v/>
      </c>
      <c r="D6" s="90">
        <f>IFERROR(-PMT($B6/12,180,Dashboard!$C$6),0)</f>
        <v/>
      </c>
      <c r="E6" s="90">
        <f>IFERROR(-PMT($B6/12,240,Dashboard!$C$6),0)</f>
        <v/>
      </c>
      <c r="F6" s="90">
        <f>IFERROR(-PMT($B6/12,300,Dashboard!$C$6),0)</f>
        <v/>
      </c>
      <c r="G6" s="90">
        <f>IFERROR(-PMT($B6/12,360,Dashboard!$C$6),0)</f>
        <v/>
      </c>
    </row>
    <row r="7" ht="24" customHeight="1">
      <c r="B7" s="91" t="n">
        <v>0.06</v>
      </c>
      <c r="C7" s="92">
        <f>IFERROR(-PMT($B7/12,120,Dashboard!$C$6),0)</f>
        <v/>
      </c>
      <c r="D7" s="92">
        <f>IFERROR(-PMT($B7/12,180,Dashboard!$C$6),0)</f>
        <v/>
      </c>
      <c r="E7" s="92">
        <f>IFERROR(-PMT($B7/12,240,Dashboard!$C$6),0)</f>
        <v/>
      </c>
      <c r="F7" s="92">
        <f>IFERROR(-PMT($B7/12,300,Dashboard!$C$6),0)</f>
        <v/>
      </c>
      <c r="G7" s="92">
        <f>IFERROR(-PMT($B7/12,360,Dashboard!$C$6),0)</f>
        <v/>
      </c>
    </row>
    <row r="8" ht="24" customHeight="1">
      <c r="B8" s="89" t="n">
        <v>0.065</v>
      </c>
      <c r="C8" s="90">
        <f>IFERROR(-PMT($B8/12,120,Dashboard!$C$6),0)</f>
        <v/>
      </c>
      <c r="D8" s="90">
        <f>IFERROR(-PMT($B8/12,180,Dashboard!$C$6),0)</f>
        <v/>
      </c>
      <c r="E8" s="90">
        <f>IFERROR(-PMT($B8/12,240,Dashboard!$C$6),0)</f>
        <v/>
      </c>
      <c r="F8" s="90">
        <f>IFERROR(-PMT($B8/12,300,Dashboard!$C$6),0)</f>
        <v/>
      </c>
      <c r="G8" s="90">
        <f>IFERROR(-PMT($B8/12,360,Dashboard!$C$6),0)</f>
        <v/>
      </c>
    </row>
    <row r="9" ht="24" customHeight="1">
      <c r="B9" s="91" t="n">
        <v>0.07000000000000001</v>
      </c>
      <c r="C9" s="92">
        <f>IFERROR(-PMT($B9/12,120,Dashboard!$C$6),0)</f>
        <v/>
      </c>
      <c r="D9" s="92">
        <f>IFERROR(-PMT($B9/12,180,Dashboard!$C$6),0)</f>
        <v/>
      </c>
      <c r="E9" s="92">
        <f>IFERROR(-PMT($B9/12,240,Dashboard!$C$6),0)</f>
        <v/>
      </c>
      <c r="F9" s="92">
        <f>IFERROR(-PMT($B9/12,300,Dashboard!$C$6),0)</f>
        <v/>
      </c>
      <c r="G9" s="92">
        <f>IFERROR(-PMT($B9/12,360,Dashboard!$C$6),0)</f>
        <v/>
      </c>
    </row>
    <row r="10" ht="24" customHeight="1">
      <c r="B10" s="89" t="n">
        <v>0.08</v>
      </c>
      <c r="C10" s="90">
        <f>IFERROR(-PMT($B10/12,120,Dashboard!$C$6),0)</f>
        <v/>
      </c>
      <c r="D10" s="90">
        <f>IFERROR(-PMT($B10/12,180,Dashboard!$C$6),0)</f>
        <v/>
      </c>
      <c r="E10" s="90">
        <f>IFERROR(-PMT($B10/12,240,Dashboard!$C$6),0)</f>
        <v/>
      </c>
      <c r="F10" s="90">
        <f>IFERROR(-PMT($B10/12,300,Dashboard!$C$6),0)</f>
        <v/>
      </c>
      <c r="G10" s="90">
        <f>IFERROR(-PMT($B10/12,360,Dashboard!$C$6),0)</f>
        <v/>
      </c>
    </row>
    <row r="11" ht="24" customHeight="1">
      <c r="B11" s="91" t="n">
        <v>0.09</v>
      </c>
      <c r="C11" s="92">
        <f>IFERROR(-PMT($B11/12,120,Dashboard!$C$6),0)</f>
        <v/>
      </c>
      <c r="D11" s="92">
        <f>IFERROR(-PMT($B11/12,180,Dashboard!$C$6),0)</f>
        <v/>
      </c>
      <c r="E11" s="92">
        <f>IFERROR(-PMT($B11/12,240,Dashboard!$C$6),0)</f>
        <v/>
      </c>
      <c r="F11" s="92">
        <f>IFERROR(-PMT($B11/12,300,Dashboard!$C$6),0)</f>
        <v/>
      </c>
      <c r="G11" s="92">
        <f>IFERROR(-PMT($B11/12,360,Dashboard!$C$6),0)</f>
        <v/>
      </c>
    </row>
    <row r="12" ht="24" customHeight="1">
      <c r="B12" s="89" t="n">
        <v>0.1</v>
      </c>
      <c r="C12" s="90">
        <f>IFERROR(-PMT($B12/12,120,Dashboard!$C$6),0)</f>
        <v/>
      </c>
      <c r="D12" s="90">
        <f>IFERROR(-PMT($B12/12,180,Dashboard!$C$6),0)</f>
        <v/>
      </c>
      <c r="E12" s="90">
        <f>IFERROR(-PMT($B12/12,240,Dashboard!$C$6),0)</f>
        <v/>
      </c>
      <c r="F12" s="90">
        <f>IFERROR(-PMT($B12/12,300,Dashboard!$C$6),0)</f>
        <v/>
      </c>
      <c r="G12" s="90">
        <f>IFERROR(-PMT($B12/12,360,Dashboard!$C$6),0)</f>
        <v/>
      </c>
    </row>
    <row r="13" ht="24" customHeight="1">
      <c r="B13" s="91" t="n">
        <v>0.12</v>
      </c>
      <c r="C13" s="92">
        <f>IFERROR(-PMT($B13/12,120,Dashboard!$C$6),0)</f>
        <v/>
      </c>
      <c r="D13" s="92">
        <f>IFERROR(-PMT($B13/12,180,Dashboard!$C$6),0)</f>
        <v/>
      </c>
      <c r="E13" s="92">
        <f>IFERROR(-PMT($B13/12,240,Dashboard!$C$6),0)</f>
        <v/>
      </c>
      <c r="F13" s="92">
        <f>IFERROR(-PMT($B13/12,300,Dashboard!$C$6),0)</f>
        <v/>
      </c>
      <c r="G13" s="92">
        <f>IFERROR(-PMT($B13/12,360,Dashboard!$C$6),0)</f>
        <v/>
      </c>
    </row>
    <row r="14" ht="12" customHeight="1"/>
    <row r="15" ht="28" customHeight="1">
      <c r="B15" s="93" t="inlineStr">
        <is>
          <t>TOTAL INTERESES (Bs.) segun Tasa y Plazo</t>
        </is>
      </c>
      <c r="C15" s="94" t="n"/>
      <c r="D15" s="94" t="n"/>
      <c r="E15" s="94" t="n"/>
      <c r="F15" s="94" t="n"/>
      <c r="G15" s="94" t="n"/>
      <c r="H15" s="94" t="n"/>
    </row>
    <row r="16" ht="24" customHeight="1">
      <c r="B16" s="88" t="inlineStr">
        <is>
          <t>TASA \ PLAZO</t>
        </is>
      </c>
      <c r="C16" s="56" t="inlineStr">
        <is>
          <t>10 anios</t>
        </is>
      </c>
      <c r="D16" s="56" t="inlineStr">
        <is>
          <t>15 anios</t>
        </is>
      </c>
      <c r="E16" s="56" t="inlineStr">
        <is>
          <t>20 anios</t>
        </is>
      </c>
      <c r="F16" s="56" t="inlineStr">
        <is>
          <t>25 anios</t>
        </is>
      </c>
      <c r="G16" s="56" t="inlineStr">
        <is>
          <t>30 anios</t>
        </is>
      </c>
    </row>
    <row r="17" ht="24" customHeight="1">
      <c r="B17" s="95" t="n">
        <v>0.05</v>
      </c>
      <c r="C17" s="90">
        <f>IFERROR(-PMT($B17/12,120,Dashboard!$C$6)*120-Dashboard!$C$6,0)</f>
        <v/>
      </c>
      <c r="D17" s="90">
        <f>IFERROR(-PMT($B17/12,180,Dashboard!$C$6)*180-Dashboard!$C$6,0)</f>
        <v/>
      </c>
      <c r="E17" s="90">
        <f>IFERROR(-PMT($B17/12,240,Dashboard!$C$6)*240-Dashboard!$C$6,0)</f>
        <v/>
      </c>
      <c r="F17" s="90">
        <f>IFERROR(-PMT($B17/12,300,Dashboard!$C$6)*300-Dashboard!$C$6,0)</f>
        <v/>
      </c>
      <c r="G17" s="90">
        <f>IFERROR(-PMT($B17/12,360,Dashboard!$C$6)*360-Dashboard!$C$6,0)</f>
        <v/>
      </c>
    </row>
    <row r="18" ht="24" customHeight="1">
      <c r="B18" s="96" t="n">
        <v>0.06</v>
      </c>
      <c r="C18" s="92">
        <f>IFERROR(-PMT($B18/12,120,Dashboard!$C$6)*120-Dashboard!$C$6,0)</f>
        <v/>
      </c>
      <c r="D18" s="92">
        <f>IFERROR(-PMT($B18/12,180,Dashboard!$C$6)*180-Dashboard!$C$6,0)</f>
        <v/>
      </c>
      <c r="E18" s="92">
        <f>IFERROR(-PMT($B18/12,240,Dashboard!$C$6)*240-Dashboard!$C$6,0)</f>
        <v/>
      </c>
      <c r="F18" s="92">
        <f>IFERROR(-PMT($B18/12,300,Dashboard!$C$6)*300-Dashboard!$C$6,0)</f>
        <v/>
      </c>
      <c r="G18" s="92">
        <f>IFERROR(-PMT($B18/12,360,Dashboard!$C$6)*360-Dashboard!$C$6,0)</f>
        <v/>
      </c>
    </row>
    <row r="19" ht="24" customHeight="1">
      <c r="B19" s="95" t="n">
        <v>0.065</v>
      </c>
      <c r="C19" s="90">
        <f>IFERROR(-PMT($B19/12,120,Dashboard!$C$6)*120-Dashboard!$C$6,0)</f>
        <v/>
      </c>
      <c r="D19" s="90">
        <f>IFERROR(-PMT($B19/12,180,Dashboard!$C$6)*180-Dashboard!$C$6,0)</f>
        <v/>
      </c>
      <c r="E19" s="90">
        <f>IFERROR(-PMT($B19/12,240,Dashboard!$C$6)*240-Dashboard!$C$6,0)</f>
        <v/>
      </c>
      <c r="F19" s="90">
        <f>IFERROR(-PMT($B19/12,300,Dashboard!$C$6)*300-Dashboard!$C$6,0)</f>
        <v/>
      </c>
      <c r="G19" s="90">
        <f>IFERROR(-PMT($B19/12,360,Dashboard!$C$6)*360-Dashboard!$C$6,0)</f>
        <v/>
      </c>
    </row>
    <row r="20" ht="24" customHeight="1">
      <c r="B20" s="96" t="n">
        <v>0.07000000000000001</v>
      </c>
      <c r="C20" s="92">
        <f>IFERROR(-PMT($B20/12,120,Dashboard!$C$6)*120-Dashboard!$C$6,0)</f>
        <v/>
      </c>
      <c r="D20" s="92">
        <f>IFERROR(-PMT($B20/12,180,Dashboard!$C$6)*180-Dashboard!$C$6,0)</f>
        <v/>
      </c>
      <c r="E20" s="92">
        <f>IFERROR(-PMT($B20/12,240,Dashboard!$C$6)*240-Dashboard!$C$6,0)</f>
        <v/>
      </c>
      <c r="F20" s="92">
        <f>IFERROR(-PMT($B20/12,300,Dashboard!$C$6)*300-Dashboard!$C$6,0)</f>
        <v/>
      </c>
      <c r="G20" s="92">
        <f>IFERROR(-PMT($B20/12,360,Dashboard!$C$6)*360-Dashboard!$C$6,0)</f>
        <v/>
      </c>
    </row>
    <row r="21" ht="24" customHeight="1">
      <c r="B21" s="95" t="n">
        <v>0.08</v>
      </c>
      <c r="C21" s="90">
        <f>IFERROR(-PMT($B21/12,120,Dashboard!$C$6)*120-Dashboard!$C$6,0)</f>
        <v/>
      </c>
      <c r="D21" s="90">
        <f>IFERROR(-PMT($B21/12,180,Dashboard!$C$6)*180-Dashboard!$C$6,0)</f>
        <v/>
      </c>
      <c r="E21" s="90">
        <f>IFERROR(-PMT($B21/12,240,Dashboard!$C$6)*240-Dashboard!$C$6,0)</f>
        <v/>
      </c>
      <c r="F21" s="90">
        <f>IFERROR(-PMT($B21/12,300,Dashboard!$C$6)*300-Dashboard!$C$6,0)</f>
        <v/>
      </c>
      <c r="G21" s="90">
        <f>IFERROR(-PMT($B21/12,360,Dashboard!$C$6)*360-Dashboard!$C$6,0)</f>
        <v/>
      </c>
    </row>
    <row r="22" ht="24" customHeight="1">
      <c r="B22" s="96" t="n">
        <v>0.09</v>
      </c>
      <c r="C22" s="92">
        <f>IFERROR(-PMT($B22/12,120,Dashboard!$C$6)*120-Dashboard!$C$6,0)</f>
        <v/>
      </c>
      <c r="D22" s="92">
        <f>IFERROR(-PMT($B22/12,180,Dashboard!$C$6)*180-Dashboard!$C$6,0)</f>
        <v/>
      </c>
      <c r="E22" s="92">
        <f>IFERROR(-PMT($B22/12,240,Dashboard!$C$6)*240-Dashboard!$C$6,0)</f>
        <v/>
      </c>
      <c r="F22" s="92">
        <f>IFERROR(-PMT($B22/12,300,Dashboard!$C$6)*300-Dashboard!$C$6,0)</f>
        <v/>
      </c>
      <c r="G22" s="92">
        <f>IFERROR(-PMT($B22/12,360,Dashboard!$C$6)*360-Dashboard!$C$6,0)</f>
        <v/>
      </c>
    </row>
    <row r="23" ht="24" customHeight="1">
      <c r="B23" s="95" t="n">
        <v>0.1</v>
      </c>
      <c r="C23" s="90">
        <f>IFERROR(-PMT($B23/12,120,Dashboard!$C$6)*120-Dashboard!$C$6,0)</f>
        <v/>
      </c>
      <c r="D23" s="90">
        <f>IFERROR(-PMT($B23/12,180,Dashboard!$C$6)*180-Dashboard!$C$6,0)</f>
        <v/>
      </c>
      <c r="E23" s="90">
        <f>IFERROR(-PMT($B23/12,240,Dashboard!$C$6)*240-Dashboard!$C$6,0)</f>
        <v/>
      </c>
      <c r="F23" s="90">
        <f>IFERROR(-PMT($B23/12,300,Dashboard!$C$6)*300-Dashboard!$C$6,0)</f>
        <v/>
      </c>
      <c r="G23" s="90">
        <f>IFERROR(-PMT($B23/12,360,Dashboard!$C$6)*360-Dashboard!$C$6,0)</f>
        <v/>
      </c>
    </row>
    <row r="24" ht="24" customHeight="1">
      <c r="B24" s="96" t="n">
        <v>0.12</v>
      </c>
      <c r="C24" s="92">
        <f>IFERROR(-PMT($B24/12,120,Dashboard!$C$6)*120-Dashboard!$C$6,0)</f>
        <v/>
      </c>
      <c r="D24" s="92">
        <f>IFERROR(-PMT($B24/12,180,Dashboard!$C$6)*180-Dashboard!$C$6,0)</f>
        <v/>
      </c>
      <c r="E24" s="92">
        <f>IFERROR(-PMT($B24/12,240,Dashboard!$C$6)*240-Dashboard!$C$6,0)</f>
        <v/>
      </c>
      <c r="F24" s="92">
        <f>IFERROR(-PMT($B24/12,300,Dashboard!$C$6)*300-Dashboard!$C$6,0)</f>
        <v/>
      </c>
      <c r="G24" s="92">
        <f>IFERROR(-PMT($B24/12,360,Dashboard!$C$6)*360-Dashboard!$C$6,0)</f>
        <v/>
      </c>
    </row>
    <row r="25" ht="12" customHeight="1"/>
    <row r="26" ht="28" customHeight="1">
      <c r="B26" s="97" t="inlineStr">
        <is>
          <t>CALCULADORA DE PREPAGO</t>
        </is>
      </c>
      <c r="C26" s="98" t="n"/>
      <c r="D26" s="98" t="n"/>
      <c r="E26" s="98" t="n"/>
      <c r="F26" s="98" t="n"/>
      <c r="G26" s="98" t="n"/>
      <c r="H26" s="98" t="n"/>
    </row>
    <row r="27" ht="28" customHeight="1">
      <c r="B27" s="99" t="inlineStr">
        <is>
          <t>Pago extra mensual (Bs.)</t>
        </is>
      </c>
      <c r="C27" s="7" t="n">
        <v>1000</v>
      </c>
    </row>
    <row r="28" ht="28" customHeight="1">
      <c r="B28" s="52" t="inlineStr">
        <is>
          <t>Meses que ahorras</t>
        </is>
      </c>
      <c r="C28" s="100">
        <f>IFERROR(Dashboard!C7-C30,0)</f>
        <v/>
      </c>
    </row>
    <row r="29" ht="28" customHeight="1">
      <c r="B29" s="52" t="inlineStr">
        <is>
          <t>Interes que ahorras (Bs.)</t>
        </is>
      </c>
      <c r="C29" s="41">
        <f>IFERROR((CHOOSE(Amortizacion!$B$3,Banco1!$C$11,Banco2!$C$11,Banco3!$C$11,Banco4!$C$11,Banco5!$C$11)*Dashboard!C7-Dashboard!C6)-((CHOOSE(Amortizacion!$B$3,Banco1!$C$11,Banco2!$C$11,Banco3!$C$11,Banco4!$C$11,Banco5!$C$11)+C27)*C30-Dashboard!C6),0)</f>
        <v/>
      </c>
    </row>
    <row r="30" ht="28" customHeight="1">
      <c r="B30" s="52" t="inlineStr">
        <is>
          <t>Nuevo plazo total (meses)</t>
        </is>
      </c>
      <c r="C30" s="101">
        <f>IFERROR(ROUND(NPER(CHOOSE(Amortizacion!$B$3,Banco1!$C$5,Banco2!$C$5,Banco3!$C$5,Banco4!$C$5,Banco5!$C$5)/12,-(CHOOSE(Amortizacion!$B$3,Banco1!$C$11,Banco2!$C$11,Banco3!$C$11,Banco4!$C$11,Banco5!$C$11)+C27),Dashboard!$C$6),0),0)</f>
        <v/>
      </c>
    </row>
    <row r="50">
      <c r="C50" t="n">
        <v>120</v>
      </c>
      <c r="D50" t="n">
        <v>180</v>
      </c>
      <c r="E50" t="n">
        <v>240</v>
      </c>
      <c r="F50" t="n">
        <v>300</v>
      </c>
      <c r="G50" t="n">
        <v>360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9">
    <mergeCell ref="C29:D29"/>
    <mergeCell ref="B26:H26"/>
    <mergeCell ref="C30:D30"/>
    <mergeCell ref="B1:H1"/>
    <mergeCell ref="B4:H4"/>
    <mergeCell ref="C27:D27"/>
    <mergeCell ref="C28:D28"/>
    <mergeCell ref="B2:H2"/>
    <mergeCell ref="B15:H15"/>
  </mergeCells>
  <conditionalFormatting sqref="C6">
    <cfRule type="expression" priority="1" dxfId="0">
      <formula>AND(ABS($B6-CHOOSE(Dashboard!$C$8,Banco1!$C$5,Banco2!$C$5,Banco3!$C$5,Banco4!$C$5,Banco5!$C$5))&lt;0.001,120=Dashboard!$C$7)</formula>
    </cfRule>
  </conditionalFormatting>
  <conditionalFormatting sqref="D6">
    <cfRule type="expression" priority="2" dxfId="0">
      <formula>AND(ABS($B6-CHOOSE(Dashboard!$C$8,Banco1!$C$5,Banco2!$C$5,Banco3!$C$5,Banco4!$C$5,Banco5!$C$5))&lt;0.001,180=Dashboard!$C$7)</formula>
    </cfRule>
  </conditionalFormatting>
  <conditionalFormatting sqref="E6">
    <cfRule type="expression" priority="3" dxfId="0">
      <formula>AND(ABS($B6-CHOOSE(Dashboard!$C$8,Banco1!$C$5,Banco2!$C$5,Banco3!$C$5,Banco4!$C$5,Banco5!$C$5))&lt;0.001,240=Dashboard!$C$7)</formula>
    </cfRule>
  </conditionalFormatting>
  <conditionalFormatting sqref="F6">
    <cfRule type="expression" priority="4" dxfId="0">
      <formula>AND(ABS($B6-CHOOSE(Dashboard!$C$8,Banco1!$C$5,Banco2!$C$5,Banco3!$C$5,Banco4!$C$5,Banco5!$C$5))&lt;0.001,300=Dashboard!$C$7)</formula>
    </cfRule>
  </conditionalFormatting>
  <conditionalFormatting sqref="G6">
    <cfRule type="expression" priority="5" dxfId="0">
      <formula>AND(ABS($B6-CHOOSE(Dashboard!$C$8,Banco1!$C$5,Banco2!$C$5,Banco3!$C$5,Banco4!$C$5,Banco5!$C$5))&lt;0.001,360=Dashboard!$C$7)</formula>
    </cfRule>
  </conditionalFormatting>
  <conditionalFormatting sqref="C7">
    <cfRule type="expression" priority="6" dxfId="0">
      <formula>AND(ABS($B7-CHOOSE(Dashboard!$C$8,Banco1!$C$5,Banco2!$C$5,Banco3!$C$5,Banco4!$C$5,Banco5!$C$5))&lt;0.001,120=Dashboard!$C$7)</formula>
    </cfRule>
  </conditionalFormatting>
  <conditionalFormatting sqref="D7">
    <cfRule type="expression" priority="7" dxfId="0">
      <formula>AND(ABS($B7-CHOOSE(Dashboard!$C$8,Banco1!$C$5,Banco2!$C$5,Banco3!$C$5,Banco4!$C$5,Banco5!$C$5))&lt;0.001,180=Dashboard!$C$7)</formula>
    </cfRule>
  </conditionalFormatting>
  <conditionalFormatting sqref="E7">
    <cfRule type="expression" priority="8" dxfId="0">
      <formula>AND(ABS($B7-CHOOSE(Dashboard!$C$8,Banco1!$C$5,Banco2!$C$5,Banco3!$C$5,Banco4!$C$5,Banco5!$C$5))&lt;0.001,240=Dashboard!$C$7)</formula>
    </cfRule>
  </conditionalFormatting>
  <conditionalFormatting sqref="F7">
    <cfRule type="expression" priority="9" dxfId="0">
      <formula>AND(ABS($B7-CHOOSE(Dashboard!$C$8,Banco1!$C$5,Banco2!$C$5,Banco3!$C$5,Banco4!$C$5,Banco5!$C$5))&lt;0.001,300=Dashboard!$C$7)</formula>
    </cfRule>
  </conditionalFormatting>
  <conditionalFormatting sqref="G7">
    <cfRule type="expression" priority="10" dxfId="0">
      <formula>AND(ABS($B7-CHOOSE(Dashboard!$C$8,Banco1!$C$5,Banco2!$C$5,Banco3!$C$5,Banco4!$C$5,Banco5!$C$5))&lt;0.001,360=Dashboard!$C$7)</formula>
    </cfRule>
  </conditionalFormatting>
  <conditionalFormatting sqref="C8">
    <cfRule type="expression" priority="11" dxfId="0">
      <formula>AND(ABS($B8-CHOOSE(Dashboard!$C$8,Banco1!$C$5,Banco2!$C$5,Banco3!$C$5,Banco4!$C$5,Banco5!$C$5))&lt;0.001,120=Dashboard!$C$7)</formula>
    </cfRule>
  </conditionalFormatting>
  <conditionalFormatting sqref="D8">
    <cfRule type="expression" priority="12" dxfId="0">
      <formula>AND(ABS($B8-CHOOSE(Dashboard!$C$8,Banco1!$C$5,Banco2!$C$5,Banco3!$C$5,Banco4!$C$5,Banco5!$C$5))&lt;0.001,180=Dashboard!$C$7)</formula>
    </cfRule>
  </conditionalFormatting>
  <conditionalFormatting sqref="E8">
    <cfRule type="expression" priority="13" dxfId="0">
      <formula>AND(ABS($B8-CHOOSE(Dashboard!$C$8,Banco1!$C$5,Banco2!$C$5,Banco3!$C$5,Banco4!$C$5,Banco5!$C$5))&lt;0.001,240=Dashboard!$C$7)</formula>
    </cfRule>
  </conditionalFormatting>
  <conditionalFormatting sqref="F8">
    <cfRule type="expression" priority="14" dxfId="0">
      <formula>AND(ABS($B8-CHOOSE(Dashboard!$C$8,Banco1!$C$5,Banco2!$C$5,Banco3!$C$5,Banco4!$C$5,Banco5!$C$5))&lt;0.001,300=Dashboard!$C$7)</formula>
    </cfRule>
  </conditionalFormatting>
  <conditionalFormatting sqref="G8">
    <cfRule type="expression" priority="15" dxfId="0">
      <formula>AND(ABS($B8-CHOOSE(Dashboard!$C$8,Banco1!$C$5,Banco2!$C$5,Banco3!$C$5,Banco4!$C$5,Banco5!$C$5))&lt;0.001,360=Dashboard!$C$7)</formula>
    </cfRule>
  </conditionalFormatting>
  <conditionalFormatting sqref="C9">
    <cfRule type="expression" priority="16" dxfId="0">
      <formula>AND(ABS($B9-CHOOSE(Dashboard!$C$8,Banco1!$C$5,Banco2!$C$5,Banco3!$C$5,Banco4!$C$5,Banco5!$C$5))&lt;0.001,120=Dashboard!$C$7)</formula>
    </cfRule>
  </conditionalFormatting>
  <conditionalFormatting sqref="D9">
    <cfRule type="expression" priority="17" dxfId="0">
      <formula>AND(ABS($B9-CHOOSE(Dashboard!$C$8,Banco1!$C$5,Banco2!$C$5,Banco3!$C$5,Banco4!$C$5,Banco5!$C$5))&lt;0.001,180=Dashboard!$C$7)</formula>
    </cfRule>
  </conditionalFormatting>
  <conditionalFormatting sqref="E9">
    <cfRule type="expression" priority="18" dxfId="0">
      <formula>AND(ABS($B9-CHOOSE(Dashboard!$C$8,Banco1!$C$5,Banco2!$C$5,Banco3!$C$5,Banco4!$C$5,Banco5!$C$5))&lt;0.001,240=Dashboard!$C$7)</formula>
    </cfRule>
  </conditionalFormatting>
  <conditionalFormatting sqref="F9">
    <cfRule type="expression" priority="19" dxfId="0">
      <formula>AND(ABS($B9-CHOOSE(Dashboard!$C$8,Banco1!$C$5,Banco2!$C$5,Banco3!$C$5,Banco4!$C$5,Banco5!$C$5))&lt;0.001,300=Dashboard!$C$7)</formula>
    </cfRule>
  </conditionalFormatting>
  <conditionalFormatting sqref="G9">
    <cfRule type="expression" priority="20" dxfId="0">
      <formula>AND(ABS($B9-CHOOSE(Dashboard!$C$8,Banco1!$C$5,Banco2!$C$5,Banco3!$C$5,Banco4!$C$5,Banco5!$C$5))&lt;0.001,360=Dashboard!$C$7)</formula>
    </cfRule>
  </conditionalFormatting>
  <conditionalFormatting sqref="C10">
    <cfRule type="expression" priority="21" dxfId="0">
      <formula>AND(ABS($B10-CHOOSE(Dashboard!$C$8,Banco1!$C$5,Banco2!$C$5,Banco3!$C$5,Banco4!$C$5,Banco5!$C$5))&lt;0.001,120=Dashboard!$C$7)</formula>
    </cfRule>
  </conditionalFormatting>
  <conditionalFormatting sqref="D10">
    <cfRule type="expression" priority="22" dxfId="0">
      <formula>AND(ABS($B10-CHOOSE(Dashboard!$C$8,Banco1!$C$5,Banco2!$C$5,Banco3!$C$5,Banco4!$C$5,Banco5!$C$5))&lt;0.001,180=Dashboard!$C$7)</formula>
    </cfRule>
  </conditionalFormatting>
  <conditionalFormatting sqref="E10">
    <cfRule type="expression" priority="23" dxfId="0">
      <formula>AND(ABS($B10-CHOOSE(Dashboard!$C$8,Banco1!$C$5,Banco2!$C$5,Banco3!$C$5,Banco4!$C$5,Banco5!$C$5))&lt;0.001,240=Dashboard!$C$7)</formula>
    </cfRule>
  </conditionalFormatting>
  <conditionalFormatting sqref="F10">
    <cfRule type="expression" priority="24" dxfId="0">
      <formula>AND(ABS($B10-CHOOSE(Dashboard!$C$8,Banco1!$C$5,Banco2!$C$5,Banco3!$C$5,Banco4!$C$5,Banco5!$C$5))&lt;0.001,300=Dashboard!$C$7)</formula>
    </cfRule>
  </conditionalFormatting>
  <conditionalFormatting sqref="G10">
    <cfRule type="expression" priority="25" dxfId="0">
      <formula>AND(ABS($B10-CHOOSE(Dashboard!$C$8,Banco1!$C$5,Banco2!$C$5,Banco3!$C$5,Banco4!$C$5,Banco5!$C$5))&lt;0.001,360=Dashboard!$C$7)</formula>
    </cfRule>
  </conditionalFormatting>
  <conditionalFormatting sqref="C11">
    <cfRule type="expression" priority="26" dxfId="0">
      <formula>AND(ABS($B11-CHOOSE(Dashboard!$C$8,Banco1!$C$5,Banco2!$C$5,Banco3!$C$5,Banco4!$C$5,Banco5!$C$5))&lt;0.001,120=Dashboard!$C$7)</formula>
    </cfRule>
  </conditionalFormatting>
  <conditionalFormatting sqref="D11">
    <cfRule type="expression" priority="27" dxfId="0">
      <formula>AND(ABS($B11-CHOOSE(Dashboard!$C$8,Banco1!$C$5,Banco2!$C$5,Banco3!$C$5,Banco4!$C$5,Banco5!$C$5))&lt;0.001,180=Dashboard!$C$7)</formula>
    </cfRule>
  </conditionalFormatting>
  <conditionalFormatting sqref="E11">
    <cfRule type="expression" priority="28" dxfId="0">
      <formula>AND(ABS($B11-CHOOSE(Dashboard!$C$8,Banco1!$C$5,Banco2!$C$5,Banco3!$C$5,Banco4!$C$5,Banco5!$C$5))&lt;0.001,240=Dashboard!$C$7)</formula>
    </cfRule>
  </conditionalFormatting>
  <conditionalFormatting sqref="F11">
    <cfRule type="expression" priority="29" dxfId="0">
      <formula>AND(ABS($B11-CHOOSE(Dashboard!$C$8,Banco1!$C$5,Banco2!$C$5,Banco3!$C$5,Banco4!$C$5,Banco5!$C$5))&lt;0.001,300=Dashboard!$C$7)</formula>
    </cfRule>
  </conditionalFormatting>
  <conditionalFormatting sqref="G11">
    <cfRule type="expression" priority="30" dxfId="0">
      <formula>AND(ABS($B11-CHOOSE(Dashboard!$C$8,Banco1!$C$5,Banco2!$C$5,Banco3!$C$5,Banco4!$C$5,Banco5!$C$5))&lt;0.001,360=Dashboard!$C$7)</formula>
    </cfRule>
  </conditionalFormatting>
  <conditionalFormatting sqref="C12">
    <cfRule type="expression" priority="31" dxfId="0">
      <formula>AND(ABS($B12-CHOOSE(Dashboard!$C$8,Banco1!$C$5,Banco2!$C$5,Banco3!$C$5,Banco4!$C$5,Banco5!$C$5))&lt;0.001,120=Dashboard!$C$7)</formula>
    </cfRule>
  </conditionalFormatting>
  <conditionalFormatting sqref="D12">
    <cfRule type="expression" priority="32" dxfId="0">
      <formula>AND(ABS($B12-CHOOSE(Dashboard!$C$8,Banco1!$C$5,Banco2!$C$5,Banco3!$C$5,Banco4!$C$5,Banco5!$C$5))&lt;0.001,180=Dashboard!$C$7)</formula>
    </cfRule>
  </conditionalFormatting>
  <conditionalFormatting sqref="E12">
    <cfRule type="expression" priority="33" dxfId="0">
      <formula>AND(ABS($B12-CHOOSE(Dashboard!$C$8,Banco1!$C$5,Banco2!$C$5,Banco3!$C$5,Banco4!$C$5,Banco5!$C$5))&lt;0.001,240=Dashboard!$C$7)</formula>
    </cfRule>
  </conditionalFormatting>
  <conditionalFormatting sqref="F12">
    <cfRule type="expression" priority="34" dxfId="0">
      <formula>AND(ABS($B12-CHOOSE(Dashboard!$C$8,Banco1!$C$5,Banco2!$C$5,Banco3!$C$5,Banco4!$C$5,Banco5!$C$5))&lt;0.001,300=Dashboard!$C$7)</formula>
    </cfRule>
  </conditionalFormatting>
  <conditionalFormatting sqref="G12">
    <cfRule type="expression" priority="35" dxfId="0">
      <formula>AND(ABS($B12-CHOOSE(Dashboard!$C$8,Banco1!$C$5,Banco2!$C$5,Banco3!$C$5,Banco4!$C$5,Banco5!$C$5))&lt;0.001,360=Dashboard!$C$7)</formula>
    </cfRule>
  </conditionalFormatting>
  <conditionalFormatting sqref="C13">
    <cfRule type="expression" priority="36" dxfId="0">
      <formula>AND(ABS($B13-CHOOSE(Dashboard!$C$8,Banco1!$C$5,Banco2!$C$5,Banco3!$C$5,Banco4!$C$5,Banco5!$C$5))&lt;0.001,120=Dashboard!$C$7)</formula>
    </cfRule>
  </conditionalFormatting>
  <conditionalFormatting sqref="D13">
    <cfRule type="expression" priority="37" dxfId="0">
      <formula>AND(ABS($B13-CHOOSE(Dashboard!$C$8,Banco1!$C$5,Banco2!$C$5,Banco3!$C$5,Banco4!$C$5,Banco5!$C$5))&lt;0.001,180=Dashboard!$C$7)</formula>
    </cfRule>
  </conditionalFormatting>
  <conditionalFormatting sqref="E13">
    <cfRule type="expression" priority="38" dxfId="0">
      <formula>AND(ABS($B13-CHOOSE(Dashboard!$C$8,Banco1!$C$5,Banco2!$C$5,Banco3!$C$5,Banco4!$C$5,Banco5!$C$5))&lt;0.001,240=Dashboard!$C$7)</formula>
    </cfRule>
  </conditionalFormatting>
  <conditionalFormatting sqref="F13">
    <cfRule type="expression" priority="39" dxfId="0">
      <formula>AND(ABS($B13-CHOOSE(Dashboard!$C$8,Banco1!$C$5,Banco2!$C$5,Banco3!$C$5,Banco4!$C$5,Banco5!$C$5))&lt;0.001,300=Dashboard!$C$7)</formula>
    </cfRule>
  </conditionalFormatting>
  <conditionalFormatting sqref="G13">
    <cfRule type="expression" priority="40" dxfId="0">
      <formula>AND(ABS($B13-CHOOSE(Dashboard!$C$8,Banco1!$C$5,Banco2!$C$5,Banco3!$C$5,Banco4!$C$5,Banco5!$C$5))&lt;0.001,360=Dashboard!$C$7)</formula>
    </cfRule>
  </conditionalFormatting>
  <conditionalFormatting sqref="C6:G13">
    <cfRule type="dataBar" priority="41">
      <dataBar>
        <cfvo type="min"/>
        <cfvo type="max"/>
        <color rgb="00F59E0B"/>
      </dataBar>
    </cfRule>
  </conditionalFormatting>
  <conditionalFormatting sqref="C17:G24">
    <cfRule type="dataBar" priority="42">
      <dataBar>
        <cfvo type="min"/>
        <cfvo type="max"/>
        <color rgb="00EF4444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B728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36" customHeight="1">
      <c r="A1" s="102" t="inlineStr">
        <is>
          <t>CONFIGURACION</t>
        </is>
      </c>
      <c r="B1" s="1" t="n"/>
    </row>
    <row r="3">
      <c r="A3" s="103" t="inlineStr">
        <is>
          <t>Producto</t>
        </is>
      </c>
      <c r="B3" s="104" t="inlineStr">
        <is>
          <t>Comparador de Creditos Hipotecarios</t>
        </is>
      </c>
    </row>
    <row r="4">
      <c r="A4" s="103" t="inlineStr">
        <is>
          <t>Version</t>
        </is>
      </c>
      <c r="B4" s="104" t="inlineStr">
        <is>
          <t>v1.0.0</t>
        </is>
      </c>
    </row>
    <row r="5">
      <c r="A5" s="103" t="inlineStr">
        <is>
          <t>Marca</t>
        </is>
      </c>
      <c r="B5" s="104" t="inlineStr">
        <is>
          <t>No Somos Ignorantes</t>
        </is>
      </c>
    </row>
    <row r="6">
      <c r="A6" s="103" t="inlineStr">
        <is>
          <t>Precio</t>
        </is>
      </c>
      <c r="B6" s="104" t="inlineStr">
        <is>
          <t>Bs. 49</t>
        </is>
      </c>
    </row>
    <row r="7">
      <c r="A7" s="103" t="inlineStr">
        <is>
          <t>Max bancos</t>
        </is>
      </c>
      <c r="B7" s="104" t="inlineStr">
        <is>
          <t>5</t>
        </is>
      </c>
    </row>
    <row r="8">
      <c r="A8" s="103" t="inlineStr">
        <is>
          <t>Max plazo</t>
        </is>
      </c>
      <c r="B8" s="104" t="inlineStr">
        <is>
          <t>360 meses (30 anios)</t>
        </is>
      </c>
    </row>
    <row r="9">
      <c r="A9" s="103" t="inlineStr">
        <is>
          <t>Metodo amortizacion</t>
        </is>
      </c>
      <c r="B9" s="104" t="inlineStr">
        <is>
          <t>Frances (cuota fija)</t>
        </is>
      </c>
    </row>
    <row r="10">
      <c r="A10" s="103" t="inlineStr">
        <is>
          <t>Proteccion</t>
        </is>
      </c>
      <c r="B10" s="104" t="inlineStr">
        <is>
          <t>nsi2024</t>
        </is>
      </c>
    </row>
    <row r="11">
      <c r="A11" s="103" t="inlineStr">
        <is>
          <t>Contacto</t>
        </is>
      </c>
      <c r="B11" s="104" t="inlineStr">
        <is>
          <t>nosomosignorantes@gmail.com</t>
        </is>
      </c>
    </row>
    <row r="14" ht="32" customHeight="1">
      <c r="A14" s="105" t="inlineStr">
        <is>
          <t>INSTRUCCIONES DE USO</t>
        </is>
      </c>
      <c r="B14" s="1" t="n"/>
    </row>
    <row r="15" ht="22" customHeight="1">
      <c r="A15" s="106" t="inlineStr">
        <is>
          <t>1. En el Dashboard ingresa el monto del prestamo y el plazo deseado en meses.</t>
        </is>
      </c>
    </row>
    <row r="16" ht="22" customHeight="1">
      <c r="A16" s="106" t="inlineStr">
        <is>
          <t>2. Ve a cada hoja de banco (Banco1-Banco5) e ingresa los datos de la oferta.</t>
        </is>
      </c>
    </row>
    <row r="17" ht="22" customHeight="1">
      <c r="A17" s="106" t="inlineStr">
        <is>
          <t>3. Para cada banco ingresa: nombre, tasa anual, comision, seguro y otros costos.</t>
        </is>
      </c>
    </row>
    <row r="18" ht="22" customHeight="1">
      <c r="A18" s="106" t="inlineStr">
        <is>
          <t>4. Regresa al Dashboard para ver la comparacion automatica.</t>
        </is>
      </c>
    </row>
    <row r="19" ht="22" customHeight="1">
      <c r="A19" s="106" t="inlineStr">
        <is>
          <t>5. El sistema destaca el banco con menor costo total en verde.</t>
        </is>
      </c>
    </row>
    <row r="20" ht="22" customHeight="1">
      <c r="A20" s="106" t="inlineStr">
        <is>
          <t>6. Ve a 'Amortizacion' para ver la tabla mes a mes del banco que elijas.</t>
        </is>
      </c>
    </row>
    <row r="21" ht="22" customHeight="1">
      <c r="A21" s="106" t="inlineStr">
        <is>
          <t>7. Usa 'Sensibilidad' para analizar que pasa si cambian tasas o plazos.</t>
        </is>
      </c>
    </row>
    <row r="22" ht="22" customHeight="1">
      <c r="A22" s="106" t="inlineStr">
        <is>
          <t>8. La calculadora de prepago muestra cuanto ahorras pagando extra.</t>
        </is>
      </c>
    </row>
    <row r="23" ht="22" customHeight="1">
      <c r="A23" s="106" t="inlineStr"/>
    </row>
    <row r="24" ht="22" customHeight="1">
      <c r="A24" s="106" t="inlineStr">
        <is>
          <t>TIPS:</t>
        </is>
      </c>
    </row>
    <row r="25" ht="22" customHeight="1">
      <c r="A25" s="106" t="inlineStr">
        <is>
          <t>- Pide a cada banco su tasa efectiva anual, no solo la nominal.</t>
        </is>
      </c>
    </row>
    <row r="26" ht="22" customHeight="1">
      <c r="A26" s="106" t="inlineStr">
        <is>
          <t>- Incluye TODOS los costos: comision, seguros, gastos notariales.</t>
        </is>
      </c>
    </row>
    <row r="27" ht="22" customHeight="1">
      <c r="A27" s="106" t="inlineStr">
        <is>
          <t>- Una diferencia de 0.5% en tasa puede significar miles de Bs en 20 anios.</t>
        </is>
      </c>
    </row>
    <row r="28" ht="22" customHeight="1">
      <c r="A28" s="106" t="inlineStr">
        <is>
          <t>- La regla de oro: la cuota no debe superar el 35% de tu ingreso.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6">
    <mergeCell ref="A20:B20"/>
    <mergeCell ref="A21:B21"/>
    <mergeCell ref="A16:B16"/>
    <mergeCell ref="A24:B24"/>
    <mergeCell ref="A15:B15"/>
    <mergeCell ref="A26:B26"/>
    <mergeCell ref="A25:B25"/>
    <mergeCell ref="A19:B19"/>
    <mergeCell ref="A23:B23"/>
    <mergeCell ref="A28:B28"/>
    <mergeCell ref="A14:B14"/>
    <mergeCell ref="A1:B1"/>
    <mergeCell ref="A17:B17"/>
    <mergeCell ref="A18:B18"/>
    <mergeCell ref="A27:B27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2026-02-06T03:34:50Z</dcterms:created>
  <dcterms:modified xmlns:dcterms="http://purl.org/dc/terms/" xmlns:xsi="http://www.w3.org/2001/XMLSchema-instance" xsi:type="dcterms:W3CDTF">2026-02-06T03:34:50Z</dcterms:modified>
</cp:coreProperties>
</file>