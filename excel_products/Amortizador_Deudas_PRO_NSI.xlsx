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Tabla_Frances" sheetId="2" state="visible" r:id="rId2"/>
    <sheet xmlns:r="http://schemas.openxmlformats.org/officeDocument/2006/relationships" name="Tabla_Aleman" sheetId="3" state="visible" r:id="rId3"/>
    <sheet xmlns:r="http://schemas.openxmlformats.org/officeDocument/2006/relationships" name="Tabla_Americano" sheetId="4" state="visible" r:id="rId4"/>
    <sheet xmlns:r="http://schemas.openxmlformats.org/officeDocument/2006/relationships" name="Comparacion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MMM-YYYY"/>
  </numFmts>
  <fonts count="36">
    <font>
      <name val="Calibri"/>
      <family val="2"/>
      <color theme="1"/>
      <sz val="11"/>
      <scheme val="minor"/>
    </font>
    <font>
      <name val="Calibri"/>
      <b val="1"/>
      <color rgb="00D4AF37"/>
      <sz val="22"/>
    </font>
    <font>
      <name val="Calibri"/>
      <i val="1"/>
      <color rgb="00D1D5DB"/>
      <sz val="10"/>
    </font>
    <font>
      <name val="Calibri"/>
      <b val="1"/>
      <color rgb="00FFFFFF"/>
      <sz val="11"/>
    </font>
    <font>
      <name val="Calibri"/>
      <b val="1"/>
      <color rgb="00374151"/>
      <sz val="11"/>
    </font>
    <font>
      <name val="Calibri"/>
      <color rgb="000000FF"/>
      <sz val="11"/>
    </font>
    <font>
      <name val="Calibri"/>
      <b val="1"/>
      <color rgb="000000FF"/>
      <sz val="14"/>
    </font>
    <font>
      <name val="Calibri"/>
      <i val="1"/>
      <color rgb="006B7280"/>
      <sz val="10"/>
    </font>
    <font>
      <name val="Calibri"/>
      <b val="1"/>
      <color rgb="00D4AF37"/>
      <sz val="11"/>
    </font>
    <font>
      <name val="Calibri"/>
      <b val="1"/>
      <color rgb="00D4AF37"/>
      <sz val="10"/>
    </font>
    <font>
      <name val="Calibri"/>
      <b val="1"/>
      <color rgb="00111827"/>
      <sz val="11"/>
    </font>
    <font>
      <name val="Calibri"/>
      <b val="1"/>
      <color rgb="000D9488"/>
      <sz val="11"/>
    </font>
    <font>
      <name val="Calibri"/>
      <b val="1"/>
      <color rgb="000D9488"/>
      <sz val="13"/>
    </font>
    <font>
      <name val="Calibri"/>
      <b val="1"/>
      <color rgb="002563EB"/>
      <sz val="11"/>
    </font>
    <font>
      <name val="Calibri"/>
      <color rgb="00374151"/>
      <sz val="10"/>
    </font>
    <font>
      <name val="Calibri"/>
      <b val="1"/>
      <color rgb="00059669"/>
      <sz val="11"/>
    </font>
    <font>
      <name val="Calibri"/>
      <b val="1"/>
      <color rgb="00D97706"/>
      <sz val="11"/>
    </font>
    <font>
      <name val="Calibri"/>
      <b val="1"/>
      <color rgb="00D4AF37"/>
      <sz val="16"/>
    </font>
    <font>
      <name val="Calibri"/>
      <b val="1"/>
      <sz val="9"/>
    </font>
    <font>
      <name val="Calibri"/>
      <b val="1"/>
      <color rgb="000F3460"/>
      <sz val="9"/>
    </font>
    <font>
      <name val="Calibri"/>
      <b val="1"/>
      <color rgb="002563EB"/>
      <sz val="9"/>
    </font>
    <font>
      <name val="Calibri"/>
      <b val="1"/>
      <color rgb="00EF4444"/>
      <sz val="9"/>
    </font>
    <font>
      <name val="Calibri"/>
      <b val="1"/>
      <color rgb="0010B981"/>
      <sz val="9"/>
    </font>
    <font>
      <name val="Calibri"/>
      <b val="1"/>
      <color rgb="00D4AF37"/>
      <sz val="9"/>
    </font>
    <font>
      <name val="Calibri"/>
      <color rgb="00374151"/>
      <sz val="8"/>
    </font>
    <font>
      <name val="Calibri"/>
      <color rgb="00111827"/>
      <sz val="11"/>
    </font>
    <font>
      <name val="Calibri"/>
      <color rgb="00111827"/>
      <sz val="8"/>
    </font>
    <font>
      <name val="Calibri"/>
      <b val="1"/>
      <color rgb="00FFFFFF"/>
      <sz val="9"/>
    </font>
    <font>
      <name val="Calibri"/>
      <b val="1"/>
      <color rgb="00059669"/>
      <sz val="9"/>
    </font>
    <font>
      <name val="Calibri"/>
      <b val="1"/>
      <color rgb="00D97706"/>
      <sz val="9"/>
    </font>
    <font>
      <name val="Calibri"/>
      <b val="1"/>
      <color rgb="00D4AF37"/>
      <sz val="18"/>
    </font>
    <font>
      <name val="Calibri"/>
      <sz val="9"/>
    </font>
    <font>
      <name val="Calibri"/>
      <color rgb="002563EB"/>
      <sz val="9"/>
    </font>
    <font>
      <name val="Calibri"/>
      <color rgb="00059669"/>
      <sz val="9"/>
    </font>
    <font>
      <name val="Calibri"/>
      <color rgb="00D97706"/>
      <sz val="9"/>
    </font>
    <font>
      <name val="Calibri"/>
      <b val="1"/>
      <color rgb="00D4AF37"/>
      <sz val="14"/>
    </font>
  </fonts>
  <fills count="1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FF9C4"/>
      </patternFill>
    </fill>
    <fill>
      <patternFill patternType="solid">
        <fgColor rgb="0016213E"/>
      </patternFill>
    </fill>
    <fill>
      <patternFill patternType="solid">
        <fgColor rgb="002563EB"/>
      </patternFill>
    </fill>
    <fill>
      <patternFill patternType="solid">
        <fgColor rgb="00059669"/>
      </patternFill>
    </fill>
    <fill>
      <patternFill patternType="solid">
        <fgColor rgb="00D97706"/>
      </patternFill>
    </fill>
    <fill>
      <patternFill patternType="solid">
        <fgColor rgb="00E8F5E9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CCFBF1"/>
      </patternFill>
    </fill>
    <fill>
      <patternFill patternType="solid">
        <fgColor rgb="007C3AED"/>
      </patternFill>
    </fill>
    <fill>
      <patternFill patternType="solid">
        <fgColor rgb="00FEE2E2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4AF37"/>
      </left>
      <right style="thin">
        <color rgb="00D4AF37"/>
      </right>
      <top style="thin">
        <color rgb="00D4AF37"/>
      </top>
      <bottom style="thin">
        <color rgb="00D4AF37"/>
      </bottom>
    </border>
    <border>
      <left style="medium">
        <color rgb="000D9488"/>
      </left>
      <right style="medium">
        <color rgb="000D9488"/>
      </right>
      <top style="medium">
        <color rgb="000D9488"/>
      </top>
      <bottom style="medium">
        <color rgb="000D9488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left" vertical="center"/>
    </xf>
    <xf numFmtId="4" fontId="6" fillId="4" borderId="2" applyAlignment="1" applyProtection="1" pivotButton="0" quotePrefix="0" xfId="0">
      <alignment horizontal="right" vertical="center"/>
      <protection locked="0" hidden="0"/>
    </xf>
    <xf numFmtId="10" fontId="6" fillId="4" borderId="2" applyAlignment="1" applyProtection="1" pivotButton="0" quotePrefix="0" xfId="0">
      <alignment horizontal="right" vertical="center"/>
      <protection locked="0" hidden="0"/>
    </xf>
    <xf numFmtId="3" fontId="6" fillId="4" borderId="2" applyAlignment="1" applyProtection="1" pivotButton="0" quotePrefix="0" xfId="0">
      <alignment horizontal="right" vertical="center"/>
      <protection locked="0" hidden="0"/>
    </xf>
    <xf numFmtId="0" fontId="7" fillId="0" borderId="0" pivotButton="0" quotePrefix="0" xfId="0"/>
    <xf numFmtId="165" fontId="5" fillId="4" borderId="2" applyAlignment="1" applyProtection="1" pivotButton="0" quotePrefix="0" xfId="0">
      <alignment horizontal="right" vertical="center"/>
      <protection locked="0" hidden="0"/>
    </xf>
    <xf numFmtId="0" fontId="8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9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4" fillId="0" borderId="1" applyAlignment="1" pivotButton="0" quotePrefix="0" xfId="0">
      <alignment horizontal="left" vertical="center"/>
    </xf>
    <xf numFmtId="4" fontId="10" fillId="10" borderId="1" applyAlignment="1" pivotButton="0" quotePrefix="0" xfId="0">
      <alignment horizontal="right" vertical="center"/>
    </xf>
    <xf numFmtId="4" fontId="10" fillId="11" borderId="1" applyAlignment="1" pivotButton="0" quotePrefix="0" xfId="0">
      <alignment horizontal="right" vertical="center"/>
    </xf>
    <xf numFmtId="4" fontId="10" fillId="12" borderId="1" applyAlignment="1" pivotButton="0" quotePrefix="0" xfId="0">
      <alignment horizontal="right" vertical="center"/>
    </xf>
    <xf numFmtId="0" fontId="11" fillId="13" borderId="1" applyAlignment="1" pivotButton="0" quotePrefix="0" xfId="0">
      <alignment horizontal="center" vertical="center"/>
    </xf>
    <xf numFmtId="10" fontId="10" fillId="10" borderId="1" applyAlignment="1" pivotButton="0" quotePrefix="0" xfId="0">
      <alignment horizontal="right" vertical="center"/>
    </xf>
    <xf numFmtId="10" fontId="10" fillId="11" borderId="1" applyAlignment="1" pivotButton="0" quotePrefix="0" xfId="0">
      <alignment horizontal="right" vertical="center"/>
    </xf>
    <xf numFmtId="10" fontId="10" fillId="12" borderId="1" applyAlignment="1" pivotButton="0" quotePrefix="0" xfId="0">
      <alignment horizontal="right" vertical="center"/>
    </xf>
    <xf numFmtId="0" fontId="12" fillId="13" borderId="3" applyAlignment="1" pivotButton="0" quotePrefix="0" xfId="0">
      <alignment horizontal="center" vertical="center"/>
    </xf>
    <xf numFmtId="0" fontId="0" fillId="13" borderId="0" pivotButton="0" quotePrefix="0" xfId="0"/>
    <xf numFmtId="0" fontId="3" fillId="14" borderId="0" applyAlignment="1" pivotButton="0" quotePrefix="0" xfId="0">
      <alignment horizontal="left" vertical="center"/>
    </xf>
    <xf numFmtId="0" fontId="0" fillId="14" borderId="0" pivotButton="0" quotePrefix="0" xfId="0"/>
    <xf numFmtId="0" fontId="13" fillId="10" borderId="1" applyAlignment="1" pivotButton="0" quotePrefix="0" xfId="0">
      <alignment vertical="center"/>
    </xf>
    <xf numFmtId="0" fontId="14" fillId="10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/>
    </xf>
    <xf numFmtId="0" fontId="14" fillId="11" borderId="1" applyAlignment="1" pivotButton="0" quotePrefix="0" xfId="0">
      <alignment vertical="center" wrapText="1"/>
    </xf>
    <xf numFmtId="0" fontId="16" fillId="12" borderId="1" applyAlignment="1" pivotButton="0" quotePrefix="0" xfId="0">
      <alignment vertical="center"/>
    </xf>
    <xf numFmtId="0" fontId="14" fillId="12" borderId="1" applyAlignment="1" pivotButton="0" quotePrefix="0" xfId="0">
      <alignment vertical="center" wrapText="1"/>
    </xf>
    <xf numFmtId="4" fontId="0" fillId="0" borderId="0" pivotButton="0" quotePrefix="0" xfId="0"/>
    <xf numFmtId="0" fontId="17" fillId="2" borderId="0" applyAlignment="1" pivotButton="0" quotePrefix="0" xfId="0">
      <alignment horizontal="center" vertical="center"/>
    </xf>
    <xf numFmtId="0" fontId="18" fillId="0" borderId="0" pivotButton="0" quotePrefix="0" xfId="0"/>
    <xf numFmtId="4" fontId="19" fillId="0" borderId="0" pivotButton="0" quotePrefix="0" xfId="0"/>
    <xf numFmtId="10" fontId="19" fillId="0" borderId="0" pivotButton="0" quotePrefix="0" xfId="0"/>
    <xf numFmtId="0" fontId="19" fillId="0" borderId="0" pivotButton="0" quotePrefix="0" xfId="0"/>
    <xf numFmtId="4" fontId="20" fillId="0" borderId="0" pivotButton="0" quotePrefix="0" xfId="0"/>
    <xf numFmtId="4" fontId="21" fillId="0" borderId="0" pivotButton="0" quotePrefix="0" xfId="0"/>
    <xf numFmtId="4" fontId="22" fillId="0" borderId="0" pivotButton="0" quotePrefix="0" xfId="0"/>
    <xf numFmtId="0" fontId="23" fillId="5" borderId="0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/>
    </xf>
    <xf numFmtId="166" fontId="24" fillId="0" borderId="1" applyAlignment="1" pivotButton="0" quotePrefix="0" xfId="0">
      <alignment horizontal="center"/>
    </xf>
    <xf numFmtId="4" fontId="26" fillId="9" borderId="1" applyAlignment="1" pivotButton="0" quotePrefix="0" xfId="0">
      <alignment horizontal="right" vertical="center"/>
    </xf>
    <xf numFmtId="4" fontId="26" fillId="15" borderId="1" applyAlignment="1" pivotButton="0" quotePrefix="0" xfId="0">
      <alignment horizontal="right" vertical="center"/>
    </xf>
    <xf numFmtId="10" fontId="26" fillId="9" borderId="1" applyAlignment="1" pivotButton="0" quotePrefix="0" xfId="0">
      <alignment horizontal="right" vertical="center"/>
    </xf>
    <xf numFmtId="0" fontId="27" fillId="6" borderId="0" applyAlignment="1" pivotButton="0" quotePrefix="0" xfId="0">
      <alignment horizontal="center"/>
    </xf>
    <xf numFmtId="4" fontId="27" fillId="6" borderId="0" pivotButton="0" quotePrefix="0" xfId="0"/>
    <xf numFmtId="4" fontId="28" fillId="0" borderId="0" pivotButton="0" quotePrefix="0" xfId="0"/>
    <xf numFmtId="0" fontId="27" fillId="7" borderId="0" applyAlignment="1" pivotButton="0" quotePrefix="0" xfId="0">
      <alignment horizontal="center"/>
    </xf>
    <xf numFmtId="4" fontId="27" fillId="7" borderId="0" pivotButton="0" quotePrefix="0" xfId="0"/>
    <xf numFmtId="4" fontId="29" fillId="0" borderId="0" pivotButton="0" quotePrefix="0" xfId="0"/>
    <xf numFmtId="0" fontId="27" fillId="8" borderId="0" applyAlignment="1" pivotButton="0" quotePrefix="0" xfId="0">
      <alignment horizontal="center"/>
    </xf>
    <xf numFmtId="4" fontId="27" fillId="8" borderId="0" pivotButton="0" quotePrefix="0" xfId="0"/>
    <xf numFmtId="0" fontId="30" fillId="2" borderId="0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/>
    </xf>
    <xf numFmtId="4" fontId="32" fillId="9" borderId="1" applyAlignment="1" pivotButton="0" quotePrefix="0" xfId="0">
      <alignment horizontal="right" vertical="center"/>
    </xf>
    <xf numFmtId="4" fontId="33" fillId="9" borderId="1" applyAlignment="1" pivotButton="0" quotePrefix="0" xfId="0">
      <alignment horizontal="right" vertical="center"/>
    </xf>
    <xf numFmtId="4" fontId="34" fillId="9" borderId="1" applyAlignment="1" pivotButton="0" quotePrefix="0" xfId="0">
      <alignment horizontal="right" vertical="center"/>
    </xf>
    <xf numFmtId="0" fontId="4" fillId="0" borderId="1" pivotButton="0" quotePrefix="0" xfId="0"/>
    <xf numFmtId="0" fontId="25" fillId="0" borderId="1" pivotButton="0" quotePrefix="0" xfId="0"/>
    <xf numFmtId="0" fontId="35" fillId="2" borderId="0" applyAlignment="1" pivotButton="0" quotePrefix="0" xfId="0">
      <alignment horizontal="center"/>
    </xf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b val="1"/>
        <color rgb="000D9488"/>
      </font>
      <fill>
        <patternFill patternType="solid">
          <fgColor rgb="00CCFB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a Pagar por Metodo (Bs.)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'Calculadora'!C70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59669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7706"/>
              </a:solidFill>
              <a:ln xmlns:a="http://schemas.openxmlformats.org/drawingml/2006/main">
                <a:prstDash val="solid"/>
              </a:ln>
            </spPr>
          </dPt>
          <cat>
            <numRef>
              <f>'Calculadora'!$B$71:$B$73</f>
            </numRef>
          </cat>
          <val>
            <numRef>
              <f>'Calculadora'!$C$71:$C$73</f>
            </numRef>
          </val>
        </ser>
        <dLbls>
          <numFmt formatCode="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(Bs.)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Desglose: Capital vs Intereses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'Calculadora'!C76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'Calculadora'!$B$77:$B$79</f>
            </numRef>
          </cat>
          <val>
            <numRef>
              <f>'Calculadora'!$C$77:$C$79</f>
            </numRef>
          </val>
        </ser>
        <ser>
          <idx val="1"/>
          <order val="1"/>
          <tx>
            <strRef>
              <f>'Calculadora'!D76</f>
            </strRef>
          </tx>
          <spPr>
            <a:solidFill xmlns:a="http://schemas.openxmlformats.org/drawingml/2006/main">
              <a:srgbClr val="EF4444"/>
            </a:solidFill>
            <a:ln xmlns:a="http://schemas.openxmlformats.org/drawingml/2006/main">
              <a:prstDash val="solid"/>
            </a:ln>
          </spPr>
          <cat>
            <numRef>
              <f>'Calculadora'!$B$77:$B$79</f>
            </numRef>
          </cat>
          <val>
            <numRef>
              <f>'Calculadora'!$D$77:$D$79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 (Bs.)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Evolucion del Saldo - METODO FRANCES (Cuota Fija)</a:t>
            </a:r>
          </a:p>
        </rich>
      </tx>
    </title>
    <plotArea>
      <lineChart>
        <grouping val="standard"/>
        <ser>
          <idx val="0"/>
          <order val="0"/>
          <tx>
            <strRef>
              <f>'Tabla_Frances'!G4</f>
            </strRef>
          </tx>
          <spPr>
            <a:ln xmlns:a="http://schemas.openxmlformats.org/drawingml/2006/main" w="20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'Tabla_Frances'!$A$5:$A$364</f>
            </numRef>
          </cat>
          <val>
            <numRef>
              <f>'Tabla_Frances'!$G$5:$G$364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Saldo (Bs.)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Capital vs Interes por Mes - METODO FRANCES (Cuota Fija)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'Tabla_Frances'!F4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'Tabla_Frances'!$A$5:$A$124</f>
            </numRef>
          </cat>
          <val>
            <numRef>
              <f>'Tabla_Frances'!$F$5:$F$124</f>
            </numRef>
          </val>
        </ser>
        <ser>
          <idx val="1"/>
          <order val="1"/>
          <tx>
            <strRef>
              <f>'Tabla_Frances'!E4</f>
            </strRef>
          </tx>
          <spPr>
            <a:solidFill xmlns:a="http://schemas.openxmlformats.org/drawingml/2006/main">
              <a:srgbClr val="EF4444"/>
            </a:solidFill>
            <a:ln xmlns:a="http://schemas.openxmlformats.org/drawingml/2006/main">
              <a:prstDash val="solid"/>
            </a:ln>
          </spPr>
          <cat>
            <numRef>
              <f>'Tabla_Frances'!$A$5:$A$124</f>
            </numRef>
          </cat>
          <val>
            <numRef>
              <f>'Tabla_Frances'!$E$5:$E$124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 (Bs.)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Evolucion del Saldo - METODO ALEMAN (Amortizacion Fija)</a:t>
            </a:r>
          </a:p>
        </rich>
      </tx>
    </title>
    <plotArea>
      <lineChart>
        <grouping val="standard"/>
        <ser>
          <idx val="0"/>
          <order val="0"/>
          <tx>
            <strRef>
              <f>'Tabla_Aleman'!G4</f>
            </strRef>
          </tx>
          <spPr>
            <a:ln xmlns:a="http://schemas.openxmlformats.org/drawingml/2006/main" w="20000">
              <a:solidFill>
                <a:srgbClr val="0596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'Tabla_Aleman'!$A$5:$A$364</f>
            </numRef>
          </cat>
          <val>
            <numRef>
              <f>'Tabla_Aleman'!$G$5:$G$364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Saldo (Bs.)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Capital vs Interes por Mes - METODO ALEMAN (Amortizacion Fija)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'Tabla_Aleman'!F4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'Tabla_Aleman'!$A$5:$A$124</f>
            </numRef>
          </cat>
          <val>
            <numRef>
              <f>'Tabla_Aleman'!$F$5:$F$124</f>
            </numRef>
          </val>
        </ser>
        <ser>
          <idx val="1"/>
          <order val="1"/>
          <tx>
            <strRef>
              <f>'Tabla_Aleman'!E4</f>
            </strRef>
          </tx>
          <spPr>
            <a:solidFill xmlns:a="http://schemas.openxmlformats.org/drawingml/2006/main">
              <a:srgbClr val="EF4444"/>
            </a:solidFill>
            <a:ln xmlns:a="http://schemas.openxmlformats.org/drawingml/2006/main">
              <a:prstDash val="solid"/>
            </a:ln>
          </spPr>
          <cat>
            <numRef>
              <f>'Tabla_Aleman'!$A$5:$A$124</f>
            </numRef>
          </cat>
          <val>
            <numRef>
              <f>'Tabla_Aleman'!$E$5:$E$124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 (Bs.)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Evolucion del Saldo - METODO AMERICANO (Interes + Balloon)</a:t>
            </a:r>
          </a:p>
        </rich>
      </tx>
    </title>
    <plotArea>
      <lineChart>
        <grouping val="standard"/>
        <ser>
          <idx val="0"/>
          <order val="0"/>
          <tx>
            <strRef>
              <f>'Tabla_Americano'!G4</f>
            </strRef>
          </tx>
          <spPr>
            <a:ln xmlns:a="http://schemas.openxmlformats.org/drawingml/2006/main" w="20000">
              <a:solidFill>
                <a:srgbClr val="D977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'Tabla_Americano'!$A$5:$A$364</f>
            </numRef>
          </cat>
          <val>
            <numRef>
              <f>'Tabla_Americano'!$G$5:$G$364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Saldo (Bs.)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Capital vs Interes por Mes - METODO AMERICANO (Interes + Balloon)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'Tabla_Americano'!F4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'Tabla_Americano'!$A$5:$A$124</f>
            </numRef>
          </cat>
          <val>
            <numRef>
              <f>'Tabla_Americano'!$F$5:$F$124</f>
            </numRef>
          </val>
        </ser>
        <ser>
          <idx val="1"/>
          <order val="1"/>
          <tx>
            <strRef>
              <f>'Tabla_Americano'!E4</f>
            </strRef>
          </tx>
          <spPr>
            <a:solidFill xmlns:a="http://schemas.openxmlformats.org/drawingml/2006/main">
              <a:srgbClr val="EF4444"/>
            </a:solidFill>
            <a:ln xmlns:a="http://schemas.openxmlformats.org/drawingml/2006/main">
              <a:prstDash val="solid"/>
            </a:ln>
          </spPr>
          <cat>
            <numRef>
              <f>'Tabla_Americano'!$A$5:$A$124</f>
            </numRef>
          </cat>
          <val>
            <numRef>
              <f>'Tabla_Americano'!$E$5:$E$124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 (Bs.)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Evolucion de la Cuota Mensual por Metodo</a:t>
            </a:r>
          </a:p>
        </rich>
      </tx>
    </title>
    <plotArea>
      <lineChart>
        <grouping val="standard"/>
        <ser>
          <idx val="0"/>
          <order val="0"/>
          <tx>
            <strRef>
              <f>'Comparacion'!C6</f>
            </strRef>
          </tx>
          <spPr>
            <a:ln xmlns:a="http://schemas.openxmlformats.org/drawingml/2006/main" w="25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'Comparacion'!$B$7:$B$36</f>
            </numRef>
          </cat>
          <val>
            <numRef>
              <f>'Comparacion'!$C$7:$C$36</f>
            </numRef>
          </val>
        </ser>
        <ser>
          <idx val="1"/>
          <order val="1"/>
          <tx>
            <strRef>
              <f>'Comparacion'!D6</f>
            </strRef>
          </tx>
          <spPr>
            <a:ln xmlns:a="http://schemas.openxmlformats.org/drawingml/2006/main" w="25000">
              <a:solidFill>
                <a:srgbClr val="0596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'Comparacion'!$B$7:$B$36</f>
            </numRef>
          </cat>
          <val>
            <numRef>
              <f>'Comparacion'!$D$7:$D$36</f>
            </numRef>
          </val>
        </ser>
        <ser>
          <idx val="2"/>
          <order val="2"/>
          <tx>
            <strRef>
              <f>'Comparacion'!E6</f>
            </strRef>
          </tx>
          <spPr>
            <a:ln xmlns:a="http://schemas.openxmlformats.org/drawingml/2006/main" w="25000">
              <a:solidFill>
                <a:srgbClr val="D977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'Comparacion'!$B$7:$B$36</f>
            </numRef>
          </cat>
          <val>
            <numRef>
              <f>'Comparacion'!$E$7:$E$36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Cuota (Bs.)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Evolucion del Saldo Pendiente por Metodo</a:t>
            </a:r>
          </a:p>
        </rich>
      </tx>
    </title>
    <plotArea>
      <lineChart>
        <grouping val="standard"/>
        <ser>
          <idx val="0"/>
          <order val="0"/>
          <tx>
            <strRef>
              <f>'Comparacion'!C56</f>
            </strRef>
          </tx>
          <spPr>
            <a:ln xmlns:a="http://schemas.openxmlformats.org/drawingml/2006/main" w="25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'Comparacion'!$B$57:$B$86</f>
            </numRef>
          </cat>
          <val>
            <numRef>
              <f>'Comparacion'!$C$57:$C$86</f>
            </numRef>
          </val>
        </ser>
        <ser>
          <idx val="1"/>
          <order val="1"/>
          <tx>
            <strRef>
              <f>'Comparacion'!D56</f>
            </strRef>
          </tx>
          <spPr>
            <a:ln xmlns:a="http://schemas.openxmlformats.org/drawingml/2006/main" w="25000">
              <a:solidFill>
                <a:srgbClr val="0596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'Comparacion'!$B$57:$B$86</f>
            </numRef>
          </cat>
          <val>
            <numRef>
              <f>'Comparacion'!$D$57:$D$86</f>
            </numRef>
          </val>
        </ser>
        <ser>
          <idx val="2"/>
          <order val="2"/>
          <tx>
            <strRef>
              <f>'Comparacion'!E56</f>
            </strRef>
          </tx>
          <spPr>
            <a:ln xmlns:a="http://schemas.openxmlformats.org/drawingml/2006/main" w="25000">
              <a:solidFill>
                <a:srgbClr val="D977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'Comparacion'!$B$57:$B$86</f>
            </numRef>
          </cat>
          <val>
            <numRef>
              <f>'Comparacion'!$E$57:$E$86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Saldo (Bs.)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43</row>
      <rowOff>0</rowOff>
    </from>
    <ext cx="72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367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383</row>
      <rowOff>0</rowOff>
    </from>
    <ext cx="93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367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383</row>
      <rowOff>0</rowOff>
    </from>
    <ext cx="93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367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383</row>
      <rowOff>0</rowOff>
    </from>
    <ext cx="93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37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87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D4AF37"/>
    <outlinePr summaryBelow="1" summaryRight="1"/>
    <pageSetUpPr/>
  </sheetPr>
  <dimension ref="A1:G7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" customWidth="1" min="8" max="8"/>
  </cols>
  <sheetData>
    <row r="1" ht="8" customHeight="1">
      <c r="B1" s="1" t="n"/>
      <c r="C1" s="1" t="n"/>
      <c r="D1" s="1" t="n"/>
      <c r="E1" s="1" t="n"/>
      <c r="F1" s="1" t="n"/>
      <c r="G1" s="1" t="n"/>
    </row>
    <row r="2" ht="48" customHeight="1">
      <c r="B2" s="2" t="inlineStr">
        <is>
          <t>AMORTIZADOR DE DEUDAS PRO</t>
        </is>
      </c>
      <c r="C2" s="1" t="n"/>
      <c r="D2" s="1" t="n"/>
      <c r="E2" s="1" t="n"/>
      <c r="F2" s="1" t="n"/>
      <c r="G2" s="1" t="n"/>
    </row>
    <row r="3" ht="24" customHeight="1">
      <c r="B3" s="3" t="inlineStr">
        <is>
          <t>No Somos Ignorantes  |  v1.0  |  Frances - Aleman - Americano en un solo lugar</t>
        </is>
      </c>
      <c r="C3" s="1" t="n"/>
      <c r="D3" s="1" t="n"/>
      <c r="E3" s="1" t="n"/>
      <c r="F3" s="1" t="n"/>
      <c r="G3" s="1" t="n"/>
    </row>
    <row r="4" ht="8" customHeight="1"/>
    <row r="5" ht="30" customHeight="1">
      <c r="B5" s="4" t="inlineStr">
        <is>
          <t>DATOS DEL PRESTAMO</t>
        </is>
      </c>
      <c r="C5" s="5" t="n"/>
      <c r="D5" s="5" t="n"/>
      <c r="E5" s="5" t="n"/>
      <c r="F5" s="5" t="n"/>
      <c r="G5" s="5" t="n"/>
    </row>
    <row r="6" ht="32" customHeight="1">
      <c r="B6" s="6" t="inlineStr">
        <is>
          <t>Capital del prestamo (Bs.)</t>
        </is>
      </c>
      <c r="C6" s="7" t="n">
        <v>200000</v>
      </c>
    </row>
    <row r="7" ht="32" customHeight="1">
      <c r="B7" s="6" t="inlineStr">
        <is>
          <t>Tasa de interes anual (%)</t>
        </is>
      </c>
      <c r="C7" s="8" t="n">
        <v>0.08</v>
      </c>
    </row>
    <row r="8" ht="32" customHeight="1">
      <c r="B8" s="6" t="inlineStr">
        <is>
          <t>Plazo (meses)</t>
        </is>
      </c>
      <c r="C8" s="9" t="n">
        <v>120</v>
      </c>
      <c r="E8" s="10">
        <f>IFERROR(ROUND(C8/12,1)&amp;" anios","")</f>
        <v/>
      </c>
    </row>
    <row r="9" ht="32" customHeight="1">
      <c r="B9" s="6" t="inlineStr">
        <is>
          <t>Fecha de inicio</t>
        </is>
      </c>
      <c r="C9" s="11" t="n">
        <v>45658</v>
      </c>
    </row>
    <row r="10" ht="10" customHeight="1"/>
    <row r="11" ht="30" customHeight="1">
      <c r="B11" s="12" t="inlineStr">
        <is>
          <t>COMPARACION DE METODOS</t>
        </is>
      </c>
      <c r="C11" s="13" t="n"/>
      <c r="D11" s="13" t="n"/>
      <c r="E11" s="13" t="n"/>
      <c r="F11" s="13" t="n"/>
      <c r="G11" s="13" t="n"/>
    </row>
    <row r="12" ht="28" customHeight="1">
      <c r="A12" t="inlineStr"/>
      <c r="B12" s="14" t="inlineStr">
        <is>
          <t>METRICA</t>
        </is>
      </c>
      <c r="C12" s="14" t="inlineStr">
        <is>
          <t>FRANCES</t>
        </is>
      </c>
      <c r="D12" s="14" t="inlineStr">
        <is>
          <t>ALEMAN</t>
        </is>
      </c>
      <c r="E12" s="14" t="inlineStr">
        <is>
          <t>AMERICANO</t>
        </is>
      </c>
      <c r="F12" s="14" t="inlineStr">
        <is>
          <t>MEJOR</t>
        </is>
      </c>
    </row>
    <row r="13" ht="6" customHeight="1">
      <c r="C13" s="15" t="n"/>
      <c r="D13" s="16" t="n"/>
      <c r="E13" s="17" t="n"/>
    </row>
    <row r="14" ht="30" customHeight="1">
      <c r="B14" s="18" t="inlineStr">
        <is>
          <t>Cuota del primer mes (Bs.)</t>
        </is>
      </c>
      <c r="C14" s="19">
        <f>IFERROR(-PMT($C$7/12,$C$8,$C$6),0)</f>
        <v/>
      </c>
      <c r="D14" s="20">
        <f>IFERROR($C$6/$C$8+$C$6*$C$7/12,0)</f>
        <v/>
      </c>
      <c r="E14" s="21">
        <f>IFERROR($C$6*$C$7/12,0)</f>
        <v/>
      </c>
      <c r="F14" s="22">
        <f>IF(MIN(C14,D14,E14)=C14,"Frances",IF(MIN(C14,D14,E14)=D14,"Aleman","Americano"))</f>
        <v/>
      </c>
    </row>
    <row r="15" ht="30" customHeight="1">
      <c r="B15" s="18" t="inlineStr">
        <is>
          <t>Cuota del ultimo mes (Bs.)</t>
        </is>
      </c>
      <c r="C15" s="19">
        <f>IFERROR(-PMT($C$7/12,$C$8,$C$6),0)</f>
        <v/>
      </c>
      <c r="D15" s="20">
        <f>IFERROR($C$6/$C$8+($C$6/$C$8)*$C$7/12,0)</f>
        <v/>
      </c>
      <c r="E15" s="21">
        <f>IFERROR($C$6+$C$6*$C$7/12,0)</f>
        <v/>
      </c>
      <c r="F15" s="22">
        <f>IF(MIN(C15,D15,E15)=C15,"Frances",IF(MIN(C15,D15,E15)=D15,"Aleman","Americano"))</f>
        <v/>
      </c>
    </row>
    <row r="16" ht="30" customHeight="1">
      <c r="B16" s="18" t="inlineStr">
        <is>
          <t>Cuota promedio (Bs.)</t>
        </is>
      </c>
      <c r="C16" s="19">
        <f>IFERROR(-PMT($C$7/12,$C$8,$C$6),0)</f>
        <v/>
      </c>
      <c r="D16" s="20">
        <f>IFERROR(($C$6/$C$8+$C$6*$C$7/12+$C$6/$C$8+($C$6/$C$8)*$C$7/12)/2,0)</f>
        <v/>
      </c>
      <c r="E16" s="21">
        <f>IFERROR(($C$6*$C$7/12*($C$8-1)+$C$6+$C$6*$C$7/12)/$C$8,0)</f>
        <v/>
      </c>
      <c r="F16" s="22">
        <f>IF(MIN(C16,D16,E16)=C16,"Frances",IF(MIN(C16,D16,E16)=D16,"Aleman","Americano"))</f>
        <v/>
      </c>
    </row>
    <row r="17" ht="30" customHeight="1">
      <c r="B17" s="18" t="inlineStr">
        <is>
          <t>Total a pagar (Bs.)</t>
        </is>
      </c>
      <c r="C17" s="19">
        <f>IFERROR(-PMT($C$7/12,$C$8,$C$6)*$C$8,0)</f>
        <v/>
      </c>
      <c r="D17" s="20">
        <f>IFERROR($C$6+$C$6*$C$7/12*($C$8+1)/2,0)</f>
        <v/>
      </c>
      <c r="E17" s="21">
        <f>IFERROR($C$6+$C$6*$C$7/12*$C$8,0)</f>
        <v/>
      </c>
      <c r="F17" s="22">
        <f>IF(MIN(C17,D17,E17)=C17,"Frances",IF(MIN(C17,D17,E17)=D17,"Aleman","Americano"))</f>
        <v/>
      </c>
    </row>
    <row r="18" ht="30" customHeight="1">
      <c r="B18" s="18" t="inlineStr">
        <is>
          <t>Total intereses (Bs.)</t>
        </is>
      </c>
      <c r="C18" s="19">
        <f>IFERROR(C17-$C$6,0)</f>
        <v/>
      </c>
      <c r="D18" s="20">
        <f>IFERROR(D17-$C$6,0)</f>
        <v/>
      </c>
      <c r="E18" s="21">
        <f>IFERROR(E17-$C$6,0)</f>
        <v/>
      </c>
      <c r="F18" s="22">
        <f>IF(MIN(C18,D18,E18)=C18,"Frances",IF(MIN(C18,D18,E18)=D18,"Aleman","Americano"))</f>
        <v/>
      </c>
    </row>
    <row r="19" ht="30" customHeight="1">
      <c r="B19" s="18" t="inlineStr">
        <is>
          <t>Relacion intereses/capital (%)</t>
        </is>
      </c>
      <c r="C19" s="23">
        <f>IFERROR(C18/$C$6,0)</f>
        <v/>
      </c>
      <c r="D19" s="24">
        <f>IFERROR(D18/$C$6,0)</f>
        <v/>
      </c>
      <c r="E19" s="25">
        <f>IFERROR(E18/$C$6,0)</f>
        <v/>
      </c>
      <c r="F19" s="22">
        <f>IF(MIN(C19,D19,E19)=C19,"Frances",IF(MIN(C19,D19,E19)=D19,"Aleman","Americano"))</f>
        <v/>
      </c>
    </row>
    <row r="20" ht="10" customHeight="1"/>
    <row r="21" ht="38" customHeight="1">
      <c r="B21" s="26">
        <f>IFERROR("MENOR COSTO TOTAL: "&amp;F17&amp;" - Pagas Bs. "&amp;TEXT(MIN(C17,D17,E17),"#,##0.00")&amp;" | Ahorras Bs. "&amp;TEXT(MAX(C17,D17,E17)-MIN(C17,D17,E17),"#,##0.00")&amp;" vs el mas caro","Ingresa datos del prestamo")</f>
        <v/>
      </c>
      <c r="C21" s="27" t="n"/>
      <c r="D21" s="27" t="n"/>
      <c r="E21" s="27" t="n"/>
      <c r="F21" s="27" t="n"/>
      <c r="G21" s="27" t="n"/>
    </row>
    <row r="22" ht="10" customHeight="1"/>
    <row r="23" ht="30" customHeight="1">
      <c r="B23" s="28" t="inlineStr">
        <is>
          <t>COMO FUNCIONA CADA METODO</t>
        </is>
      </c>
      <c r="C23" s="29" t="n"/>
      <c r="D23" s="29" t="n"/>
      <c r="E23" s="29" t="n"/>
      <c r="F23" s="29" t="n"/>
      <c r="G23" s="29" t="n"/>
    </row>
    <row r="24" ht="42" customHeight="1">
      <c r="B24" s="30" t="inlineStr">
        <is>
          <t>FRANCES (Cuota Fija)</t>
        </is>
      </c>
      <c r="C24" s="31" t="inlineStr">
        <is>
          <t>La cuota es siempre igual. Al inicio pagas mas interes, al final mas capital. El mas comun en Bolivia.</t>
        </is>
      </c>
    </row>
    <row r="25" ht="42" customHeight="1">
      <c r="B25" s="32" t="inlineStr">
        <is>
          <t>ALEMAN (Amortizacion Fija)</t>
        </is>
      </c>
      <c r="C25" s="33" t="inlineStr">
        <is>
          <t>El capital que pagas es fijo cada mes. La cuota baja con el tiempo porque los intereses disminuyen.</t>
        </is>
      </c>
    </row>
    <row r="26" ht="42" customHeight="1">
      <c r="B26" s="34" t="inlineStr">
        <is>
          <t>AMERICANO (Solo Interes)</t>
        </is>
      </c>
      <c r="C26" s="35" t="inlineStr">
        <is>
          <t>Solo pagas intereses cada mes. Al final devuelves TODO el capital de golpe (pago balloon).</t>
        </is>
      </c>
    </row>
    <row r="27" ht="10" customHeight="1"/>
    <row r="70">
      <c r="B70" t="inlineStr">
        <is>
          <t>Metodo</t>
        </is>
      </c>
      <c r="C70" t="inlineStr">
        <is>
          <t>Total a Pagar</t>
        </is>
      </c>
      <c r="D70" t="inlineStr">
        <is>
          <t>Total Intereses</t>
        </is>
      </c>
    </row>
    <row r="71">
      <c r="B71" t="inlineStr">
        <is>
          <t>Frances</t>
        </is>
      </c>
      <c r="C71" s="36">
        <f>C17</f>
        <v/>
      </c>
      <c r="D71" s="36">
        <f>C18</f>
        <v/>
      </c>
    </row>
    <row r="72">
      <c r="B72" t="inlineStr">
        <is>
          <t>Aleman</t>
        </is>
      </c>
      <c r="C72" s="36">
        <f>D17</f>
        <v/>
      </c>
      <c r="D72" s="36">
        <f>D18</f>
        <v/>
      </c>
    </row>
    <row r="73">
      <c r="B73" t="inlineStr">
        <is>
          <t>Americano</t>
        </is>
      </c>
      <c r="C73" s="36">
        <f>E17</f>
        <v/>
      </c>
      <c r="D73" s="36">
        <f>E18</f>
        <v/>
      </c>
    </row>
    <row r="76">
      <c r="B76" t="inlineStr">
        <is>
          <t>Metodo</t>
        </is>
      </c>
      <c r="C76" t="inlineStr">
        <is>
          <t>Capital</t>
        </is>
      </c>
      <c r="D76" t="inlineStr">
        <is>
          <t>Intereses</t>
        </is>
      </c>
    </row>
    <row r="77">
      <c r="B77" t="inlineStr">
        <is>
          <t>Frances</t>
        </is>
      </c>
      <c r="C77" s="36">
        <f>$C$6</f>
        <v/>
      </c>
      <c r="D77" s="36">
        <f>C18</f>
        <v/>
      </c>
    </row>
    <row r="78">
      <c r="B78" t="inlineStr">
        <is>
          <t>Aleman</t>
        </is>
      </c>
      <c r="C78" s="36">
        <f>$C$6</f>
        <v/>
      </c>
      <c r="D78" s="36">
        <f>D18</f>
        <v/>
      </c>
    </row>
    <row r="79">
      <c r="B79" t="inlineStr">
        <is>
          <t>Americano</t>
        </is>
      </c>
      <c r="C79" s="36">
        <f>$C$6</f>
        <v/>
      </c>
      <c r="D79" s="36">
        <f>E18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4">
    <mergeCell ref="B3:G3"/>
    <mergeCell ref="B2:G2"/>
    <mergeCell ref="C6:D6"/>
    <mergeCell ref="C7:D7"/>
    <mergeCell ref="B5:G5"/>
    <mergeCell ref="C24:G24"/>
    <mergeCell ref="B23:G23"/>
    <mergeCell ref="B1:G1"/>
    <mergeCell ref="C25:G25"/>
    <mergeCell ref="C9:D9"/>
    <mergeCell ref="B21:G21"/>
    <mergeCell ref="C8:D8"/>
    <mergeCell ref="B11:G11"/>
    <mergeCell ref="C26:G26"/>
  </mergeCells>
  <conditionalFormatting sqref="C17">
    <cfRule type="expression" priority="1" dxfId="0">
      <formula>C17=MIN($C17,$D17,$E17)</formula>
    </cfRule>
  </conditionalFormatting>
  <conditionalFormatting sqref="D17">
    <cfRule type="expression" priority="2" dxfId="0">
      <formula>D17=MIN($C17,$D17,$E17)</formula>
    </cfRule>
  </conditionalFormatting>
  <conditionalFormatting sqref="E17">
    <cfRule type="expression" priority="3" dxfId="0">
      <formula>E17=MIN($C17,$D17,$E17)</formula>
    </cfRule>
  </conditionalFormatting>
  <conditionalFormatting sqref="C18">
    <cfRule type="expression" priority="4" dxfId="0">
      <formula>C18=MIN($C18,$D18,$E18)</formula>
    </cfRule>
  </conditionalFormatting>
  <conditionalFormatting sqref="D18">
    <cfRule type="expression" priority="5" dxfId="0">
      <formula>D18=MIN($C18,$D18,$E18)</formula>
    </cfRule>
  </conditionalFormatting>
  <conditionalFormatting sqref="E18">
    <cfRule type="expression" priority="6" dxfId="0">
      <formula>E18=MIN($C18,$D18,$E18)</formula>
    </cfRule>
  </conditionalFormatting>
  <conditionalFormatting sqref="C19">
    <cfRule type="expression" priority="7" dxfId="0">
      <formula>C19=MIN($C19,$D19,$E19)</formula>
    </cfRule>
  </conditionalFormatting>
  <conditionalFormatting sqref="D19">
    <cfRule type="expression" priority="8" dxfId="0">
      <formula>D19=MIN($C19,$D19,$E19)</formula>
    </cfRule>
  </conditionalFormatting>
  <conditionalFormatting sqref="E19">
    <cfRule type="expression" priority="9" dxfId="0">
      <formula>E19=MIN($C19,$D19,$E19)</formula>
    </cfRule>
  </conditionalFormatting>
  <dataValidations count="3">
    <dataValidation sqref="C6" showDropDown="0" showInputMessage="0" showErrorMessage="0" allowBlank="0" errorTitle="Capital invalido" error="El capital debe estar entre Bs. 1,000 y Bs. 10,000,000" promptTitle="Capital" prompt="Ingresa el monto total del prestamo" type="decimal" operator="between">
      <formula1>1000</formula1>
      <formula2>10000000</formula2>
    </dataValidation>
    <dataValidation sqref="C7" showDropDown="0" showInputMessage="0" showErrorMessage="0" allowBlank="0" errorTitle="Tasa invalida" error="La tasa debe estar entre 0% y 100%" promptTitle="Tasa Anual" prompt="Ingresa la tasa anual como decimal (ej: 0.08 = 8%)" type="decimal" operator="between">
      <formula1>0</formula1>
      <formula2>1</formula2>
    </dataValidation>
    <dataValidation sqref="C8" showDropDown="0" showInputMessage="0" showErrorMessage="0" allowBlank="0" errorTitle="Plazo invalido" error="El plazo debe estar entre 1 y 360 meses" promptTitle="Plazo" prompt="Ingresa el plazo en meses (ej: 120 = 10 anios)" type="whole" operator="between">
      <formula1>1</formula1>
      <formula2>360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H3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</cols>
  <sheetData>
    <row r="1" ht="38" customHeight="1">
      <c r="A1" s="37" t="inlineStr">
        <is>
          <t>TABLA DE AMORTIZACION - METODO FRANCES (Cuota Fija)</t>
        </is>
      </c>
      <c r="B1" s="1" t="n"/>
      <c r="C1" s="1" t="n"/>
      <c r="D1" s="1" t="n"/>
      <c r="E1" s="1" t="n"/>
      <c r="F1" s="1" t="n"/>
      <c r="G1" s="1" t="n"/>
      <c r="H1" s="1" t="n"/>
    </row>
    <row r="2" ht="24" customHeight="1">
      <c r="A2" s="38" t="inlineStr">
        <is>
          <t>Capital:</t>
        </is>
      </c>
      <c r="B2" s="39">
        <f>Calculadora!C6</f>
        <v/>
      </c>
      <c r="C2" s="38" t="inlineStr">
        <is>
          <t>Tasa:</t>
        </is>
      </c>
      <c r="D2" s="40">
        <f>Calculadora!C7</f>
        <v/>
      </c>
      <c r="E2" s="38" t="inlineStr">
        <is>
          <t>Plazo:</t>
        </is>
      </c>
      <c r="F2" s="41">
        <f>Calculadora!C8&amp;" meses"</f>
        <v/>
      </c>
    </row>
    <row r="3" ht="24" customHeight="1">
      <c r="A3" s="38" t="inlineStr">
        <is>
          <t>Total Pagado:</t>
        </is>
      </c>
      <c r="B3" s="42">
        <f>IFERROR(SUM(D5:D364),0)</f>
        <v/>
      </c>
      <c r="C3" s="38" t="inlineStr">
        <is>
          <t>Total Interes:</t>
        </is>
      </c>
      <c r="D3" s="43">
        <f>IFERROR(SUM(E5:E364),0)</f>
        <v/>
      </c>
      <c r="E3" s="38" t="inlineStr">
        <is>
          <t>Total Capital:</t>
        </is>
      </c>
      <c r="F3" s="44">
        <f>IFERROR(SUM(F5:F364),0)</f>
        <v/>
      </c>
    </row>
    <row r="4" ht="26" customHeight="1">
      <c r="A4" s="45" t="inlineStr">
        <is>
          <t>#</t>
        </is>
      </c>
      <c r="B4" s="45" t="inlineStr">
        <is>
          <t>FECHA</t>
        </is>
      </c>
      <c r="C4" s="45" t="inlineStr">
        <is>
          <t>SALDO INICIAL</t>
        </is>
      </c>
      <c r="D4" s="45" t="inlineStr">
        <is>
          <t>CUOTA</t>
        </is>
      </c>
      <c r="E4" s="45" t="inlineStr">
        <is>
          <t>INTERES</t>
        </is>
      </c>
      <c r="F4" s="45" t="inlineStr">
        <is>
          <t>CAPITAL</t>
        </is>
      </c>
      <c r="G4" s="45" t="inlineStr">
        <is>
          <t>SALDO FINAL</t>
        </is>
      </c>
      <c r="H4" s="45" t="inlineStr">
        <is>
          <t>% PAGADO</t>
        </is>
      </c>
    </row>
    <row r="5" ht="18" customHeight="1">
      <c r="A5" s="46" t="n">
        <v>1</v>
      </c>
      <c r="B5" s="47">
        <f>Calculadora!$C$9</f>
        <v/>
      </c>
      <c r="C5" s="48">
        <f>IF(Calculadora!$C$6&gt;0,Calculadora!$C$6,0)</f>
        <v/>
      </c>
      <c r="D5" s="48">
        <f>IF(C5&lt;=0.01,0,IFERROR(-PMT(Calculadora!$C$7/12,Calculadora!$C$8,Calculadora!$C$6),0))</f>
        <v/>
      </c>
      <c r="E5" s="49">
        <f>IF(C5&lt;=0.01,0,ROUND(C5*Calculadora!$C$7/12,2))</f>
        <v/>
      </c>
      <c r="F5" s="48">
        <f>IF(C5&lt;=0.01,0,D5-E5)</f>
        <v/>
      </c>
      <c r="G5" s="48">
        <f>IF(C5&lt;=0.01,0,MAX(ROUND(C5-F5,2),0))</f>
        <v/>
      </c>
      <c r="H5" s="50">
        <f>IFERROR(IF(Calculadora!$C$6&gt;0,1-(G5/Calculadora!$C$6),0),0)</f>
        <v/>
      </c>
    </row>
    <row r="6" ht="18" customHeight="1">
      <c r="A6" s="46" t="n">
        <v>2</v>
      </c>
      <c r="B6" s="47">
        <f>IFERROR(IF(C6&lt;=0.01,"",EDATE(B5,1)),"")</f>
        <v/>
      </c>
      <c r="C6" s="48">
        <f>IF(G5&lt;=0.01,0,G5)</f>
        <v/>
      </c>
      <c r="D6" s="48">
        <f>IF(C6&lt;=0.01,0,IFERROR(-PMT(Calculadora!$C$7/12,Calculadora!$C$8,Calculadora!$C$6),0))</f>
        <v/>
      </c>
      <c r="E6" s="49">
        <f>IF(C6&lt;=0.01,0,ROUND(C6*Calculadora!$C$7/12,2))</f>
        <v/>
      </c>
      <c r="F6" s="48">
        <f>IF(C6&lt;=0.01,0,D6-E6)</f>
        <v/>
      </c>
      <c r="G6" s="48">
        <f>IF(C6&lt;=0.01,0,MAX(ROUND(C6-F6,2),0))</f>
        <v/>
      </c>
      <c r="H6" s="50">
        <f>IFERROR(IF(Calculadora!$C$6&gt;0,1-(G6/Calculadora!$C$6),0),0)</f>
        <v/>
      </c>
    </row>
    <row r="7" ht="18" customHeight="1">
      <c r="A7" s="46" t="n">
        <v>3</v>
      </c>
      <c r="B7" s="47">
        <f>IFERROR(IF(C7&lt;=0.01,"",EDATE(B6,1)),"")</f>
        <v/>
      </c>
      <c r="C7" s="48">
        <f>IF(G6&lt;=0.01,0,G6)</f>
        <v/>
      </c>
      <c r="D7" s="48">
        <f>IF(C7&lt;=0.01,0,IFERROR(-PMT(Calculadora!$C$7/12,Calculadora!$C$8,Calculadora!$C$6),0))</f>
        <v/>
      </c>
      <c r="E7" s="49">
        <f>IF(C7&lt;=0.01,0,ROUND(C7*Calculadora!$C$7/12,2))</f>
        <v/>
      </c>
      <c r="F7" s="48">
        <f>IF(C7&lt;=0.01,0,D7-E7)</f>
        <v/>
      </c>
      <c r="G7" s="48">
        <f>IF(C7&lt;=0.01,0,MAX(ROUND(C7-F7,2),0))</f>
        <v/>
      </c>
      <c r="H7" s="50">
        <f>IFERROR(IF(Calculadora!$C$6&gt;0,1-(G7/Calculadora!$C$6),0),0)</f>
        <v/>
      </c>
    </row>
    <row r="8" ht="18" customHeight="1">
      <c r="A8" s="46" t="n">
        <v>4</v>
      </c>
      <c r="B8" s="47">
        <f>IFERROR(IF(C8&lt;=0.01,"",EDATE(B7,1)),"")</f>
        <v/>
      </c>
      <c r="C8" s="48">
        <f>IF(G7&lt;=0.01,0,G7)</f>
        <v/>
      </c>
      <c r="D8" s="48">
        <f>IF(C8&lt;=0.01,0,IFERROR(-PMT(Calculadora!$C$7/12,Calculadora!$C$8,Calculadora!$C$6),0))</f>
        <v/>
      </c>
      <c r="E8" s="49">
        <f>IF(C8&lt;=0.01,0,ROUND(C8*Calculadora!$C$7/12,2))</f>
        <v/>
      </c>
      <c r="F8" s="48">
        <f>IF(C8&lt;=0.01,0,D8-E8)</f>
        <v/>
      </c>
      <c r="G8" s="48">
        <f>IF(C8&lt;=0.01,0,MAX(ROUND(C8-F8,2),0))</f>
        <v/>
      </c>
      <c r="H8" s="50">
        <f>IFERROR(IF(Calculadora!$C$6&gt;0,1-(G8/Calculadora!$C$6),0),0)</f>
        <v/>
      </c>
    </row>
    <row r="9" ht="18" customHeight="1">
      <c r="A9" s="46" t="n">
        <v>5</v>
      </c>
      <c r="B9" s="47">
        <f>IFERROR(IF(C9&lt;=0.01,"",EDATE(B8,1)),"")</f>
        <v/>
      </c>
      <c r="C9" s="48">
        <f>IF(G8&lt;=0.01,0,G8)</f>
        <v/>
      </c>
      <c r="D9" s="48">
        <f>IF(C9&lt;=0.01,0,IFERROR(-PMT(Calculadora!$C$7/12,Calculadora!$C$8,Calculadora!$C$6),0))</f>
        <v/>
      </c>
      <c r="E9" s="49">
        <f>IF(C9&lt;=0.01,0,ROUND(C9*Calculadora!$C$7/12,2))</f>
        <v/>
      </c>
      <c r="F9" s="48">
        <f>IF(C9&lt;=0.01,0,D9-E9)</f>
        <v/>
      </c>
      <c r="G9" s="48">
        <f>IF(C9&lt;=0.01,0,MAX(ROUND(C9-F9,2),0))</f>
        <v/>
      </c>
      <c r="H9" s="50">
        <f>IFERROR(IF(Calculadora!$C$6&gt;0,1-(G9/Calculadora!$C$6),0),0)</f>
        <v/>
      </c>
    </row>
    <row r="10" ht="18" customHeight="1">
      <c r="A10" s="46" t="n">
        <v>6</v>
      </c>
      <c r="B10" s="47">
        <f>IFERROR(IF(C10&lt;=0.01,"",EDATE(B9,1)),"")</f>
        <v/>
      </c>
      <c r="C10" s="48">
        <f>IF(G9&lt;=0.01,0,G9)</f>
        <v/>
      </c>
      <c r="D10" s="48">
        <f>IF(C10&lt;=0.01,0,IFERROR(-PMT(Calculadora!$C$7/12,Calculadora!$C$8,Calculadora!$C$6),0))</f>
        <v/>
      </c>
      <c r="E10" s="49">
        <f>IF(C10&lt;=0.01,0,ROUND(C10*Calculadora!$C$7/12,2))</f>
        <v/>
      </c>
      <c r="F10" s="48">
        <f>IF(C10&lt;=0.01,0,D10-E10)</f>
        <v/>
      </c>
      <c r="G10" s="48">
        <f>IF(C10&lt;=0.01,0,MAX(ROUND(C10-F10,2),0))</f>
        <v/>
      </c>
      <c r="H10" s="50">
        <f>IFERROR(IF(Calculadora!$C$6&gt;0,1-(G10/Calculadora!$C$6),0),0)</f>
        <v/>
      </c>
    </row>
    <row r="11" ht="18" customHeight="1">
      <c r="A11" s="46" t="n">
        <v>7</v>
      </c>
      <c r="B11" s="47">
        <f>IFERROR(IF(C11&lt;=0.01,"",EDATE(B10,1)),"")</f>
        <v/>
      </c>
      <c r="C11" s="48">
        <f>IF(G10&lt;=0.01,0,G10)</f>
        <v/>
      </c>
      <c r="D11" s="48">
        <f>IF(C11&lt;=0.01,0,IFERROR(-PMT(Calculadora!$C$7/12,Calculadora!$C$8,Calculadora!$C$6),0))</f>
        <v/>
      </c>
      <c r="E11" s="49">
        <f>IF(C11&lt;=0.01,0,ROUND(C11*Calculadora!$C$7/12,2))</f>
        <v/>
      </c>
      <c r="F11" s="48">
        <f>IF(C11&lt;=0.01,0,D11-E11)</f>
        <v/>
      </c>
      <c r="G11" s="48">
        <f>IF(C11&lt;=0.01,0,MAX(ROUND(C11-F11,2),0))</f>
        <v/>
      </c>
      <c r="H11" s="50">
        <f>IFERROR(IF(Calculadora!$C$6&gt;0,1-(G11/Calculadora!$C$6),0),0)</f>
        <v/>
      </c>
    </row>
    <row r="12" ht="18" customHeight="1">
      <c r="A12" s="46" t="n">
        <v>8</v>
      </c>
      <c r="B12" s="47">
        <f>IFERROR(IF(C12&lt;=0.01,"",EDATE(B11,1)),"")</f>
        <v/>
      </c>
      <c r="C12" s="48">
        <f>IF(G11&lt;=0.01,0,G11)</f>
        <v/>
      </c>
      <c r="D12" s="48">
        <f>IF(C12&lt;=0.01,0,IFERROR(-PMT(Calculadora!$C$7/12,Calculadora!$C$8,Calculadora!$C$6),0))</f>
        <v/>
      </c>
      <c r="E12" s="49">
        <f>IF(C12&lt;=0.01,0,ROUND(C12*Calculadora!$C$7/12,2))</f>
        <v/>
      </c>
      <c r="F12" s="48">
        <f>IF(C12&lt;=0.01,0,D12-E12)</f>
        <v/>
      </c>
      <c r="G12" s="48">
        <f>IF(C12&lt;=0.01,0,MAX(ROUND(C12-F12,2),0))</f>
        <v/>
      </c>
      <c r="H12" s="50">
        <f>IFERROR(IF(Calculadora!$C$6&gt;0,1-(G12/Calculadora!$C$6),0),0)</f>
        <v/>
      </c>
    </row>
    <row r="13" ht="18" customHeight="1">
      <c r="A13" s="46" t="n">
        <v>9</v>
      </c>
      <c r="B13" s="47">
        <f>IFERROR(IF(C13&lt;=0.01,"",EDATE(B12,1)),"")</f>
        <v/>
      </c>
      <c r="C13" s="48">
        <f>IF(G12&lt;=0.01,0,G12)</f>
        <v/>
      </c>
      <c r="D13" s="48">
        <f>IF(C13&lt;=0.01,0,IFERROR(-PMT(Calculadora!$C$7/12,Calculadora!$C$8,Calculadora!$C$6),0))</f>
        <v/>
      </c>
      <c r="E13" s="49">
        <f>IF(C13&lt;=0.01,0,ROUND(C13*Calculadora!$C$7/12,2))</f>
        <v/>
      </c>
      <c r="F13" s="48">
        <f>IF(C13&lt;=0.01,0,D13-E13)</f>
        <v/>
      </c>
      <c r="G13" s="48">
        <f>IF(C13&lt;=0.01,0,MAX(ROUND(C13-F13,2),0))</f>
        <v/>
      </c>
      <c r="H13" s="50">
        <f>IFERROR(IF(Calculadora!$C$6&gt;0,1-(G13/Calculadora!$C$6),0),0)</f>
        <v/>
      </c>
    </row>
    <row r="14" ht="18" customHeight="1">
      <c r="A14" s="46" t="n">
        <v>10</v>
      </c>
      <c r="B14" s="47">
        <f>IFERROR(IF(C14&lt;=0.01,"",EDATE(B13,1)),"")</f>
        <v/>
      </c>
      <c r="C14" s="48">
        <f>IF(G13&lt;=0.01,0,G13)</f>
        <v/>
      </c>
      <c r="D14" s="48">
        <f>IF(C14&lt;=0.01,0,IFERROR(-PMT(Calculadora!$C$7/12,Calculadora!$C$8,Calculadora!$C$6),0))</f>
        <v/>
      </c>
      <c r="E14" s="49">
        <f>IF(C14&lt;=0.01,0,ROUND(C14*Calculadora!$C$7/12,2))</f>
        <v/>
      </c>
      <c r="F14" s="48">
        <f>IF(C14&lt;=0.01,0,D14-E14)</f>
        <v/>
      </c>
      <c r="G14" s="48">
        <f>IF(C14&lt;=0.01,0,MAX(ROUND(C14-F14,2),0))</f>
        <v/>
      </c>
      <c r="H14" s="50">
        <f>IFERROR(IF(Calculadora!$C$6&gt;0,1-(G14/Calculadora!$C$6),0),0)</f>
        <v/>
      </c>
    </row>
    <row r="15" ht="18" customHeight="1">
      <c r="A15" s="46" t="n">
        <v>11</v>
      </c>
      <c r="B15" s="47">
        <f>IFERROR(IF(C15&lt;=0.01,"",EDATE(B14,1)),"")</f>
        <v/>
      </c>
      <c r="C15" s="48">
        <f>IF(G14&lt;=0.01,0,G14)</f>
        <v/>
      </c>
      <c r="D15" s="48">
        <f>IF(C15&lt;=0.01,0,IFERROR(-PMT(Calculadora!$C$7/12,Calculadora!$C$8,Calculadora!$C$6),0))</f>
        <v/>
      </c>
      <c r="E15" s="49">
        <f>IF(C15&lt;=0.01,0,ROUND(C15*Calculadora!$C$7/12,2))</f>
        <v/>
      </c>
      <c r="F15" s="48">
        <f>IF(C15&lt;=0.01,0,D15-E15)</f>
        <v/>
      </c>
      <c r="G15" s="48">
        <f>IF(C15&lt;=0.01,0,MAX(ROUND(C15-F15,2),0))</f>
        <v/>
      </c>
      <c r="H15" s="50">
        <f>IFERROR(IF(Calculadora!$C$6&gt;0,1-(G15/Calculadora!$C$6),0),0)</f>
        <v/>
      </c>
    </row>
    <row r="16" ht="18" customHeight="1">
      <c r="A16" s="46" t="n">
        <v>12</v>
      </c>
      <c r="B16" s="47">
        <f>IFERROR(IF(C16&lt;=0.01,"",EDATE(B15,1)),"")</f>
        <v/>
      </c>
      <c r="C16" s="48">
        <f>IF(G15&lt;=0.01,0,G15)</f>
        <v/>
      </c>
      <c r="D16" s="48">
        <f>IF(C16&lt;=0.01,0,IFERROR(-PMT(Calculadora!$C$7/12,Calculadora!$C$8,Calculadora!$C$6),0))</f>
        <v/>
      </c>
      <c r="E16" s="49">
        <f>IF(C16&lt;=0.01,0,ROUND(C16*Calculadora!$C$7/12,2))</f>
        <v/>
      </c>
      <c r="F16" s="48">
        <f>IF(C16&lt;=0.01,0,D16-E16)</f>
        <v/>
      </c>
      <c r="G16" s="48">
        <f>IF(C16&lt;=0.01,0,MAX(ROUND(C16-F16,2),0))</f>
        <v/>
      </c>
      <c r="H16" s="50">
        <f>IFERROR(IF(Calculadora!$C$6&gt;0,1-(G16/Calculadora!$C$6),0),0)</f>
        <v/>
      </c>
    </row>
    <row r="17" ht="18" customHeight="1">
      <c r="A17" s="46" t="n">
        <v>13</v>
      </c>
      <c r="B17" s="47">
        <f>IFERROR(IF(C17&lt;=0.01,"",EDATE(B16,1)),"")</f>
        <v/>
      </c>
      <c r="C17" s="48">
        <f>IF(G16&lt;=0.01,0,G16)</f>
        <v/>
      </c>
      <c r="D17" s="48">
        <f>IF(C17&lt;=0.01,0,IFERROR(-PMT(Calculadora!$C$7/12,Calculadora!$C$8,Calculadora!$C$6),0))</f>
        <v/>
      </c>
      <c r="E17" s="49">
        <f>IF(C17&lt;=0.01,0,ROUND(C17*Calculadora!$C$7/12,2))</f>
        <v/>
      </c>
      <c r="F17" s="48">
        <f>IF(C17&lt;=0.01,0,D17-E17)</f>
        <v/>
      </c>
      <c r="G17" s="48">
        <f>IF(C17&lt;=0.01,0,MAX(ROUND(C17-F17,2),0))</f>
        <v/>
      </c>
      <c r="H17" s="50">
        <f>IFERROR(IF(Calculadora!$C$6&gt;0,1-(G17/Calculadora!$C$6),0),0)</f>
        <v/>
      </c>
    </row>
    <row r="18" ht="18" customHeight="1">
      <c r="A18" s="46" t="n">
        <v>14</v>
      </c>
      <c r="B18" s="47">
        <f>IFERROR(IF(C18&lt;=0.01,"",EDATE(B17,1)),"")</f>
        <v/>
      </c>
      <c r="C18" s="48">
        <f>IF(G17&lt;=0.01,0,G17)</f>
        <v/>
      </c>
      <c r="D18" s="48">
        <f>IF(C18&lt;=0.01,0,IFERROR(-PMT(Calculadora!$C$7/12,Calculadora!$C$8,Calculadora!$C$6),0))</f>
        <v/>
      </c>
      <c r="E18" s="49">
        <f>IF(C18&lt;=0.01,0,ROUND(C18*Calculadora!$C$7/12,2))</f>
        <v/>
      </c>
      <c r="F18" s="48">
        <f>IF(C18&lt;=0.01,0,D18-E18)</f>
        <v/>
      </c>
      <c r="G18" s="48">
        <f>IF(C18&lt;=0.01,0,MAX(ROUND(C18-F18,2),0))</f>
        <v/>
      </c>
      <c r="H18" s="50">
        <f>IFERROR(IF(Calculadora!$C$6&gt;0,1-(G18/Calculadora!$C$6),0),0)</f>
        <v/>
      </c>
    </row>
    <row r="19" ht="18" customHeight="1">
      <c r="A19" s="46" t="n">
        <v>15</v>
      </c>
      <c r="B19" s="47">
        <f>IFERROR(IF(C19&lt;=0.01,"",EDATE(B18,1)),"")</f>
        <v/>
      </c>
      <c r="C19" s="48">
        <f>IF(G18&lt;=0.01,0,G18)</f>
        <v/>
      </c>
      <c r="D19" s="48">
        <f>IF(C19&lt;=0.01,0,IFERROR(-PMT(Calculadora!$C$7/12,Calculadora!$C$8,Calculadora!$C$6),0))</f>
        <v/>
      </c>
      <c r="E19" s="49">
        <f>IF(C19&lt;=0.01,0,ROUND(C19*Calculadora!$C$7/12,2))</f>
        <v/>
      </c>
      <c r="F19" s="48">
        <f>IF(C19&lt;=0.01,0,D19-E19)</f>
        <v/>
      </c>
      <c r="G19" s="48">
        <f>IF(C19&lt;=0.01,0,MAX(ROUND(C19-F19,2),0))</f>
        <v/>
      </c>
      <c r="H19" s="50">
        <f>IFERROR(IF(Calculadora!$C$6&gt;0,1-(G19/Calculadora!$C$6),0),0)</f>
        <v/>
      </c>
    </row>
    <row r="20" ht="18" customHeight="1">
      <c r="A20" s="46" t="n">
        <v>16</v>
      </c>
      <c r="B20" s="47">
        <f>IFERROR(IF(C20&lt;=0.01,"",EDATE(B19,1)),"")</f>
        <v/>
      </c>
      <c r="C20" s="48">
        <f>IF(G19&lt;=0.01,0,G19)</f>
        <v/>
      </c>
      <c r="D20" s="48">
        <f>IF(C20&lt;=0.01,0,IFERROR(-PMT(Calculadora!$C$7/12,Calculadora!$C$8,Calculadora!$C$6),0))</f>
        <v/>
      </c>
      <c r="E20" s="49">
        <f>IF(C20&lt;=0.01,0,ROUND(C20*Calculadora!$C$7/12,2))</f>
        <v/>
      </c>
      <c r="F20" s="48">
        <f>IF(C20&lt;=0.01,0,D20-E20)</f>
        <v/>
      </c>
      <c r="G20" s="48">
        <f>IF(C20&lt;=0.01,0,MAX(ROUND(C20-F20,2),0))</f>
        <v/>
      </c>
      <c r="H20" s="50">
        <f>IFERROR(IF(Calculadora!$C$6&gt;0,1-(G20/Calculadora!$C$6),0),0)</f>
        <v/>
      </c>
    </row>
    <row r="21" ht="18" customHeight="1">
      <c r="A21" s="46" t="n">
        <v>17</v>
      </c>
      <c r="B21" s="47">
        <f>IFERROR(IF(C21&lt;=0.01,"",EDATE(B20,1)),"")</f>
        <v/>
      </c>
      <c r="C21" s="48">
        <f>IF(G20&lt;=0.01,0,G20)</f>
        <v/>
      </c>
      <c r="D21" s="48">
        <f>IF(C21&lt;=0.01,0,IFERROR(-PMT(Calculadora!$C$7/12,Calculadora!$C$8,Calculadora!$C$6),0))</f>
        <v/>
      </c>
      <c r="E21" s="49">
        <f>IF(C21&lt;=0.01,0,ROUND(C21*Calculadora!$C$7/12,2))</f>
        <v/>
      </c>
      <c r="F21" s="48">
        <f>IF(C21&lt;=0.01,0,D21-E21)</f>
        <v/>
      </c>
      <c r="G21" s="48">
        <f>IF(C21&lt;=0.01,0,MAX(ROUND(C21-F21,2),0))</f>
        <v/>
      </c>
      <c r="H21" s="50">
        <f>IFERROR(IF(Calculadora!$C$6&gt;0,1-(G21/Calculadora!$C$6),0),0)</f>
        <v/>
      </c>
    </row>
    <row r="22" ht="18" customHeight="1">
      <c r="A22" s="46" t="n">
        <v>18</v>
      </c>
      <c r="B22" s="47">
        <f>IFERROR(IF(C22&lt;=0.01,"",EDATE(B21,1)),"")</f>
        <v/>
      </c>
      <c r="C22" s="48">
        <f>IF(G21&lt;=0.01,0,G21)</f>
        <v/>
      </c>
      <c r="D22" s="48">
        <f>IF(C22&lt;=0.01,0,IFERROR(-PMT(Calculadora!$C$7/12,Calculadora!$C$8,Calculadora!$C$6),0))</f>
        <v/>
      </c>
      <c r="E22" s="49">
        <f>IF(C22&lt;=0.01,0,ROUND(C22*Calculadora!$C$7/12,2))</f>
        <v/>
      </c>
      <c r="F22" s="48">
        <f>IF(C22&lt;=0.01,0,D22-E22)</f>
        <v/>
      </c>
      <c r="G22" s="48">
        <f>IF(C22&lt;=0.01,0,MAX(ROUND(C22-F22,2),0))</f>
        <v/>
      </c>
      <c r="H22" s="50">
        <f>IFERROR(IF(Calculadora!$C$6&gt;0,1-(G22/Calculadora!$C$6),0),0)</f>
        <v/>
      </c>
    </row>
    <row r="23" ht="18" customHeight="1">
      <c r="A23" s="46" t="n">
        <v>19</v>
      </c>
      <c r="B23" s="47">
        <f>IFERROR(IF(C23&lt;=0.01,"",EDATE(B22,1)),"")</f>
        <v/>
      </c>
      <c r="C23" s="48">
        <f>IF(G22&lt;=0.01,0,G22)</f>
        <v/>
      </c>
      <c r="D23" s="48">
        <f>IF(C23&lt;=0.01,0,IFERROR(-PMT(Calculadora!$C$7/12,Calculadora!$C$8,Calculadora!$C$6),0))</f>
        <v/>
      </c>
      <c r="E23" s="49">
        <f>IF(C23&lt;=0.01,0,ROUND(C23*Calculadora!$C$7/12,2))</f>
        <v/>
      </c>
      <c r="F23" s="48">
        <f>IF(C23&lt;=0.01,0,D23-E23)</f>
        <v/>
      </c>
      <c r="G23" s="48">
        <f>IF(C23&lt;=0.01,0,MAX(ROUND(C23-F23,2),0))</f>
        <v/>
      </c>
      <c r="H23" s="50">
        <f>IFERROR(IF(Calculadora!$C$6&gt;0,1-(G23/Calculadora!$C$6),0),0)</f>
        <v/>
      </c>
    </row>
    <row r="24" ht="18" customHeight="1">
      <c r="A24" s="46" t="n">
        <v>20</v>
      </c>
      <c r="B24" s="47">
        <f>IFERROR(IF(C24&lt;=0.01,"",EDATE(B23,1)),"")</f>
        <v/>
      </c>
      <c r="C24" s="48">
        <f>IF(G23&lt;=0.01,0,G23)</f>
        <v/>
      </c>
      <c r="D24" s="48">
        <f>IF(C24&lt;=0.01,0,IFERROR(-PMT(Calculadora!$C$7/12,Calculadora!$C$8,Calculadora!$C$6),0))</f>
        <v/>
      </c>
      <c r="E24" s="49">
        <f>IF(C24&lt;=0.01,0,ROUND(C24*Calculadora!$C$7/12,2))</f>
        <v/>
      </c>
      <c r="F24" s="48">
        <f>IF(C24&lt;=0.01,0,D24-E24)</f>
        <v/>
      </c>
      <c r="G24" s="48">
        <f>IF(C24&lt;=0.01,0,MAX(ROUND(C24-F24,2),0))</f>
        <v/>
      </c>
      <c r="H24" s="50">
        <f>IFERROR(IF(Calculadora!$C$6&gt;0,1-(G24/Calculadora!$C$6),0),0)</f>
        <v/>
      </c>
    </row>
    <row r="25" ht="18" customHeight="1">
      <c r="A25" s="46" t="n">
        <v>21</v>
      </c>
      <c r="B25" s="47">
        <f>IFERROR(IF(C25&lt;=0.01,"",EDATE(B24,1)),"")</f>
        <v/>
      </c>
      <c r="C25" s="48">
        <f>IF(G24&lt;=0.01,0,G24)</f>
        <v/>
      </c>
      <c r="D25" s="48">
        <f>IF(C25&lt;=0.01,0,IFERROR(-PMT(Calculadora!$C$7/12,Calculadora!$C$8,Calculadora!$C$6),0))</f>
        <v/>
      </c>
      <c r="E25" s="49">
        <f>IF(C25&lt;=0.01,0,ROUND(C25*Calculadora!$C$7/12,2))</f>
        <v/>
      </c>
      <c r="F25" s="48">
        <f>IF(C25&lt;=0.01,0,D25-E25)</f>
        <v/>
      </c>
      <c r="G25" s="48">
        <f>IF(C25&lt;=0.01,0,MAX(ROUND(C25-F25,2),0))</f>
        <v/>
      </c>
      <c r="H25" s="50">
        <f>IFERROR(IF(Calculadora!$C$6&gt;0,1-(G25/Calculadora!$C$6),0),0)</f>
        <v/>
      </c>
    </row>
    <row r="26" ht="18" customHeight="1">
      <c r="A26" s="46" t="n">
        <v>22</v>
      </c>
      <c r="B26" s="47">
        <f>IFERROR(IF(C26&lt;=0.01,"",EDATE(B25,1)),"")</f>
        <v/>
      </c>
      <c r="C26" s="48">
        <f>IF(G25&lt;=0.01,0,G25)</f>
        <v/>
      </c>
      <c r="D26" s="48">
        <f>IF(C26&lt;=0.01,0,IFERROR(-PMT(Calculadora!$C$7/12,Calculadora!$C$8,Calculadora!$C$6),0))</f>
        <v/>
      </c>
      <c r="E26" s="49">
        <f>IF(C26&lt;=0.01,0,ROUND(C26*Calculadora!$C$7/12,2))</f>
        <v/>
      </c>
      <c r="F26" s="48">
        <f>IF(C26&lt;=0.01,0,D26-E26)</f>
        <v/>
      </c>
      <c r="G26" s="48">
        <f>IF(C26&lt;=0.01,0,MAX(ROUND(C26-F26,2),0))</f>
        <v/>
      </c>
      <c r="H26" s="50">
        <f>IFERROR(IF(Calculadora!$C$6&gt;0,1-(G26/Calculadora!$C$6),0),0)</f>
        <v/>
      </c>
    </row>
    <row r="27" ht="18" customHeight="1">
      <c r="A27" s="46" t="n">
        <v>23</v>
      </c>
      <c r="B27" s="47">
        <f>IFERROR(IF(C27&lt;=0.01,"",EDATE(B26,1)),"")</f>
        <v/>
      </c>
      <c r="C27" s="48">
        <f>IF(G26&lt;=0.01,0,G26)</f>
        <v/>
      </c>
      <c r="D27" s="48">
        <f>IF(C27&lt;=0.01,0,IFERROR(-PMT(Calculadora!$C$7/12,Calculadora!$C$8,Calculadora!$C$6),0))</f>
        <v/>
      </c>
      <c r="E27" s="49">
        <f>IF(C27&lt;=0.01,0,ROUND(C27*Calculadora!$C$7/12,2))</f>
        <v/>
      </c>
      <c r="F27" s="48">
        <f>IF(C27&lt;=0.01,0,D27-E27)</f>
        <v/>
      </c>
      <c r="G27" s="48">
        <f>IF(C27&lt;=0.01,0,MAX(ROUND(C27-F27,2),0))</f>
        <v/>
      </c>
      <c r="H27" s="50">
        <f>IFERROR(IF(Calculadora!$C$6&gt;0,1-(G27/Calculadora!$C$6),0),0)</f>
        <v/>
      </c>
    </row>
    <row r="28" ht="18" customHeight="1">
      <c r="A28" s="46" t="n">
        <v>24</v>
      </c>
      <c r="B28" s="47">
        <f>IFERROR(IF(C28&lt;=0.01,"",EDATE(B27,1)),"")</f>
        <v/>
      </c>
      <c r="C28" s="48">
        <f>IF(G27&lt;=0.01,0,G27)</f>
        <v/>
      </c>
      <c r="D28" s="48">
        <f>IF(C28&lt;=0.01,0,IFERROR(-PMT(Calculadora!$C$7/12,Calculadora!$C$8,Calculadora!$C$6),0))</f>
        <v/>
      </c>
      <c r="E28" s="49">
        <f>IF(C28&lt;=0.01,0,ROUND(C28*Calculadora!$C$7/12,2))</f>
        <v/>
      </c>
      <c r="F28" s="48">
        <f>IF(C28&lt;=0.01,0,D28-E28)</f>
        <v/>
      </c>
      <c r="G28" s="48">
        <f>IF(C28&lt;=0.01,0,MAX(ROUND(C28-F28,2),0))</f>
        <v/>
      </c>
      <c r="H28" s="50">
        <f>IFERROR(IF(Calculadora!$C$6&gt;0,1-(G28/Calculadora!$C$6),0),0)</f>
        <v/>
      </c>
    </row>
    <row r="29" ht="18" customHeight="1">
      <c r="A29" s="46" t="n">
        <v>25</v>
      </c>
      <c r="B29" s="47">
        <f>IFERROR(IF(C29&lt;=0.01,"",EDATE(B28,1)),"")</f>
        <v/>
      </c>
      <c r="C29" s="48">
        <f>IF(G28&lt;=0.01,0,G28)</f>
        <v/>
      </c>
      <c r="D29" s="48">
        <f>IF(C29&lt;=0.01,0,IFERROR(-PMT(Calculadora!$C$7/12,Calculadora!$C$8,Calculadora!$C$6),0))</f>
        <v/>
      </c>
      <c r="E29" s="49">
        <f>IF(C29&lt;=0.01,0,ROUND(C29*Calculadora!$C$7/12,2))</f>
        <v/>
      </c>
      <c r="F29" s="48">
        <f>IF(C29&lt;=0.01,0,D29-E29)</f>
        <v/>
      </c>
      <c r="G29" s="48">
        <f>IF(C29&lt;=0.01,0,MAX(ROUND(C29-F29,2),0))</f>
        <v/>
      </c>
      <c r="H29" s="50">
        <f>IFERROR(IF(Calculadora!$C$6&gt;0,1-(G29/Calculadora!$C$6),0),0)</f>
        <v/>
      </c>
    </row>
    <row r="30" ht="18" customHeight="1">
      <c r="A30" s="46" t="n">
        <v>26</v>
      </c>
      <c r="B30" s="47">
        <f>IFERROR(IF(C30&lt;=0.01,"",EDATE(B29,1)),"")</f>
        <v/>
      </c>
      <c r="C30" s="48">
        <f>IF(G29&lt;=0.01,0,G29)</f>
        <v/>
      </c>
      <c r="D30" s="48">
        <f>IF(C30&lt;=0.01,0,IFERROR(-PMT(Calculadora!$C$7/12,Calculadora!$C$8,Calculadora!$C$6),0))</f>
        <v/>
      </c>
      <c r="E30" s="49">
        <f>IF(C30&lt;=0.01,0,ROUND(C30*Calculadora!$C$7/12,2))</f>
        <v/>
      </c>
      <c r="F30" s="48">
        <f>IF(C30&lt;=0.01,0,D30-E30)</f>
        <v/>
      </c>
      <c r="G30" s="48">
        <f>IF(C30&lt;=0.01,0,MAX(ROUND(C30-F30,2),0))</f>
        <v/>
      </c>
      <c r="H30" s="50">
        <f>IFERROR(IF(Calculadora!$C$6&gt;0,1-(G30/Calculadora!$C$6),0),0)</f>
        <v/>
      </c>
    </row>
    <row r="31" ht="18" customHeight="1">
      <c r="A31" s="46" t="n">
        <v>27</v>
      </c>
      <c r="B31" s="47">
        <f>IFERROR(IF(C31&lt;=0.01,"",EDATE(B30,1)),"")</f>
        <v/>
      </c>
      <c r="C31" s="48">
        <f>IF(G30&lt;=0.01,0,G30)</f>
        <v/>
      </c>
      <c r="D31" s="48">
        <f>IF(C31&lt;=0.01,0,IFERROR(-PMT(Calculadora!$C$7/12,Calculadora!$C$8,Calculadora!$C$6),0))</f>
        <v/>
      </c>
      <c r="E31" s="49">
        <f>IF(C31&lt;=0.01,0,ROUND(C31*Calculadora!$C$7/12,2))</f>
        <v/>
      </c>
      <c r="F31" s="48">
        <f>IF(C31&lt;=0.01,0,D31-E31)</f>
        <v/>
      </c>
      <c r="G31" s="48">
        <f>IF(C31&lt;=0.01,0,MAX(ROUND(C31-F31,2),0))</f>
        <v/>
      </c>
      <c r="H31" s="50">
        <f>IFERROR(IF(Calculadora!$C$6&gt;0,1-(G31/Calculadora!$C$6),0),0)</f>
        <v/>
      </c>
    </row>
    <row r="32" ht="18" customHeight="1">
      <c r="A32" s="46" t="n">
        <v>28</v>
      </c>
      <c r="B32" s="47">
        <f>IFERROR(IF(C32&lt;=0.01,"",EDATE(B31,1)),"")</f>
        <v/>
      </c>
      <c r="C32" s="48">
        <f>IF(G31&lt;=0.01,0,G31)</f>
        <v/>
      </c>
      <c r="D32" s="48">
        <f>IF(C32&lt;=0.01,0,IFERROR(-PMT(Calculadora!$C$7/12,Calculadora!$C$8,Calculadora!$C$6),0))</f>
        <v/>
      </c>
      <c r="E32" s="49">
        <f>IF(C32&lt;=0.01,0,ROUND(C32*Calculadora!$C$7/12,2))</f>
        <v/>
      </c>
      <c r="F32" s="48">
        <f>IF(C32&lt;=0.01,0,D32-E32)</f>
        <v/>
      </c>
      <c r="G32" s="48">
        <f>IF(C32&lt;=0.01,0,MAX(ROUND(C32-F32,2),0))</f>
        <v/>
      </c>
      <c r="H32" s="50">
        <f>IFERROR(IF(Calculadora!$C$6&gt;0,1-(G32/Calculadora!$C$6),0),0)</f>
        <v/>
      </c>
    </row>
    <row r="33" ht="18" customHeight="1">
      <c r="A33" s="46" t="n">
        <v>29</v>
      </c>
      <c r="B33" s="47">
        <f>IFERROR(IF(C33&lt;=0.01,"",EDATE(B32,1)),"")</f>
        <v/>
      </c>
      <c r="C33" s="48">
        <f>IF(G32&lt;=0.01,0,G32)</f>
        <v/>
      </c>
      <c r="D33" s="48">
        <f>IF(C33&lt;=0.01,0,IFERROR(-PMT(Calculadora!$C$7/12,Calculadora!$C$8,Calculadora!$C$6),0))</f>
        <v/>
      </c>
      <c r="E33" s="49">
        <f>IF(C33&lt;=0.01,0,ROUND(C33*Calculadora!$C$7/12,2))</f>
        <v/>
      </c>
      <c r="F33" s="48">
        <f>IF(C33&lt;=0.01,0,D33-E33)</f>
        <v/>
      </c>
      <c r="G33" s="48">
        <f>IF(C33&lt;=0.01,0,MAX(ROUND(C33-F33,2),0))</f>
        <v/>
      </c>
      <c r="H33" s="50">
        <f>IFERROR(IF(Calculadora!$C$6&gt;0,1-(G33/Calculadora!$C$6),0),0)</f>
        <v/>
      </c>
    </row>
    <row r="34" ht="18" customHeight="1">
      <c r="A34" s="46" t="n">
        <v>30</v>
      </c>
      <c r="B34" s="47">
        <f>IFERROR(IF(C34&lt;=0.01,"",EDATE(B33,1)),"")</f>
        <v/>
      </c>
      <c r="C34" s="48">
        <f>IF(G33&lt;=0.01,0,G33)</f>
        <v/>
      </c>
      <c r="D34" s="48">
        <f>IF(C34&lt;=0.01,0,IFERROR(-PMT(Calculadora!$C$7/12,Calculadora!$C$8,Calculadora!$C$6),0))</f>
        <v/>
      </c>
      <c r="E34" s="49">
        <f>IF(C34&lt;=0.01,0,ROUND(C34*Calculadora!$C$7/12,2))</f>
        <v/>
      </c>
      <c r="F34" s="48">
        <f>IF(C34&lt;=0.01,0,D34-E34)</f>
        <v/>
      </c>
      <c r="G34" s="48">
        <f>IF(C34&lt;=0.01,0,MAX(ROUND(C34-F34,2),0))</f>
        <v/>
      </c>
      <c r="H34" s="50">
        <f>IFERROR(IF(Calculadora!$C$6&gt;0,1-(G34/Calculadora!$C$6),0),0)</f>
        <v/>
      </c>
    </row>
    <row r="35" ht="18" customHeight="1">
      <c r="A35" s="46" t="n">
        <v>31</v>
      </c>
      <c r="B35" s="47">
        <f>IFERROR(IF(C35&lt;=0.01,"",EDATE(B34,1)),"")</f>
        <v/>
      </c>
      <c r="C35" s="48">
        <f>IF(G34&lt;=0.01,0,G34)</f>
        <v/>
      </c>
      <c r="D35" s="48">
        <f>IF(C35&lt;=0.01,0,IFERROR(-PMT(Calculadora!$C$7/12,Calculadora!$C$8,Calculadora!$C$6),0))</f>
        <v/>
      </c>
      <c r="E35" s="49">
        <f>IF(C35&lt;=0.01,0,ROUND(C35*Calculadora!$C$7/12,2))</f>
        <v/>
      </c>
      <c r="F35" s="48">
        <f>IF(C35&lt;=0.01,0,D35-E35)</f>
        <v/>
      </c>
      <c r="G35" s="48">
        <f>IF(C35&lt;=0.01,0,MAX(ROUND(C35-F35,2),0))</f>
        <v/>
      </c>
      <c r="H35" s="50">
        <f>IFERROR(IF(Calculadora!$C$6&gt;0,1-(G35/Calculadora!$C$6),0),0)</f>
        <v/>
      </c>
    </row>
    <row r="36" ht="18" customHeight="1">
      <c r="A36" s="46" t="n">
        <v>32</v>
      </c>
      <c r="B36" s="47">
        <f>IFERROR(IF(C36&lt;=0.01,"",EDATE(B35,1)),"")</f>
        <v/>
      </c>
      <c r="C36" s="48">
        <f>IF(G35&lt;=0.01,0,G35)</f>
        <v/>
      </c>
      <c r="D36" s="48">
        <f>IF(C36&lt;=0.01,0,IFERROR(-PMT(Calculadora!$C$7/12,Calculadora!$C$8,Calculadora!$C$6),0))</f>
        <v/>
      </c>
      <c r="E36" s="49">
        <f>IF(C36&lt;=0.01,0,ROUND(C36*Calculadora!$C$7/12,2))</f>
        <v/>
      </c>
      <c r="F36" s="48">
        <f>IF(C36&lt;=0.01,0,D36-E36)</f>
        <v/>
      </c>
      <c r="G36" s="48">
        <f>IF(C36&lt;=0.01,0,MAX(ROUND(C36-F36,2),0))</f>
        <v/>
      </c>
      <c r="H36" s="50">
        <f>IFERROR(IF(Calculadora!$C$6&gt;0,1-(G36/Calculadora!$C$6),0),0)</f>
        <v/>
      </c>
    </row>
    <row r="37" ht="18" customHeight="1">
      <c r="A37" s="46" t="n">
        <v>33</v>
      </c>
      <c r="B37" s="47">
        <f>IFERROR(IF(C37&lt;=0.01,"",EDATE(B36,1)),"")</f>
        <v/>
      </c>
      <c r="C37" s="48">
        <f>IF(G36&lt;=0.01,0,G36)</f>
        <v/>
      </c>
      <c r="D37" s="48">
        <f>IF(C37&lt;=0.01,0,IFERROR(-PMT(Calculadora!$C$7/12,Calculadora!$C$8,Calculadora!$C$6),0))</f>
        <v/>
      </c>
      <c r="E37" s="49">
        <f>IF(C37&lt;=0.01,0,ROUND(C37*Calculadora!$C$7/12,2))</f>
        <v/>
      </c>
      <c r="F37" s="48">
        <f>IF(C37&lt;=0.01,0,D37-E37)</f>
        <v/>
      </c>
      <c r="G37" s="48">
        <f>IF(C37&lt;=0.01,0,MAX(ROUND(C37-F37,2),0))</f>
        <v/>
      </c>
      <c r="H37" s="50">
        <f>IFERROR(IF(Calculadora!$C$6&gt;0,1-(G37/Calculadora!$C$6),0),0)</f>
        <v/>
      </c>
    </row>
    <row r="38" ht="18" customHeight="1">
      <c r="A38" s="46" t="n">
        <v>34</v>
      </c>
      <c r="B38" s="47">
        <f>IFERROR(IF(C38&lt;=0.01,"",EDATE(B37,1)),"")</f>
        <v/>
      </c>
      <c r="C38" s="48">
        <f>IF(G37&lt;=0.01,0,G37)</f>
        <v/>
      </c>
      <c r="D38" s="48">
        <f>IF(C38&lt;=0.01,0,IFERROR(-PMT(Calculadora!$C$7/12,Calculadora!$C$8,Calculadora!$C$6),0))</f>
        <v/>
      </c>
      <c r="E38" s="49">
        <f>IF(C38&lt;=0.01,0,ROUND(C38*Calculadora!$C$7/12,2))</f>
        <v/>
      </c>
      <c r="F38" s="48">
        <f>IF(C38&lt;=0.01,0,D38-E38)</f>
        <v/>
      </c>
      <c r="G38" s="48">
        <f>IF(C38&lt;=0.01,0,MAX(ROUND(C38-F38,2),0))</f>
        <v/>
      </c>
      <c r="H38" s="50">
        <f>IFERROR(IF(Calculadora!$C$6&gt;0,1-(G38/Calculadora!$C$6),0),0)</f>
        <v/>
      </c>
    </row>
    <row r="39" ht="18" customHeight="1">
      <c r="A39" s="46" t="n">
        <v>35</v>
      </c>
      <c r="B39" s="47">
        <f>IFERROR(IF(C39&lt;=0.01,"",EDATE(B38,1)),"")</f>
        <v/>
      </c>
      <c r="C39" s="48">
        <f>IF(G38&lt;=0.01,0,G38)</f>
        <v/>
      </c>
      <c r="D39" s="48">
        <f>IF(C39&lt;=0.01,0,IFERROR(-PMT(Calculadora!$C$7/12,Calculadora!$C$8,Calculadora!$C$6),0))</f>
        <v/>
      </c>
      <c r="E39" s="49">
        <f>IF(C39&lt;=0.01,0,ROUND(C39*Calculadora!$C$7/12,2))</f>
        <v/>
      </c>
      <c r="F39" s="48">
        <f>IF(C39&lt;=0.01,0,D39-E39)</f>
        <v/>
      </c>
      <c r="G39" s="48">
        <f>IF(C39&lt;=0.01,0,MAX(ROUND(C39-F39,2),0))</f>
        <v/>
      </c>
      <c r="H39" s="50">
        <f>IFERROR(IF(Calculadora!$C$6&gt;0,1-(G39/Calculadora!$C$6),0),0)</f>
        <v/>
      </c>
    </row>
    <row r="40" ht="18" customHeight="1">
      <c r="A40" s="46" t="n">
        <v>36</v>
      </c>
      <c r="B40" s="47">
        <f>IFERROR(IF(C40&lt;=0.01,"",EDATE(B39,1)),"")</f>
        <v/>
      </c>
      <c r="C40" s="48">
        <f>IF(G39&lt;=0.01,0,G39)</f>
        <v/>
      </c>
      <c r="D40" s="48">
        <f>IF(C40&lt;=0.01,0,IFERROR(-PMT(Calculadora!$C$7/12,Calculadora!$C$8,Calculadora!$C$6),0))</f>
        <v/>
      </c>
      <c r="E40" s="49">
        <f>IF(C40&lt;=0.01,0,ROUND(C40*Calculadora!$C$7/12,2))</f>
        <v/>
      </c>
      <c r="F40" s="48">
        <f>IF(C40&lt;=0.01,0,D40-E40)</f>
        <v/>
      </c>
      <c r="G40" s="48">
        <f>IF(C40&lt;=0.01,0,MAX(ROUND(C40-F40,2),0))</f>
        <v/>
      </c>
      <c r="H40" s="50">
        <f>IFERROR(IF(Calculadora!$C$6&gt;0,1-(G40/Calculadora!$C$6),0),0)</f>
        <v/>
      </c>
    </row>
    <row r="41" ht="18" customHeight="1">
      <c r="A41" s="46" t="n">
        <v>37</v>
      </c>
      <c r="B41" s="47">
        <f>IFERROR(IF(C41&lt;=0.01,"",EDATE(B40,1)),"")</f>
        <v/>
      </c>
      <c r="C41" s="48">
        <f>IF(G40&lt;=0.01,0,G40)</f>
        <v/>
      </c>
      <c r="D41" s="48">
        <f>IF(C41&lt;=0.01,0,IFERROR(-PMT(Calculadora!$C$7/12,Calculadora!$C$8,Calculadora!$C$6),0))</f>
        <v/>
      </c>
      <c r="E41" s="49">
        <f>IF(C41&lt;=0.01,0,ROUND(C41*Calculadora!$C$7/12,2))</f>
        <v/>
      </c>
      <c r="F41" s="48">
        <f>IF(C41&lt;=0.01,0,D41-E41)</f>
        <v/>
      </c>
      <c r="G41" s="48">
        <f>IF(C41&lt;=0.01,0,MAX(ROUND(C41-F41,2),0))</f>
        <v/>
      </c>
      <c r="H41" s="50">
        <f>IFERROR(IF(Calculadora!$C$6&gt;0,1-(G41/Calculadora!$C$6),0),0)</f>
        <v/>
      </c>
    </row>
    <row r="42" ht="18" customHeight="1">
      <c r="A42" s="46" t="n">
        <v>38</v>
      </c>
      <c r="B42" s="47">
        <f>IFERROR(IF(C42&lt;=0.01,"",EDATE(B41,1)),"")</f>
        <v/>
      </c>
      <c r="C42" s="48">
        <f>IF(G41&lt;=0.01,0,G41)</f>
        <v/>
      </c>
      <c r="D42" s="48">
        <f>IF(C42&lt;=0.01,0,IFERROR(-PMT(Calculadora!$C$7/12,Calculadora!$C$8,Calculadora!$C$6),0))</f>
        <v/>
      </c>
      <c r="E42" s="49">
        <f>IF(C42&lt;=0.01,0,ROUND(C42*Calculadora!$C$7/12,2))</f>
        <v/>
      </c>
      <c r="F42" s="48">
        <f>IF(C42&lt;=0.01,0,D42-E42)</f>
        <v/>
      </c>
      <c r="G42" s="48">
        <f>IF(C42&lt;=0.01,0,MAX(ROUND(C42-F42,2),0))</f>
        <v/>
      </c>
      <c r="H42" s="50">
        <f>IFERROR(IF(Calculadora!$C$6&gt;0,1-(G42/Calculadora!$C$6),0),0)</f>
        <v/>
      </c>
    </row>
    <row r="43" ht="18" customHeight="1">
      <c r="A43" s="46" t="n">
        <v>39</v>
      </c>
      <c r="B43" s="47">
        <f>IFERROR(IF(C43&lt;=0.01,"",EDATE(B42,1)),"")</f>
        <v/>
      </c>
      <c r="C43" s="48">
        <f>IF(G42&lt;=0.01,0,G42)</f>
        <v/>
      </c>
      <c r="D43" s="48">
        <f>IF(C43&lt;=0.01,0,IFERROR(-PMT(Calculadora!$C$7/12,Calculadora!$C$8,Calculadora!$C$6),0))</f>
        <v/>
      </c>
      <c r="E43" s="49">
        <f>IF(C43&lt;=0.01,0,ROUND(C43*Calculadora!$C$7/12,2))</f>
        <v/>
      </c>
      <c r="F43" s="48">
        <f>IF(C43&lt;=0.01,0,D43-E43)</f>
        <v/>
      </c>
      <c r="G43" s="48">
        <f>IF(C43&lt;=0.01,0,MAX(ROUND(C43-F43,2),0))</f>
        <v/>
      </c>
      <c r="H43" s="50">
        <f>IFERROR(IF(Calculadora!$C$6&gt;0,1-(G43/Calculadora!$C$6),0),0)</f>
        <v/>
      </c>
    </row>
    <row r="44" ht="18" customHeight="1">
      <c r="A44" s="46" t="n">
        <v>40</v>
      </c>
      <c r="B44" s="47">
        <f>IFERROR(IF(C44&lt;=0.01,"",EDATE(B43,1)),"")</f>
        <v/>
      </c>
      <c r="C44" s="48">
        <f>IF(G43&lt;=0.01,0,G43)</f>
        <v/>
      </c>
      <c r="D44" s="48">
        <f>IF(C44&lt;=0.01,0,IFERROR(-PMT(Calculadora!$C$7/12,Calculadora!$C$8,Calculadora!$C$6),0))</f>
        <v/>
      </c>
      <c r="E44" s="49">
        <f>IF(C44&lt;=0.01,0,ROUND(C44*Calculadora!$C$7/12,2))</f>
        <v/>
      </c>
      <c r="F44" s="48">
        <f>IF(C44&lt;=0.01,0,D44-E44)</f>
        <v/>
      </c>
      <c r="G44" s="48">
        <f>IF(C44&lt;=0.01,0,MAX(ROUND(C44-F44,2),0))</f>
        <v/>
      </c>
      <c r="H44" s="50">
        <f>IFERROR(IF(Calculadora!$C$6&gt;0,1-(G44/Calculadora!$C$6),0),0)</f>
        <v/>
      </c>
    </row>
    <row r="45" ht="18" customHeight="1">
      <c r="A45" s="46" t="n">
        <v>41</v>
      </c>
      <c r="B45" s="47">
        <f>IFERROR(IF(C45&lt;=0.01,"",EDATE(B44,1)),"")</f>
        <v/>
      </c>
      <c r="C45" s="48">
        <f>IF(G44&lt;=0.01,0,G44)</f>
        <v/>
      </c>
      <c r="D45" s="48">
        <f>IF(C45&lt;=0.01,0,IFERROR(-PMT(Calculadora!$C$7/12,Calculadora!$C$8,Calculadora!$C$6),0))</f>
        <v/>
      </c>
      <c r="E45" s="49">
        <f>IF(C45&lt;=0.01,0,ROUND(C45*Calculadora!$C$7/12,2))</f>
        <v/>
      </c>
      <c r="F45" s="48">
        <f>IF(C45&lt;=0.01,0,D45-E45)</f>
        <v/>
      </c>
      <c r="G45" s="48">
        <f>IF(C45&lt;=0.01,0,MAX(ROUND(C45-F45,2),0))</f>
        <v/>
      </c>
      <c r="H45" s="50">
        <f>IFERROR(IF(Calculadora!$C$6&gt;0,1-(G45/Calculadora!$C$6),0),0)</f>
        <v/>
      </c>
    </row>
    <row r="46" ht="18" customHeight="1">
      <c r="A46" s="46" t="n">
        <v>42</v>
      </c>
      <c r="B46" s="47">
        <f>IFERROR(IF(C46&lt;=0.01,"",EDATE(B45,1)),"")</f>
        <v/>
      </c>
      <c r="C46" s="48">
        <f>IF(G45&lt;=0.01,0,G45)</f>
        <v/>
      </c>
      <c r="D46" s="48">
        <f>IF(C46&lt;=0.01,0,IFERROR(-PMT(Calculadora!$C$7/12,Calculadora!$C$8,Calculadora!$C$6),0))</f>
        <v/>
      </c>
      <c r="E46" s="49">
        <f>IF(C46&lt;=0.01,0,ROUND(C46*Calculadora!$C$7/12,2))</f>
        <v/>
      </c>
      <c r="F46" s="48">
        <f>IF(C46&lt;=0.01,0,D46-E46)</f>
        <v/>
      </c>
      <c r="G46" s="48">
        <f>IF(C46&lt;=0.01,0,MAX(ROUND(C46-F46,2),0))</f>
        <v/>
      </c>
      <c r="H46" s="50">
        <f>IFERROR(IF(Calculadora!$C$6&gt;0,1-(G46/Calculadora!$C$6),0),0)</f>
        <v/>
      </c>
    </row>
    <row r="47" ht="18" customHeight="1">
      <c r="A47" s="46" t="n">
        <v>43</v>
      </c>
      <c r="B47" s="47">
        <f>IFERROR(IF(C47&lt;=0.01,"",EDATE(B46,1)),"")</f>
        <v/>
      </c>
      <c r="C47" s="48">
        <f>IF(G46&lt;=0.01,0,G46)</f>
        <v/>
      </c>
      <c r="D47" s="48">
        <f>IF(C47&lt;=0.01,0,IFERROR(-PMT(Calculadora!$C$7/12,Calculadora!$C$8,Calculadora!$C$6),0))</f>
        <v/>
      </c>
      <c r="E47" s="49">
        <f>IF(C47&lt;=0.01,0,ROUND(C47*Calculadora!$C$7/12,2))</f>
        <v/>
      </c>
      <c r="F47" s="48">
        <f>IF(C47&lt;=0.01,0,D47-E47)</f>
        <v/>
      </c>
      <c r="G47" s="48">
        <f>IF(C47&lt;=0.01,0,MAX(ROUND(C47-F47,2),0))</f>
        <v/>
      </c>
      <c r="H47" s="50">
        <f>IFERROR(IF(Calculadora!$C$6&gt;0,1-(G47/Calculadora!$C$6),0),0)</f>
        <v/>
      </c>
    </row>
    <row r="48" ht="18" customHeight="1">
      <c r="A48" s="46" t="n">
        <v>44</v>
      </c>
      <c r="B48" s="47">
        <f>IFERROR(IF(C48&lt;=0.01,"",EDATE(B47,1)),"")</f>
        <v/>
      </c>
      <c r="C48" s="48">
        <f>IF(G47&lt;=0.01,0,G47)</f>
        <v/>
      </c>
      <c r="D48" s="48">
        <f>IF(C48&lt;=0.01,0,IFERROR(-PMT(Calculadora!$C$7/12,Calculadora!$C$8,Calculadora!$C$6),0))</f>
        <v/>
      </c>
      <c r="E48" s="49">
        <f>IF(C48&lt;=0.01,0,ROUND(C48*Calculadora!$C$7/12,2))</f>
        <v/>
      </c>
      <c r="F48" s="48">
        <f>IF(C48&lt;=0.01,0,D48-E48)</f>
        <v/>
      </c>
      <c r="G48" s="48">
        <f>IF(C48&lt;=0.01,0,MAX(ROUND(C48-F48,2),0))</f>
        <v/>
      </c>
      <c r="H48" s="50">
        <f>IFERROR(IF(Calculadora!$C$6&gt;0,1-(G48/Calculadora!$C$6),0),0)</f>
        <v/>
      </c>
    </row>
    <row r="49" ht="18" customHeight="1">
      <c r="A49" s="46" t="n">
        <v>45</v>
      </c>
      <c r="B49" s="47">
        <f>IFERROR(IF(C49&lt;=0.01,"",EDATE(B48,1)),"")</f>
        <v/>
      </c>
      <c r="C49" s="48">
        <f>IF(G48&lt;=0.01,0,G48)</f>
        <v/>
      </c>
      <c r="D49" s="48">
        <f>IF(C49&lt;=0.01,0,IFERROR(-PMT(Calculadora!$C$7/12,Calculadora!$C$8,Calculadora!$C$6),0))</f>
        <v/>
      </c>
      <c r="E49" s="49">
        <f>IF(C49&lt;=0.01,0,ROUND(C49*Calculadora!$C$7/12,2))</f>
        <v/>
      </c>
      <c r="F49" s="48">
        <f>IF(C49&lt;=0.01,0,D49-E49)</f>
        <v/>
      </c>
      <c r="G49" s="48">
        <f>IF(C49&lt;=0.01,0,MAX(ROUND(C49-F49,2),0))</f>
        <v/>
      </c>
      <c r="H49" s="50">
        <f>IFERROR(IF(Calculadora!$C$6&gt;0,1-(G49/Calculadora!$C$6),0),0)</f>
        <v/>
      </c>
    </row>
    <row r="50" ht="18" customHeight="1">
      <c r="A50" s="46" t="n">
        <v>46</v>
      </c>
      <c r="B50" s="47">
        <f>IFERROR(IF(C50&lt;=0.01,"",EDATE(B49,1)),"")</f>
        <v/>
      </c>
      <c r="C50" s="48">
        <f>IF(G49&lt;=0.01,0,G49)</f>
        <v/>
      </c>
      <c r="D50" s="48">
        <f>IF(C50&lt;=0.01,0,IFERROR(-PMT(Calculadora!$C$7/12,Calculadora!$C$8,Calculadora!$C$6),0))</f>
        <v/>
      </c>
      <c r="E50" s="49">
        <f>IF(C50&lt;=0.01,0,ROUND(C50*Calculadora!$C$7/12,2))</f>
        <v/>
      </c>
      <c r="F50" s="48">
        <f>IF(C50&lt;=0.01,0,D50-E50)</f>
        <v/>
      </c>
      <c r="G50" s="48">
        <f>IF(C50&lt;=0.01,0,MAX(ROUND(C50-F50,2),0))</f>
        <v/>
      </c>
      <c r="H50" s="50">
        <f>IFERROR(IF(Calculadora!$C$6&gt;0,1-(G50/Calculadora!$C$6),0),0)</f>
        <v/>
      </c>
    </row>
    <row r="51" ht="18" customHeight="1">
      <c r="A51" s="46" t="n">
        <v>47</v>
      </c>
      <c r="B51" s="47">
        <f>IFERROR(IF(C51&lt;=0.01,"",EDATE(B50,1)),"")</f>
        <v/>
      </c>
      <c r="C51" s="48">
        <f>IF(G50&lt;=0.01,0,G50)</f>
        <v/>
      </c>
      <c r="D51" s="48">
        <f>IF(C51&lt;=0.01,0,IFERROR(-PMT(Calculadora!$C$7/12,Calculadora!$C$8,Calculadora!$C$6),0))</f>
        <v/>
      </c>
      <c r="E51" s="49">
        <f>IF(C51&lt;=0.01,0,ROUND(C51*Calculadora!$C$7/12,2))</f>
        <v/>
      </c>
      <c r="F51" s="48">
        <f>IF(C51&lt;=0.01,0,D51-E51)</f>
        <v/>
      </c>
      <c r="G51" s="48">
        <f>IF(C51&lt;=0.01,0,MAX(ROUND(C51-F51,2),0))</f>
        <v/>
      </c>
      <c r="H51" s="50">
        <f>IFERROR(IF(Calculadora!$C$6&gt;0,1-(G51/Calculadora!$C$6),0),0)</f>
        <v/>
      </c>
    </row>
    <row r="52" ht="18" customHeight="1">
      <c r="A52" s="46" t="n">
        <v>48</v>
      </c>
      <c r="B52" s="47">
        <f>IFERROR(IF(C52&lt;=0.01,"",EDATE(B51,1)),"")</f>
        <v/>
      </c>
      <c r="C52" s="48">
        <f>IF(G51&lt;=0.01,0,G51)</f>
        <v/>
      </c>
      <c r="D52" s="48">
        <f>IF(C52&lt;=0.01,0,IFERROR(-PMT(Calculadora!$C$7/12,Calculadora!$C$8,Calculadora!$C$6),0))</f>
        <v/>
      </c>
      <c r="E52" s="49">
        <f>IF(C52&lt;=0.01,0,ROUND(C52*Calculadora!$C$7/12,2))</f>
        <v/>
      </c>
      <c r="F52" s="48">
        <f>IF(C52&lt;=0.01,0,D52-E52)</f>
        <v/>
      </c>
      <c r="G52" s="48">
        <f>IF(C52&lt;=0.01,0,MAX(ROUND(C52-F52,2),0))</f>
        <v/>
      </c>
      <c r="H52" s="50">
        <f>IFERROR(IF(Calculadora!$C$6&gt;0,1-(G52/Calculadora!$C$6),0),0)</f>
        <v/>
      </c>
    </row>
    <row r="53" ht="18" customHeight="1">
      <c r="A53" s="46" t="n">
        <v>49</v>
      </c>
      <c r="B53" s="47">
        <f>IFERROR(IF(C53&lt;=0.01,"",EDATE(B52,1)),"")</f>
        <v/>
      </c>
      <c r="C53" s="48">
        <f>IF(G52&lt;=0.01,0,G52)</f>
        <v/>
      </c>
      <c r="D53" s="48">
        <f>IF(C53&lt;=0.01,0,IFERROR(-PMT(Calculadora!$C$7/12,Calculadora!$C$8,Calculadora!$C$6),0))</f>
        <v/>
      </c>
      <c r="E53" s="49">
        <f>IF(C53&lt;=0.01,0,ROUND(C53*Calculadora!$C$7/12,2))</f>
        <v/>
      </c>
      <c r="F53" s="48">
        <f>IF(C53&lt;=0.01,0,D53-E53)</f>
        <v/>
      </c>
      <c r="G53" s="48">
        <f>IF(C53&lt;=0.01,0,MAX(ROUND(C53-F53,2),0))</f>
        <v/>
      </c>
      <c r="H53" s="50">
        <f>IFERROR(IF(Calculadora!$C$6&gt;0,1-(G53/Calculadora!$C$6),0),0)</f>
        <v/>
      </c>
    </row>
    <row r="54" ht="18" customHeight="1">
      <c r="A54" s="46" t="n">
        <v>50</v>
      </c>
      <c r="B54" s="47">
        <f>IFERROR(IF(C54&lt;=0.01,"",EDATE(B53,1)),"")</f>
        <v/>
      </c>
      <c r="C54" s="48">
        <f>IF(G53&lt;=0.01,0,G53)</f>
        <v/>
      </c>
      <c r="D54" s="48">
        <f>IF(C54&lt;=0.01,0,IFERROR(-PMT(Calculadora!$C$7/12,Calculadora!$C$8,Calculadora!$C$6),0))</f>
        <v/>
      </c>
      <c r="E54" s="49">
        <f>IF(C54&lt;=0.01,0,ROUND(C54*Calculadora!$C$7/12,2))</f>
        <v/>
      </c>
      <c r="F54" s="48">
        <f>IF(C54&lt;=0.01,0,D54-E54)</f>
        <v/>
      </c>
      <c r="G54" s="48">
        <f>IF(C54&lt;=0.01,0,MAX(ROUND(C54-F54,2),0))</f>
        <v/>
      </c>
      <c r="H54" s="50">
        <f>IFERROR(IF(Calculadora!$C$6&gt;0,1-(G54/Calculadora!$C$6),0),0)</f>
        <v/>
      </c>
    </row>
    <row r="55" ht="18" customHeight="1">
      <c r="A55" s="46" t="n">
        <v>51</v>
      </c>
      <c r="B55" s="47">
        <f>IFERROR(IF(C55&lt;=0.01,"",EDATE(B54,1)),"")</f>
        <v/>
      </c>
      <c r="C55" s="48">
        <f>IF(G54&lt;=0.01,0,G54)</f>
        <v/>
      </c>
      <c r="D55" s="48">
        <f>IF(C55&lt;=0.01,0,IFERROR(-PMT(Calculadora!$C$7/12,Calculadora!$C$8,Calculadora!$C$6),0))</f>
        <v/>
      </c>
      <c r="E55" s="49">
        <f>IF(C55&lt;=0.01,0,ROUND(C55*Calculadora!$C$7/12,2))</f>
        <v/>
      </c>
      <c r="F55" s="48">
        <f>IF(C55&lt;=0.01,0,D55-E55)</f>
        <v/>
      </c>
      <c r="G55" s="48">
        <f>IF(C55&lt;=0.01,0,MAX(ROUND(C55-F55,2),0))</f>
        <v/>
      </c>
      <c r="H55" s="50">
        <f>IFERROR(IF(Calculadora!$C$6&gt;0,1-(G55/Calculadora!$C$6),0),0)</f>
        <v/>
      </c>
    </row>
    <row r="56" ht="18" customHeight="1">
      <c r="A56" s="46" t="n">
        <v>52</v>
      </c>
      <c r="B56" s="47">
        <f>IFERROR(IF(C56&lt;=0.01,"",EDATE(B55,1)),"")</f>
        <v/>
      </c>
      <c r="C56" s="48">
        <f>IF(G55&lt;=0.01,0,G55)</f>
        <v/>
      </c>
      <c r="D56" s="48">
        <f>IF(C56&lt;=0.01,0,IFERROR(-PMT(Calculadora!$C$7/12,Calculadora!$C$8,Calculadora!$C$6),0))</f>
        <v/>
      </c>
      <c r="E56" s="49">
        <f>IF(C56&lt;=0.01,0,ROUND(C56*Calculadora!$C$7/12,2))</f>
        <v/>
      </c>
      <c r="F56" s="48">
        <f>IF(C56&lt;=0.01,0,D56-E56)</f>
        <v/>
      </c>
      <c r="G56" s="48">
        <f>IF(C56&lt;=0.01,0,MAX(ROUND(C56-F56,2),0))</f>
        <v/>
      </c>
      <c r="H56" s="50">
        <f>IFERROR(IF(Calculadora!$C$6&gt;0,1-(G56/Calculadora!$C$6),0),0)</f>
        <v/>
      </c>
    </row>
    <row r="57" ht="18" customHeight="1">
      <c r="A57" s="46" t="n">
        <v>53</v>
      </c>
      <c r="B57" s="47">
        <f>IFERROR(IF(C57&lt;=0.01,"",EDATE(B56,1)),"")</f>
        <v/>
      </c>
      <c r="C57" s="48">
        <f>IF(G56&lt;=0.01,0,G56)</f>
        <v/>
      </c>
      <c r="D57" s="48">
        <f>IF(C57&lt;=0.01,0,IFERROR(-PMT(Calculadora!$C$7/12,Calculadora!$C$8,Calculadora!$C$6),0))</f>
        <v/>
      </c>
      <c r="E57" s="49">
        <f>IF(C57&lt;=0.01,0,ROUND(C57*Calculadora!$C$7/12,2))</f>
        <v/>
      </c>
      <c r="F57" s="48">
        <f>IF(C57&lt;=0.01,0,D57-E57)</f>
        <v/>
      </c>
      <c r="G57" s="48">
        <f>IF(C57&lt;=0.01,0,MAX(ROUND(C57-F57,2),0))</f>
        <v/>
      </c>
      <c r="H57" s="50">
        <f>IFERROR(IF(Calculadora!$C$6&gt;0,1-(G57/Calculadora!$C$6),0),0)</f>
        <v/>
      </c>
    </row>
    <row r="58" ht="18" customHeight="1">
      <c r="A58" s="46" t="n">
        <v>54</v>
      </c>
      <c r="B58" s="47">
        <f>IFERROR(IF(C58&lt;=0.01,"",EDATE(B57,1)),"")</f>
        <v/>
      </c>
      <c r="C58" s="48">
        <f>IF(G57&lt;=0.01,0,G57)</f>
        <v/>
      </c>
      <c r="D58" s="48">
        <f>IF(C58&lt;=0.01,0,IFERROR(-PMT(Calculadora!$C$7/12,Calculadora!$C$8,Calculadora!$C$6),0))</f>
        <v/>
      </c>
      <c r="E58" s="49">
        <f>IF(C58&lt;=0.01,0,ROUND(C58*Calculadora!$C$7/12,2))</f>
        <v/>
      </c>
      <c r="F58" s="48">
        <f>IF(C58&lt;=0.01,0,D58-E58)</f>
        <v/>
      </c>
      <c r="G58" s="48">
        <f>IF(C58&lt;=0.01,0,MAX(ROUND(C58-F58,2),0))</f>
        <v/>
      </c>
      <c r="H58" s="50">
        <f>IFERROR(IF(Calculadora!$C$6&gt;0,1-(G58/Calculadora!$C$6),0),0)</f>
        <v/>
      </c>
    </row>
    <row r="59" ht="18" customHeight="1">
      <c r="A59" s="46" t="n">
        <v>55</v>
      </c>
      <c r="B59" s="47">
        <f>IFERROR(IF(C59&lt;=0.01,"",EDATE(B58,1)),"")</f>
        <v/>
      </c>
      <c r="C59" s="48">
        <f>IF(G58&lt;=0.01,0,G58)</f>
        <v/>
      </c>
      <c r="D59" s="48">
        <f>IF(C59&lt;=0.01,0,IFERROR(-PMT(Calculadora!$C$7/12,Calculadora!$C$8,Calculadora!$C$6),0))</f>
        <v/>
      </c>
      <c r="E59" s="49">
        <f>IF(C59&lt;=0.01,0,ROUND(C59*Calculadora!$C$7/12,2))</f>
        <v/>
      </c>
      <c r="F59" s="48">
        <f>IF(C59&lt;=0.01,0,D59-E59)</f>
        <v/>
      </c>
      <c r="G59" s="48">
        <f>IF(C59&lt;=0.01,0,MAX(ROUND(C59-F59,2),0))</f>
        <v/>
      </c>
      <c r="H59" s="50">
        <f>IFERROR(IF(Calculadora!$C$6&gt;0,1-(G59/Calculadora!$C$6),0),0)</f>
        <v/>
      </c>
    </row>
    <row r="60" ht="18" customHeight="1">
      <c r="A60" s="46" t="n">
        <v>56</v>
      </c>
      <c r="B60" s="47">
        <f>IFERROR(IF(C60&lt;=0.01,"",EDATE(B59,1)),"")</f>
        <v/>
      </c>
      <c r="C60" s="48">
        <f>IF(G59&lt;=0.01,0,G59)</f>
        <v/>
      </c>
      <c r="D60" s="48">
        <f>IF(C60&lt;=0.01,0,IFERROR(-PMT(Calculadora!$C$7/12,Calculadora!$C$8,Calculadora!$C$6),0))</f>
        <v/>
      </c>
      <c r="E60" s="49">
        <f>IF(C60&lt;=0.01,0,ROUND(C60*Calculadora!$C$7/12,2))</f>
        <v/>
      </c>
      <c r="F60" s="48">
        <f>IF(C60&lt;=0.01,0,D60-E60)</f>
        <v/>
      </c>
      <c r="G60" s="48">
        <f>IF(C60&lt;=0.01,0,MAX(ROUND(C60-F60,2),0))</f>
        <v/>
      </c>
      <c r="H60" s="50">
        <f>IFERROR(IF(Calculadora!$C$6&gt;0,1-(G60/Calculadora!$C$6),0),0)</f>
        <v/>
      </c>
    </row>
    <row r="61" ht="18" customHeight="1">
      <c r="A61" s="46" t="n">
        <v>57</v>
      </c>
      <c r="B61" s="47">
        <f>IFERROR(IF(C61&lt;=0.01,"",EDATE(B60,1)),"")</f>
        <v/>
      </c>
      <c r="C61" s="48">
        <f>IF(G60&lt;=0.01,0,G60)</f>
        <v/>
      </c>
      <c r="D61" s="48">
        <f>IF(C61&lt;=0.01,0,IFERROR(-PMT(Calculadora!$C$7/12,Calculadora!$C$8,Calculadora!$C$6),0))</f>
        <v/>
      </c>
      <c r="E61" s="49">
        <f>IF(C61&lt;=0.01,0,ROUND(C61*Calculadora!$C$7/12,2))</f>
        <v/>
      </c>
      <c r="F61" s="48">
        <f>IF(C61&lt;=0.01,0,D61-E61)</f>
        <v/>
      </c>
      <c r="G61" s="48">
        <f>IF(C61&lt;=0.01,0,MAX(ROUND(C61-F61,2),0))</f>
        <v/>
      </c>
      <c r="H61" s="50">
        <f>IFERROR(IF(Calculadora!$C$6&gt;0,1-(G61/Calculadora!$C$6),0),0)</f>
        <v/>
      </c>
    </row>
    <row r="62" ht="18" customHeight="1">
      <c r="A62" s="46" t="n">
        <v>58</v>
      </c>
      <c r="B62" s="47">
        <f>IFERROR(IF(C62&lt;=0.01,"",EDATE(B61,1)),"")</f>
        <v/>
      </c>
      <c r="C62" s="48">
        <f>IF(G61&lt;=0.01,0,G61)</f>
        <v/>
      </c>
      <c r="D62" s="48">
        <f>IF(C62&lt;=0.01,0,IFERROR(-PMT(Calculadora!$C$7/12,Calculadora!$C$8,Calculadora!$C$6),0))</f>
        <v/>
      </c>
      <c r="E62" s="49">
        <f>IF(C62&lt;=0.01,0,ROUND(C62*Calculadora!$C$7/12,2))</f>
        <v/>
      </c>
      <c r="F62" s="48">
        <f>IF(C62&lt;=0.01,0,D62-E62)</f>
        <v/>
      </c>
      <c r="G62" s="48">
        <f>IF(C62&lt;=0.01,0,MAX(ROUND(C62-F62,2),0))</f>
        <v/>
      </c>
      <c r="H62" s="50">
        <f>IFERROR(IF(Calculadora!$C$6&gt;0,1-(G62/Calculadora!$C$6),0),0)</f>
        <v/>
      </c>
    </row>
    <row r="63" ht="18" customHeight="1">
      <c r="A63" s="46" t="n">
        <v>59</v>
      </c>
      <c r="B63" s="47">
        <f>IFERROR(IF(C63&lt;=0.01,"",EDATE(B62,1)),"")</f>
        <v/>
      </c>
      <c r="C63" s="48">
        <f>IF(G62&lt;=0.01,0,G62)</f>
        <v/>
      </c>
      <c r="D63" s="48">
        <f>IF(C63&lt;=0.01,0,IFERROR(-PMT(Calculadora!$C$7/12,Calculadora!$C$8,Calculadora!$C$6),0))</f>
        <v/>
      </c>
      <c r="E63" s="49">
        <f>IF(C63&lt;=0.01,0,ROUND(C63*Calculadora!$C$7/12,2))</f>
        <v/>
      </c>
      <c r="F63" s="48">
        <f>IF(C63&lt;=0.01,0,D63-E63)</f>
        <v/>
      </c>
      <c r="G63" s="48">
        <f>IF(C63&lt;=0.01,0,MAX(ROUND(C63-F63,2),0))</f>
        <v/>
      </c>
      <c r="H63" s="50">
        <f>IFERROR(IF(Calculadora!$C$6&gt;0,1-(G63/Calculadora!$C$6),0),0)</f>
        <v/>
      </c>
    </row>
    <row r="64" ht="18" customHeight="1">
      <c r="A64" s="46" t="n">
        <v>60</v>
      </c>
      <c r="B64" s="47">
        <f>IFERROR(IF(C64&lt;=0.01,"",EDATE(B63,1)),"")</f>
        <v/>
      </c>
      <c r="C64" s="48">
        <f>IF(G63&lt;=0.01,0,G63)</f>
        <v/>
      </c>
      <c r="D64" s="48">
        <f>IF(C64&lt;=0.01,0,IFERROR(-PMT(Calculadora!$C$7/12,Calculadora!$C$8,Calculadora!$C$6),0))</f>
        <v/>
      </c>
      <c r="E64" s="49">
        <f>IF(C64&lt;=0.01,0,ROUND(C64*Calculadora!$C$7/12,2))</f>
        <v/>
      </c>
      <c r="F64" s="48">
        <f>IF(C64&lt;=0.01,0,D64-E64)</f>
        <v/>
      </c>
      <c r="G64" s="48">
        <f>IF(C64&lt;=0.01,0,MAX(ROUND(C64-F64,2),0))</f>
        <v/>
      </c>
      <c r="H64" s="50">
        <f>IFERROR(IF(Calculadora!$C$6&gt;0,1-(G64/Calculadora!$C$6),0),0)</f>
        <v/>
      </c>
    </row>
    <row r="65" ht="18" customHeight="1">
      <c r="A65" s="46" t="n">
        <v>61</v>
      </c>
      <c r="B65" s="47">
        <f>IFERROR(IF(C65&lt;=0.01,"",EDATE(B64,1)),"")</f>
        <v/>
      </c>
      <c r="C65" s="48">
        <f>IF(G64&lt;=0.01,0,G64)</f>
        <v/>
      </c>
      <c r="D65" s="48">
        <f>IF(C65&lt;=0.01,0,IFERROR(-PMT(Calculadora!$C$7/12,Calculadora!$C$8,Calculadora!$C$6),0))</f>
        <v/>
      </c>
      <c r="E65" s="49">
        <f>IF(C65&lt;=0.01,0,ROUND(C65*Calculadora!$C$7/12,2))</f>
        <v/>
      </c>
      <c r="F65" s="48">
        <f>IF(C65&lt;=0.01,0,D65-E65)</f>
        <v/>
      </c>
      <c r="G65" s="48">
        <f>IF(C65&lt;=0.01,0,MAX(ROUND(C65-F65,2),0))</f>
        <v/>
      </c>
      <c r="H65" s="50">
        <f>IFERROR(IF(Calculadora!$C$6&gt;0,1-(G65/Calculadora!$C$6),0),0)</f>
        <v/>
      </c>
    </row>
    <row r="66" ht="18" customHeight="1">
      <c r="A66" s="46" t="n">
        <v>62</v>
      </c>
      <c r="B66" s="47">
        <f>IFERROR(IF(C66&lt;=0.01,"",EDATE(B65,1)),"")</f>
        <v/>
      </c>
      <c r="C66" s="48">
        <f>IF(G65&lt;=0.01,0,G65)</f>
        <v/>
      </c>
      <c r="D66" s="48">
        <f>IF(C66&lt;=0.01,0,IFERROR(-PMT(Calculadora!$C$7/12,Calculadora!$C$8,Calculadora!$C$6),0))</f>
        <v/>
      </c>
      <c r="E66" s="49">
        <f>IF(C66&lt;=0.01,0,ROUND(C66*Calculadora!$C$7/12,2))</f>
        <v/>
      </c>
      <c r="F66" s="48">
        <f>IF(C66&lt;=0.01,0,D66-E66)</f>
        <v/>
      </c>
      <c r="G66" s="48">
        <f>IF(C66&lt;=0.01,0,MAX(ROUND(C66-F66,2),0))</f>
        <v/>
      </c>
      <c r="H66" s="50">
        <f>IFERROR(IF(Calculadora!$C$6&gt;0,1-(G66/Calculadora!$C$6),0),0)</f>
        <v/>
      </c>
    </row>
    <row r="67" ht="18" customHeight="1">
      <c r="A67" s="46" t="n">
        <v>63</v>
      </c>
      <c r="B67" s="47">
        <f>IFERROR(IF(C67&lt;=0.01,"",EDATE(B66,1)),"")</f>
        <v/>
      </c>
      <c r="C67" s="48">
        <f>IF(G66&lt;=0.01,0,G66)</f>
        <v/>
      </c>
      <c r="D67" s="48">
        <f>IF(C67&lt;=0.01,0,IFERROR(-PMT(Calculadora!$C$7/12,Calculadora!$C$8,Calculadora!$C$6),0))</f>
        <v/>
      </c>
      <c r="E67" s="49">
        <f>IF(C67&lt;=0.01,0,ROUND(C67*Calculadora!$C$7/12,2))</f>
        <v/>
      </c>
      <c r="F67" s="48">
        <f>IF(C67&lt;=0.01,0,D67-E67)</f>
        <v/>
      </c>
      <c r="G67" s="48">
        <f>IF(C67&lt;=0.01,0,MAX(ROUND(C67-F67,2),0))</f>
        <v/>
      </c>
      <c r="H67" s="50">
        <f>IFERROR(IF(Calculadora!$C$6&gt;0,1-(G67/Calculadora!$C$6),0),0)</f>
        <v/>
      </c>
    </row>
    <row r="68" ht="18" customHeight="1">
      <c r="A68" s="46" t="n">
        <v>64</v>
      </c>
      <c r="B68" s="47">
        <f>IFERROR(IF(C68&lt;=0.01,"",EDATE(B67,1)),"")</f>
        <v/>
      </c>
      <c r="C68" s="48">
        <f>IF(G67&lt;=0.01,0,G67)</f>
        <v/>
      </c>
      <c r="D68" s="48">
        <f>IF(C68&lt;=0.01,0,IFERROR(-PMT(Calculadora!$C$7/12,Calculadora!$C$8,Calculadora!$C$6),0))</f>
        <v/>
      </c>
      <c r="E68" s="49">
        <f>IF(C68&lt;=0.01,0,ROUND(C68*Calculadora!$C$7/12,2))</f>
        <v/>
      </c>
      <c r="F68" s="48">
        <f>IF(C68&lt;=0.01,0,D68-E68)</f>
        <v/>
      </c>
      <c r="G68" s="48">
        <f>IF(C68&lt;=0.01,0,MAX(ROUND(C68-F68,2),0))</f>
        <v/>
      </c>
      <c r="H68" s="50">
        <f>IFERROR(IF(Calculadora!$C$6&gt;0,1-(G68/Calculadora!$C$6),0),0)</f>
        <v/>
      </c>
    </row>
    <row r="69" ht="18" customHeight="1">
      <c r="A69" s="46" t="n">
        <v>65</v>
      </c>
      <c r="B69" s="47">
        <f>IFERROR(IF(C69&lt;=0.01,"",EDATE(B68,1)),"")</f>
        <v/>
      </c>
      <c r="C69" s="48">
        <f>IF(G68&lt;=0.01,0,G68)</f>
        <v/>
      </c>
      <c r="D69" s="48">
        <f>IF(C69&lt;=0.01,0,IFERROR(-PMT(Calculadora!$C$7/12,Calculadora!$C$8,Calculadora!$C$6),0))</f>
        <v/>
      </c>
      <c r="E69" s="49">
        <f>IF(C69&lt;=0.01,0,ROUND(C69*Calculadora!$C$7/12,2))</f>
        <v/>
      </c>
      <c r="F69" s="48">
        <f>IF(C69&lt;=0.01,0,D69-E69)</f>
        <v/>
      </c>
      <c r="G69" s="48">
        <f>IF(C69&lt;=0.01,0,MAX(ROUND(C69-F69,2),0))</f>
        <v/>
      </c>
      <c r="H69" s="50">
        <f>IFERROR(IF(Calculadora!$C$6&gt;0,1-(G69/Calculadora!$C$6),0),0)</f>
        <v/>
      </c>
    </row>
    <row r="70" ht="18" customHeight="1">
      <c r="A70" s="46" t="n">
        <v>66</v>
      </c>
      <c r="B70" s="47">
        <f>IFERROR(IF(C70&lt;=0.01,"",EDATE(B69,1)),"")</f>
        <v/>
      </c>
      <c r="C70" s="48">
        <f>IF(G69&lt;=0.01,0,G69)</f>
        <v/>
      </c>
      <c r="D70" s="48">
        <f>IF(C70&lt;=0.01,0,IFERROR(-PMT(Calculadora!$C$7/12,Calculadora!$C$8,Calculadora!$C$6),0))</f>
        <v/>
      </c>
      <c r="E70" s="49">
        <f>IF(C70&lt;=0.01,0,ROUND(C70*Calculadora!$C$7/12,2))</f>
        <v/>
      </c>
      <c r="F70" s="48">
        <f>IF(C70&lt;=0.01,0,D70-E70)</f>
        <v/>
      </c>
      <c r="G70" s="48">
        <f>IF(C70&lt;=0.01,0,MAX(ROUND(C70-F70,2),0))</f>
        <v/>
      </c>
      <c r="H70" s="50">
        <f>IFERROR(IF(Calculadora!$C$6&gt;0,1-(G70/Calculadora!$C$6),0),0)</f>
        <v/>
      </c>
    </row>
    <row r="71" ht="18" customHeight="1">
      <c r="A71" s="46" t="n">
        <v>67</v>
      </c>
      <c r="B71" s="47">
        <f>IFERROR(IF(C71&lt;=0.01,"",EDATE(B70,1)),"")</f>
        <v/>
      </c>
      <c r="C71" s="48">
        <f>IF(G70&lt;=0.01,0,G70)</f>
        <v/>
      </c>
      <c r="D71" s="48">
        <f>IF(C71&lt;=0.01,0,IFERROR(-PMT(Calculadora!$C$7/12,Calculadora!$C$8,Calculadora!$C$6),0))</f>
        <v/>
      </c>
      <c r="E71" s="49">
        <f>IF(C71&lt;=0.01,0,ROUND(C71*Calculadora!$C$7/12,2))</f>
        <v/>
      </c>
      <c r="F71" s="48">
        <f>IF(C71&lt;=0.01,0,D71-E71)</f>
        <v/>
      </c>
      <c r="G71" s="48">
        <f>IF(C71&lt;=0.01,0,MAX(ROUND(C71-F71,2),0))</f>
        <v/>
      </c>
      <c r="H71" s="50">
        <f>IFERROR(IF(Calculadora!$C$6&gt;0,1-(G71/Calculadora!$C$6),0),0)</f>
        <v/>
      </c>
    </row>
    <row r="72" ht="18" customHeight="1">
      <c r="A72" s="46" t="n">
        <v>68</v>
      </c>
      <c r="B72" s="47">
        <f>IFERROR(IF(C72&lt;=0.01,"",EDATE(B71,1)),"")</f>
        <v/>
      </c>
      <c r="C72" s="48">
        <f>IF(G71&lt;=0.01,0,G71)</f>
        <v/>
      </c>
      <c r="D72" s="48">
        <f>IF(C72&lt;=0.01,0,IFERROR(-PMT(Calculadora!$C$7/12,Calculadora!$C$8,Calculadora!$C$6),0))</f>
        <v/>
      </c>
      <c r="E72" s="49">
        <f>IF(C72&lt;=0.01,0,ROUND(C72*Calculadora!$C$7/12,2))</f>
        <v/>
      </c>
      <c r="F72" s="48">
        <f>IF(C72&lt;=0.01,0,D72-E72)</f>
        <v/>
      </c>
      <c r="G72" s="48">
        <f>IF(C72&lt;=0.01,0,MAX(ROUND(C72-F72,2),0))</f>
        <v/>
      </c>
      <c r="H72" s="50">
        <f>IFERROR(IF(Calculadora!$C$6&gt;0,1-(G72/Calculadora!$C$6),0),0)</f>
        <v/>
      </c>
    </row>
    <row r="73" ht="18" customHeight="1">
      <c r="A73" s="46" t="n">
        <v>69</v>
      </c>
      <c r="B73" s="47">
        <f>IFERROR(IF(C73&lt;=0.01,"",EDATE(B72,1)),"")</f>
        <v/>
      </c>
      <c r="C73" s="48">
        <f>IF(G72&lt;=0.01,0,G72)</f>
        <v/>
      </c>
      <c r="D73" s="48">
        <f>IF(C73&lt;=0.01,0,IFERROR(-PMT(Calculadora!$C$7/12,Calculadora!$C$8,Calculadora!$C$6),0))</f>
        <v/>
      </c>
      <c r="E73" s="49">
        <f>IF(C73&lt;=0.01,0,ROUND(C73*Calculadora!$C$7/12,2))</f>
        <v/>
      </c>
      <c r="F73" s="48">
        <f>IF(C73&lt;=0.01,0,D73-E73)</f>
        <v/>
      </c>
      <c r="G73" s="48">
        <f>IF(C73&lt;=0.01,0,MAX(ROUND(C73-F73,2),0))</f>
        <v/>
      </c>
      <c r="H73" s="50">
        <f>IFERROR(IF(Calculadora!$C$6&gt;0,1-(G73/Calculadora!$C$6),0),0)</f>
        <v/>
      </c>
    </row>
    <row r="74" ht="18" customHeight="1">
      <c r="A74" s="46" t="n">
        <v>70</v>
      </c>
      <c r="B74" s="47">
        <f>IFERROR(IF(C74&lt;=0.01,"",EDATE(B73,1)),"")</f>
        <v/>
      </c>
      <c r="C74" s="48">
        <f>IF(G73&lt;=0.01,0,G73)</f>
        <v/>
      </c>
      <c r="D74" s="48">
        <f>IF(C74&lt;=0.01,0,IFERROR(-PMT(Calculadora!$C$7/12,Calculadora!$C$8,Calculadora!$C$6),0))</f>
        <v/>
      </c>
      <c r="E74" s="49">
        <f>IF(C74&lt;=0.01,0,ROUND(C74*Calculadora!$C$7/12,2))</f>
        <v/>
      </c>
      <c r="F74" s="48">
        <f>IF(C74&lt;=0.01,0,D74-E74)</f>
        <v/>
      </c>
      <c r="G74" s="48">
        <f>IF(C74&lt;=0.01,0,MAX(ROUND(C74-F74,2),0))</f>
        <v/>
      </c>
      <c r="H74" s="50">
        <f>IFERROR(IF(Calculadora!$C$6&gt;0,1-(G74/Calculadora!$C$6),0),0)</f>
        <v/>
      </c>
    </row>
    <row r="75" ht="18" customHeight="1">
      <c r="A75" s="46" t="n">
        <v>71</v>
      </c>
      <c r="B75" s="47">
        <f>IFERROR(IF(C75&lt;=0.01,"",EDATE(B74,1)),"")</f>
        <v/>
      </c>
      <c r="C75" s="48">
        <f>IF(G74&lt;=0.01,0,G74)</f>
        <v/>
      </c>
      <c r="D75" s="48">
        <f>IF(C75&lt;=0.01,0,IFERROR(-PMT(Calculadora!$C$7/12,Calculadora!$C$8,Calculadora!$C$6),0))</f>
        <v/>
      </c>
      <c r="E75" s="49">
        <f>IF(C75&lt;=0.01,0,ROUND(C75*Calculadora!$C$7/12,2))</f>
        <v/>
      </c>
      <c r="F75" s="48">
        <f>IF(C75&lt;=0.01,0,D75-E75)</f>
        <v/>
      </c>
      <c r="G75" s="48">
        <f>IF(C75&lt;=0.01,0,MAX(ROUND(C75-F75,2),0))</f>
        <v/>
      </c>
      <c r="H75" s="50">
        <f>IFERROR(IF(Calculadora!$C$6&gt;0,1-(G75/Calculadora!$C$6),0),0)</f>
        <v/>
      </c>
    </row>
    <row r="76" ht="18" customHeight="1">
      <c r="A76" s="46" t="n">
        <v>72</v>
      </c>
      <c r="B76" s="47">
        <f>IFERROR(IF(C76&lt;=0.01,"",EDATE(B75,1)),"")</f>
        <v/>
      </c>
      <c r="C76" s="48">
        <f>IF(G75&lt;=0.01,0,G75)</f>
        <v/>
      </c>
      <c r="D76" s="48">
        <f>IF(C76&lt;=0.01,0,IFERROR(-PMT(Calculadora!$C$7/12,Calculadora!$C$8,Calculadora!$C$6),0))</f>
        <v/>
      </c>
      <c r="E76" s="49">
        <f>IF(C76&lt;=0.01,0,ROUND(C76*Calculadora!$C$7/12,2))</f>
        <v/>
      </c>
      <c r="F76" s="48">
        <f>IF(C76&lt;=0.01,0,D76-E76)</f>
        <v/>
      </c>
      <c r="G76" s="48">
        <f>IF(C76&lt;=0.01,0,MAX(ROUND(C76-F76,2),0))</f>
        <v/>
      </c>
      <c r="H76" s="50">
        <f>IFERROR(IF(Calculadora!$C$6&gt;0,1-(G76/Calculadora!$C$6),0),0)</f>
        <v/>
      </c>
    </row>
    <row r="77" ht="18" customHeight="1">
      <c r="A77" s="46" t="n">
        <v>73</v>
      </c>
      <c r="B77" s="47">
        <f>IFERROR(IF(C77&lt;=0.01,"",EDATE(B76,1)),"")</f>
        <v/>
      </c>
      <c r="C77" s="48">
        <f>IF(G76&lt;=0.01,0,G76)</f>
        <v/>
      </c>
      <c r="D77" s="48">
        <f>IF(C77&lt;=0.01,0,IFERROR(-PMT(Calculadora!$C$7/12,Calculadora!$C$8,Calculadora!$C$6),0))</f>
        <v/>
      </c>
      <c r="E77" s="49">
        <f>IF(C77&lt;=0.01,0,ROUND(C77*Calculadora!$C$7/12,2))</f>
        <v/>
      </c>
      <c r="F77" s="48">
        <f>IF(C77&lt;=0.01,0,D77-E77)</f>
        <v/>
      </c>
      <c r="G77" s="48">
        <f>IF(C77&lt;=0.01,0,MAX(ROUND(C77-F77,2),0))</f>
        <v/>
      </c>
      <c r="H77" s="50">
        <f>IFERROR(IF(Calculadora!$C$6&gt;0,1-(G77/Calculadora!$C$6),0),0)</f>
        <v/>
      </c>
    </row>
    <row r="78" ht="18" customHeight="1">
      <c r="A78" s="46" t="n">
        <v>74</v>
      </c>
      <c r="B78" s="47">
        <f>IFERROR(IF(C78&lt;=0.01,"",EDATE(B77,1)),"")</f>
        <v/>
      </c>
      <c r="C78" s="48">
        <f>IF(G77&lt;=0.01,0,G77)</f>
        <v/>
      </c>
      <c r="D78" s="48">
        <f>IF(C78&lt;=0.01,0,IFERROR(-PMT(Calculadora!$C$7/12,Calculadora!$C$8,Calculadora!$C$6),0))</f>
        <v/>
      </c>
      <c r="E78" s="49">
        <f>IF(C78&lt;=0.01,0,ROUND(C78*Calculadora!$C$7/12,2))</f>
        <v/>
      </c>
      <c r="F78" s="48">
        <f>IF(C78&lt;=0.01,0,D78-E78)</f>
        <v/>
      </c>
      <c r="G78" s="48">
        <f>IF(C78&lt;=0.01,0,MAX(ROUND(C78-F78,2),0))</f>
        <v/>
      </c>
      <c r="H78" s="50">
        <f>IFERROR(IF(Calculadora!$C$6&gt;0,1-(G78/Calculadora!$C$6),0),0)</f>
        <v/>
      </c>
    </row>
    <row r="79" ht="18" customHeight="1">
      <c r="A79" s="46" t="n">
        <v>75</v>
      </c>
      <c r="B79" s="47">
        <f>IFERROR(IF(C79&lt;=0.01,"",EDATE(B78,1)),"")</f>
        <v/>
      </c>
      <c r="C79" s="48">
        <f>IF(G78&lt;=0.01,0,G78)</f>
        <v/>
      </c>
      <c r="D79" s="48">
        <f>IF(C79&lt;=0.01,0,IFERROR(-PMT(Calculadora!$C$7/12,Calculadora!$C$8,Calculadora!$C$6),0))</f>
        <v/>
      </c>
      <c r="E79" s="49">
        <f>IF(C79&lt;=0.01,0,ROUND(C79*Calculadora!$C$7/12,2))</f>
        <v/>
      </c>
      <c r="F79" s="48">
        <f>IF(C79&lt;=0.01,0,D79-E79)</f>
        <v/>
      </c>
      <c r="G79" s="48">
        <f>IF(C79&lt;=0.01,0,MAX(ROUND(C79-F79,2),0))</f>
        <v/>
      </c>
      <c r="H79" s="50">
        <f>IFERROR(IF(Calculadora!$C$6&gt;0,1-(G79/Calculadora!$C$6),0),0)</f>
        <v/>
      </c>
    </row>
    <row r="80" ht="18" customHeight="1">
      <c r="A80" s="46" t="n">
        <v>76</v>
      </c>
      <c r="B80" s="47">
        <f>IFERROR(IF(C80&lt;=0.01,"",EDATE(B79,1)),"")</f>
        <v/>
      </c>
      <c r="C80" s="48">
        <f>IF(G79&lt;=0.01,0,G79)</f>
        <v/>
      </c>
      <c r="D80" s="48">
        <f>IF(C80&lt;=0.01,0,IFERROR(-PMT(Calculadora!$C$7/12,Calculadora!$C$8,Calculadora!$C$6),0))</f>
        <v/>
      </c>
      <c r="E80" s="49">
        <f>IF(C80&lt;=0.01,0,ROUND(C80*Calculadora!$C$7/12,2))</f>
        <v/>
      </c>
      <c r="F80" s="48">
        <f>IF(C80&lt;=0.01,0,D80-E80)</f>
        <v/>
      </c>
      <c r="G80" s="48">
        <f>IF(C80&lt;=0.01,0,MAX(ROUND(C80-F80,2),0))</f>
        <v/>
      </c>
      <c r="H80" s="50">
        <f>IFERROR(IF(Calculadora!$C$6&gt;0,1-(G80/Calculadora!$C$6),0),0)</f>
        <v/>
      </c>
    </row>
    <row r="81" ht="18" customHeight="1">
      <c r="A81" s="46" t="n">
        <v>77</v>
      </c>
      <c r="B81" s="47">
        <f>IFERROR(IF(C81&lt;=0.01,"",EDATE(B80,1)),"")</f>
        <v/>
      </c>
      <c r="C81" s="48">
        <f>IF(G80&lt;=0.01,0,G80)</f>
        <v/>
      </c>
      <c r="D81" s="48">
        <f>IF(C81&lt;=0.01,0,IFERROR(-PMT(Calculadora!$C$7/12,Calculadora!$C$8,Calculadora!$C$6),0))</f>
        <v/>
      </c>
      <c r="E81" s="49">
        <f>IF(C81&lt;=0.01,0,ROUND(C81*Calculadora!$C$7/12,2))</f>
        <v/>
      </c>
      <c r="F81" s="48">
        <f>IF(C81&lt;=0.01,0,D81-E81)</f>
        <v/>
      </c>
      <c r="G81" s="48">
        <f>IF(C81&lt;=0.01,0,MAX(ROUND(C81-F81,2),0))</f>
        <v/>
      </c>
      <c r="H81" s="50">
        <f>IFERROR(IF(Calculadora!$C$6&gt;0,1-(G81/Calculadora!$C$6),0),0)</f>
        <v/>
      </c>
    </row>
    <row r="82" ht="18" customHeight="1">
      <c r="A82" s="46" t="n">
        <v>78</v>
      </c>
      <c r="B82" s="47">
        <f>IFERROR(IF(C82&lt;=0.01,"",EDATE(B81,1)),"")</f>
        <v/>
      </c>
      <c r="C82" s="48">
        <f>IF(G81&lt;=0.01,0,G81)</f>
        <v/>
      </c>
      <c r="D82" s="48">
        <f>IF(C82&lt;=0.01,0,IFERROR(-PMT(Calculadora!$C$7/12,Calculadora!$C$8,Calculadora!$C$6),0))</f>
        <v/>
      </c>
      <c r="E82" s="49">
        <f>IF(C82&lt;=0.01,0,ROUND(C82*Calculadora!$C$7/12,2))</f>
        <v/>
      </c>
      <c r="F82" s="48">
        <f>IF(C82&lt;=0.01,0,D82-E82)</f>
        <v/>
      </c>
      <c r="G82" s="48">
        <f>IF(C82&lt;=0.01,0,MAX(ROUND(C82-F82,2),0))</f>
        <v/>
      </c>
      <c r="H82" s="50">
        <f>IFERROR(IF(Calculadora!$C$6&gt;0,1-(G82/Calculadora!$C$6),0),0)</f>
        <v/>
      </c>
    </row>
    <row r="83" ht="18" customHeight="1">
      <c r="A83" s="46" t="n">
        <v>79</v>
      </c>
      <c r="B83" s="47">
        <f>IFERROR(IF(C83&lt;=0.01,"",EDATE(B82,1)),"")</f>
        <v/>
      </c>
      <c r="C83" s="48">
        <f>IF(G82&lt;=0.01,0,G82)</f>
        <v/>
      </c>
      <c r="D83" s="48">
        <f>IF(C83&lt;=0.01,0,IFERROR(-PMT(Calculadora!$C$7/12,Calculadora!$C$8,Calculadora!$C$6),0))</f>
        <v/>
      </c>
      <c r="E83" s="49">
        <f>IF(C83&lt;=0.01,0,ROUND(C83*Calculadora!$C$7/12,2))</f>
        <v/>
      </c>
      <c r="F83" s="48">
        <f>IF(C83&lt;=0.01,0,D83-E83)</f>
        <v/>
      </c>
      <c r="G83" s="48">
        <f>IF(C83&lt;=0.01,0,MAX(ROUND(C83-F83,2),0))</f>
        <v/>
      </c>
      <c r="H83" s="50">
        <f>IFERROR(IF(Calculadora!$C$6&gt;0,1-(G83/Calculadora!$C$6),0),0)</f>
        <v/>
      </c>
    </row>
    <row r="84" ht="18" customHeight="1">
      <c r="A84" s="46" t="n">
        <v>80</v>
      </c>
      <c r="B84" s="47">
        <f>IFERROR(IF(C84&lt;=0.01,"",EDATE(B83,1)),"")</f>
        <v/>
      </c>
      <c r="C84" s="48">
        <f>IF(G83&lt;=0.01,0,G83)</f>
        <v/>
      </c>
      <c r="D84" s="48">
        <f>IF(C84&lt;=0.01,0,IFERROR(-PMT(Calculadora!$C$7/12,Calculadora!$C$8,Calculadora!$C$6),0))</f>
        <v/>
      </c>
      <c r="E84" s="49">
        <f>IF(C84&lt;=0.01,0,ROUND(C84*Calculadora!$C$7/12,2))</f>
        <v/>
      </c>
      <c r="F84" s="48">
        <f>IF(C84&lt;=0.01,0,D84-E84)</f>
        <v/>
      </c>
      <c r="G84" s="48">
        <f>IF(C84&lt;=0.01,0,MAX(ROUND(C84-F84,2),0))</f>
        <v/>
      </c>
      <c r="H84" s="50">
        <f>IFERROR(IF(Calculadora!$C$6&gt;0,1-(G84/Calculadora!$C$6),0),0)</f>
        <v/>
      </c>
    </row>
    <row r="85" ht="18" customHeight="1">
      <c r="A85" s="46" t="n">
        <v>81</v>
      </c>
      <c r="B85" s="47">
        <f>IFERROR(IF(C85&lt;=0.01,"",EDATE(B84,1)),"")</f>
        <v/>
      </c>
      <c r="C85" s="48">
        <f>IF(G84&lt;=0.01,0,G84)</f>
        <v/>
      </c>
      <c r="D85" s="48">
        <f>IF(C85&lt;=0.01,0,IFERROR(-PMT(Calculadora!$C$7/12,Calculadora!$C$8,Calculadora!$C$6),0))</f>
        <v/>
      </c>
      <c r="E85" s="49">
        <f>IF(C85&lt;=0.01,0,ROUND(C85*Calculadora!$C$7/12,2))</f>
        <v/>
      </c>
      <c r="F85" s="48">
        <f>IF(C85&lt;=0.01,0,D85-E85)</f>
        <v/>
      </c>
      <c r="G85" s="48">
        <f>IF(C85&lt;=0.01,0,MAX(ROUND(C85-F85,2),0))</f>
        <v/>
      </c>
      <c r="H85" s="50">
        <f>IFERROR(IF(Calculadora!$C$6&gt;0,1-(G85/Calculadora!$C$6),0),0)</f>
        <v/>
      </c>
    </row>
    <row r="86" ht="18" customHeight="1">
      <c r="A86" s="46" t="n">
        <v>82</v>
      </c>
      <c r="B86" s="47">
        <f>IFERROR(IF(C86&lt;=0.01,"",EDATE(B85,1)),"")</f>
        <v/>
      </c>
      <c r="C86" s="48">
        <f>IF(G85&lt;=0.01,0,G85)</f>
        <v/>
      </c>
      <c r="D86" s="48">
        <f>IF(C86&lt;=0.01,0,IFERROR(-PMT(Calculadora!$C$7/12,Calculadora!$C$8,Calculadora!$C$6),0))</f>
        <v/>
      </c>
      <c r="E86" s="49">
        <f>IF(C86&lt;=0.01,0,ROUND(C86*Calculadora!$C$7/12,2))</f>
        <v/>
      </c>
      <c r="F86" s="48">
        <f>IF(C86&lt;=0.01,0,D86-E86)</f>
        <v/>
      </c>
      <c r="G86" s="48">
        <f>IF(C86&lt;=0.01,0,MAX(ROUND(C86-F86,2),0))</f>
        <v/>
      </c>
      <c r="H86" s="50">
        <f>IFERROR(IF(Calculadora!$C$6&gt;0,1-(G86/Calculadora!$C$6),0),0)</f>
        <v/>
      </c>
    </row>
    <row r="87" ht="18" customHeight="1">
      <c r="A87" s="46" t="n">
        <v>83</v>
      </c>
      <c r="B87" s="47">
        <f>IFERROR(IF(C87&lt;=0.01,"",EDATE(B86,1)),"")</f>
        <v/>
      </c>
      <c r="C87" s="48">
        <f>IF(G86&lt;=0.01,0,G86)</f>
        <v/>
      </c>
      <c r="D87" s="48">
        <f>IF(C87&lt;=0.01,0,IFERROR(-PMT(Calculadora!$C$7/12,Calculadora!$C$8,Calculadora!$C$6),0))</f>
        <v/>
      </c>
      <c r="E87" s="49">
        <f>IF(C87&lt;=0.01,0,ROUND(C87*Calculadora!$C$7/12,2))</f>
        <v/>
      </c>
      <c r="F87" s="48">
        <f>IF(C87&lt;=0.01,0,D87-E87)</f>
        <v/>
      </c>
      <c r="G87" s="48">
        <f>IF(C87&lt;=0.01,0,MAX(ROUND(C87-F87,2),0))</f>
        <v/>
      </c>
      <c r="H87" s="50">
        <f>IFERROR(IF(Calculadora!$C$6&gt;0,1-(G87/Calculadora!$C$6),0),0)</f>
        <v/>
      </c>
    </row>
    <row r="88" ht="18" customHeight="1">
      <c r="A88" s="46" t="n">
        <v>84</v>
      </c>
      <c r="B88" s="47">
        <f>IFERROR(IF(C88&lt;=0.01,"",EDATE(B87,1)),"")</f>
        <v/>
      </c>
      <c r="C88" s="48">
        <f>IF(G87&lt;=0.01,0,G87)</f>
        <v/>
      </c>
      <c r="D88" s="48">
        <f>IF(C88&lt;=0.01,0,IFERROR(-PMT(Calculadora!$C$7/12,Calculadora!$C$8,Calculadora!$C$6),0))</f>
        <v/>
      </c>
      <c r="E88" s="49">
        <f>IF(C88&lt;=0.01,0,ROUND(C88*Calculadora!$C$7/12,2))</f>
        <v/>
      </c>
      <c r="F88" s="48">
        <f>IF(C88&lt;=0.01,0,D88-E88)</f>
        <v/>
      </c>
      <c r="G88" s="48">
        <f>IF(C88&lt;=0.01,0,MAX(ROUND(C88-F88,2),0))</f>
        <v/>
      </c>
      <c r="H88" s="50">
        <f>IFERROR(IF(Calculadora!$C$6&gt;0,1-(G88/Calculadora!$C$6),0),0)</f>
        <v/>
      </c>
    </row>
    <row r="89" ht="18" customHeight="1">
      <c r="A89" s="46" t="n">
        <v>85</v>
      </c>
      <c r="B89" s="47">
        <f>IFERROR(IF(C89&lt;=0.01,"",EDATE(B88,1)),"")</f>
        <v/>
      </c>
      <c r="C89" s="48">
        <f>IF(G88&lt;=0.01,0,G88)</f>
        <v/>
      </c>
      <c r="D89" s="48">
        <f>IF(C89&lt;=0.01,0,IFERROR(-PMT(Calculadora!$C$7/12,Calculadora!$C$8,Calculadora!$C$6),0))</f>
        <v/>
      </c>
      <c r="E89" s="49">
        <f>IF(C89&lt;=0.01,0,ROUND(C89*Calculadora!$C$7/12,2))</f>
        <v/>
      </c>
      <c r="F89" s="48">
        <f>IF(C89&lt;=0.01,0,D89-E89)</f>
        <v/>
      </c>
      <c r="G89" s="48">
        <f>IF(C89&lt;=0.01,0,MAX(ROUND(C89-F89,2),0))</f>
        <v/>
      </c>
      <c r="H89" s="50">
        <f>IFERROR(IF(Calculadora!$C$6&gt;0,1-(G89/Calculadora!$C$6),0),0)</f>
        <v/>
      </c>
    </row>
    <row r="90" ht="18" customHeight="1">
      <c r="A90" s="46" t="n">
        <v>86</v>
      </c>
      <c r="B90" s="47">
        <f>IFERROR(IF(C90&lt;=0.01,"",EDATE(B89,1)),"")</f>
        <v/>
      </c>
      <c r="C90" s="48">
        <f>IF(G89&lt;=0.01,0,G89)</f>
        <v/>
      </c>
      <c r="D90" s="48">
        <f>IF(C90&lt;=0.01,0,IFERROR(-PMT(Calculadora!$C$7/12,Calculadora!$C$8,Calculadora!$C$6),0))</f>
        <v/>
      </c>
      <c r="E90" s="49">
        <f>IF(C90&lt;=0.01,0,ROUND(C90*Calculadora!$C$7/12,2))</f>
        <v/>
      </c>
      <c r="F90" s="48">
        <f>IF(C90&lt;=0.01,0,D90-E90)</f>
        <v/>
      </c>
      <c r="G90" s="48">
        <f>IF(C90&lt;=0.01,0,MAX(ROUND(C90-F90,2),0))</f>
        <v/>
      </c>
      <c r="H90" s="50">
        <f>IFERROR(IF(Calculadora!$C$6&gt;0,1-(G90/Calculadora!$C$6),0),0)</f>
        <v/>
      </c>
    </row>
    <row r="91" ht="18" customHeight="1">
      <c r="A91" s="46" t="n">
        <v>87</v>
      </c>
      <c r="B91" s="47">
        <f>IFERROR(IF(C91&lt;=0.01,"",EDATE(B90,1)),"")</f>
        <v/>
      </c>
      <c r="C91" s="48">
        <f>IF(G90&lt;=0.01,0,G90)</f>
        <v/>
      </c>
      <c r="D91" s="48">
        <f>IF(C91&lt;=0.01,0,IFERROR(-PMT(Calculadora!$C$7/12,Calculadora!$C$8,Calculadora!$C$6),0))</f>
        <v/>
      </c>
      <c r="E91" s="49">
        <f>IF(C91&lt;=0.01,0,ROUND(C91*Calculadora!$C$7/12,2))</f>
        <v/>
      </c>
      <c r="F91" s="48">
        <f>IF(C91&lt;=0.01,0,D91-E91)</f>
        <v/>
      </c>
      <c r="G91" s="48">
        <f>IF(C91&lt;=0.01,0,MAX(ROUND(C91-F91,2),0))</f>
        <v/>
      </c>
      <c r="H91" s="50">
        <f>IFERROR(IF(Calculadora!$C$6&gt;0,1-(G91/Calculadora!$C$6),0),0)</f>
        <v/>
      </c>
    </row>
    <row r="92" ht="18" customHeight="1">
      <c r="A92" s="46" t="n">
        <v>88</v>
      </c>
      <c r="B92" s="47">
        <f>IFERROR(IF(C92&lt;=0.01,"",EDATE(B91,1)),"")</f>
        <v/>
      </c>
      <c r="C92" s="48">
        <f>IF(G91&lt;=0.01,0,G91)</f>
        <v/>
      </c>
      <c r="D92" s="48">
        <f>IF(C92&lt;=0.01,0,IFERROR(-PMT(Calculadora!$C$7/12,Calculadora!$C$8,Calculadora!$C$6),0))</f>
        <v/>
      </c>
      <c r="E92" s="49">
        <f>IF(C92&lt;=0.01,0,ROUND(C92*Calculadora!$C$7/12,2))</f>
        <v/>
      </c>
      <c r="F92" s="48">
        <f>IF(C92&lt;=0.01,0,D92-E92)</f>
        <v/>
      </c>
      <c r="G92" s="48">
        <f>IF(C92&lt;=0.01,0,MAX(ROUND(C92-F92,2),0))</f>
        <v/>
      </c>
      <c r="H92" s="50">
        <f>IFERROR(IF(Calculadora!$C$6&gt;0,1-(G92/Calculadora!$C$6),0),0)</f>
        <v/>
      </c>
    </row>
    <row r="93" ht="18" customHeight="1">
      <c r="A93" s="46" t="n">
        <v>89</v>
      </c>
      <c r="B93" s="47">
        <f>IFERROR(IF(C93&lt;=0.01,"",EDATE(B92,1)),"")</f>
        <v/>
      </c>
      <c r="C93" s="48">
        <f>IF(G92&lt;=0.01,0,G92)</f>
        <v/>
      </c>
      <c r="D93" s="48">
        <f>IF(C93&lt;=0.01,0,IFERROR(-PMT(Calculadora!$C$7/12,Calculadora!$C$8,Calculadora!$C$6),0))</f>
        <v/>
      </c>
      <c r="E93" s="49">
        <f>IF(C93&lt;=0.01,0,ROUND(C93*Calculadora!$C$7/12,2))</f>
        <v/>
      </c>
      <c r="F93" s="48">
        <f>IF(C93&lt;=0.01,0,D93-E93)</f>
        <v/>
      </c>
      <c r="G93" s="48">
        <f>IF(C93&lt;=0.01,0,MAX(ROUND(C93-F93,2),0))</f>
        <v/>
      </c>
      <c r="H93" s="50">
        <f>IFERROR(IF(Calculadora!$C$6&gt;0,1-(G93/Calculadora!$C$6),0),0)</f>
        <v/>
      </c>
    </row>
    <row r="94" ht="18" customHeight="1">
      <c r="A94" s="46" t="n">
        <v>90</v>
      </c>
      <c r="B94" s="47">
        <f>IFERROR(IF(C94&lt;=0.01,"",EDATE(B93,1)),"")</f>
        <v/>
      </c>
      <c r="C94" s="48">
        <f>IF(G93&lt;=0.01,0,G93)</f>
        <v/>
      </c>
      <c r="D94" s="48">
        <f>IF(C94&lt;=0.01,0,IFERROR(-PMT(Calculadora!$C$7/12,Calculadora!$C$8,Calculadora!$C$6),0))</f>
        <v/>
      </c>
      <c r="E94" s="49">
        <f>IF(C94&lt;=0.01,0,ROUND(C94*Calculadora!$C$7/12,2))</f>
        <v/>
      </c>
      <c r="F94" s="48">
        <f>IF(C94&lt;=0.01,0,D94-E94)</f>
        <v/>
      </c>
      <c r="G94" s="48">
        <f>IF(C94&lt;=0.01,0,MAX(ROUND(C94-F94,2),0))</f>
        <v/>
      </c>
      <c r="H94" s="50">
        <f>IFERROR(IF(Calculadora!$C$6&gt;0,1-(G94/Calculadora!$C$6),0),0)</f>
        <v/>
      </c>
    </row>
    <row r="95" ht="18" customHeight="1">
      <c r="A95" s="46" t="n">
        <v>91</v>
      </c>
      <c r="B95" s="47">
        <f>IFERROR(IF(C95&lt;=0.01,"",EDATE(B94,1)),"")</f>
        <v/>
      </c>
      <c r="C95" s="48">
        <f>IF(G94&lt;=0.01,0,G94)</f>
        <v/>
      </c>
      <c r="D95" s="48">
        <f>IF(C95&lt;=0.01,0,IFERROR(-PMT(Calculadora!$C$7/12,Calculadora!$C$8,Calculadora!$C$6),0))</f>
        <v/>
      </c>
      <c r="E95" s="49">
        <f>IF(C95&lt;=0.01,0,ROUND(C95*Calculadora!$C$7/12,2))</f>
        <v/>
      </c>
      <c r="F95" s="48">
        <f>IF(C95&lt;=0.01,0,D95-E95)</f>
        <v/>
      </c>
      <c r="G95" s="48">
        <f>IF(C95&lt;=0.01,0,MAX(ROUND(C95-F95,2),0))</f>
        <v/>
      </c>
      <c r="H95" s="50">
        <f>IFERROR(IF(Calculadora!$C$6&gt;0,1-(G95/Calculadora!$C$6),0),0)</f>
        <v/>
      </c>
    </row>
    <row r="96" ht="18" customHeight="1">
      <c r="A96" s="46" t="n">
        <v>92</v>
      </c>
      <c r="B96" s="47">
        <f>IFERROR(IF(C96&lt;=0.01,"",EDATE(B95,1)),"")</f>
        <v/>
      </c>
      <c r="C96" s="48">
        <f>IF(G95&lt;=0.01,0,G95)</f>
        <v/>
      </c>
      <c r="D96" s="48">
        <f>IF(C96&lt;=0.01,0,IFERROR(-PMT(Calculadora!$C$7/12,Calculadora!$C$8,Calculadora!$C$6),0))</f>
        <v/>
      </c>
      <c r="E96" s="49">
        <f>IF(C96&lt;=0.01,0,ROUND(C96*Calculadora!$C$7/12,2))</f>
        <v/>
      </c>
      <c r="F96" s="48">
        <f>IF(C96&lt;=0.01,0,D96-E96)</f>
        <v/>
      </c>
      <c r="G96" s="48">
        <f>IF(C96&lt;=0.01,0,MAX(ROUND(C96-F96,2),0))</f>
        <v/>
      </c>
      <c r="H96" s="50">
        <f>IFERROR(IF(Calculadora!$C$6&gt;0,1-(G96/Calculadora!$C$6),0),0)</f>
        <v/>
      </c>
    </row>
    <row r="97" ht="18" customHeight="1">
      <c r="A97" s="46" t="n">
        <v>93</v>
      </c>
      <c r="B97" s="47">
        <f>IFERROR(IF(C97&lt;=0.01,"",EDATE(B96,1)),"")</f>
        <v/>
      </c>
      <c r="C97" s="48">
        <f>IF(G96&lt;=0.01,0,G96)</f>
        <v/>
      </c>
      <c r="D97" s="48">
        <f>IF(C97&lt;=0.01,0,IFERROR(-PMT(Calculadora!$C$7/12,Calculadora!$C$8,Calculadora!$C$6),0))</f>
        <v/>
      </c>
      <c r="E97" s="49">
        <f>IF(C97&lt;=0.01,0,ROUND(C97*Calculadora!$C$7/12,2))</f>
        <v/>
      </c>
      <c r="F97" s="48">
        <f>IF(C97&lt;=0.01,0,D97-E97)</f>
        <v/>
      </c>
      <c r="G97" s="48">
        <f>IF(C97&lt;=0.01,0,MAX(ROUND(C97-F97,2),0))</f>
        <v/>
      </c>
      <c r="H97" s="50">
        <f>IFERROR(IF(Calculadora!$C$6&gt;0,1-(G97/Calculadora!$C$6),0),0)</f>
        <v/>
      </c>
    </row>
    <row r="98" ht="18" customHeight="1">
      <c r="A98" s="46" t="n">
        <v>94</v>
      </c>
      <c r="B98" s="47">
        <f>IFERROR(IF(C98&lt;=0.01,"",EDATE(B97,1)),"")</f>
        <v/>
      </c>
      <c r="C98" s="48">
        <f>IF(G97&lt;=0.01,0,G97)</f>
        <v/>
      </c>
      <c r="D98" s="48">
        <f>IF(C98&lt;=0.01,0,IFERROR(-PMT(Calculadora!$C$7/12,Calculadora!$C$8,Calculadora!$C$6),0))</f>
        <v/>
      </c>
      <c r="E98" s="49">
        <f>IF(C98&lt;=0.01,0,ROUND(C98*Calculadora!$C$7/12,2))</f>
        <v/>
      </c>
      <c r="F98" s="48">
        <f>IF(C98&lt;=0.01,0,D98-E98)</f>
        <v/>
      </c>
      <c r="G98" s="48">
        <f>IF(C98&lt;=0.01,0,MAX(ROUND(C98-F98,2),0))</f>
        <v/>
      </c>
      <c r="H98" s="50">
        <f>IFERROR(IF(Calculadora!$C$6&gt;0,1-(G98/Calculadora!$C$6),0),0)</f>
        <v/>
      </c>
    </row>
    <row r="99" ht="18" customHeight="1">
      <c r="A99" s="46" t="n">
        <v>95</v>
      </c>
      <c r="B99" s="47">
        <f>IFERROR(IF(C99&lt;=0.01,"",EDATE(B98,1)),"")</f>
        <v/>
      </c>
      <c r="C99" s="48">
        <f>IF(G98&lt;=0.01,0,G98)</f>
        <v/>
      </c>
      <c r="D99" s="48">
        <f>IF(C99&lt;=0.01,0,IFERROR(-PMT(Calculadora!$C$7/12,Calculadora!$C$8,Calculadora!$C$6),0))</f>
        <v/>
      </c>
      <c r="E99" s="49">
        <f>IF(C99&lt;=0.01,0,ROUND(C99*Calculadora!$C$7/12,2))</f>
        <v/>
      </c>
      <c r="F99" s="48">
        <f>IF(C99&lt;=0.01,0,D99-E99)</f>
        <v/>
      </c>
      <c r="G99" s="48">
        <f>IF(C99&lt;=0.01,0,MAX(ROUND(C99-F99,2),0))</f>
        <v/>
      </c>
      <c r="H99" s="50">
        <f>IFERROR(IF(Calculadora!$C$6&gt;0,1-(G99/Calculadora!$C$6),0),0)</f>
        <v/>
      </c>
    </row>
    <row r="100" ht="18" customHeight="1">
      <c r="A100" s="46" t="n">
        <v>96</v>
      </c>
      <c r="B100" s="47">
        <f>IFERROR(IF(C100&lt;=0.01,"",EDATE(B99,1)),"")</f>
        <v/>
      </c>
      <c r="C100" s="48">
        <f>IF(G99&lt;=0.01,0,G99)</f>
        <v/>
      </c>
      <c r="D100" s="48">
        <f>IF(C100&lt;=0.01,0,IFERROR(-PMT(Calculadora!$C$7/12,Calculadora!$C$8,Calculadora!$C$6),0))</f>
        <v/>
      </c>
      <c r="E100" s="49">
        <f>IF(C100&lt;=0.01,0,ROUND(C100*Calculadora!$C$7/12,2))</f>
        <v/>
      </c>
      <c r="F100" s="48">
        <f>IF(C100&lt;=0.01,0,D100-E100)</f>
        <v/>
      </c>
      <c r="G100" s="48">
        <f>IF(C100&lt;=0.01,0,MAX(ROUND(C100-F100,2),0))</f>
        <v/>
      </c>
      <c r="H100" s="50">
        <f>IFERROR(IF(Calculadora!$C$6&gt;0,1-(G100/Calculadora!$C$6),0),0)</f>
        <v/>
      </c>
    </row>
    <row r="101" ht="18" customHeight="1">
      <c r="A101" s="46" t="n">
        <v>97</v>
      </c>
      <c r="B101" s="47">
        <f>IFERROR(IF(C101&lt;=0.01,"",EDATE(B100,1)),"")</f>
        <v/>
      </c>
      <c r="C101" s="48">
        <f>IF(G100&lt;=0.01,0,G100)</f>
        <v/>
      </c>
      <c r="D101" s="48">
        <f>IF(C101&lt;=0.01,0,IFERROR(-PMT(Calculadora!$C$7/12,Calculadora!$C$8,Calculadora!$C$6),0))</f>
        <v/>
      </c>
      <c r="E101" s="49">
        <f>IF(C101&lt;=0.01,0,ROUND(C101*Calculadora!$C$7/12,2))</f>
        <v/>
      </c>
      <c r="F101" s="48">
        <f>IF(C101&lt;=0.01,0,D101-E101)</f>
        <v/>
      </c>
      <c r="G101" s="48">
        <f>IF(C101&lt;=0.01,0,MAX(ROUND(C101-F101,2),0))</f>
        <v/>
      </c>
      <c r="H101" s="50">
        <f>IFERROR(IF(Calculadora!$C$6&gt;0,1-(G101/Calculadora!$C$6),0),0)</f>
        <v/>
      </c>
    </row>
    <row r="102" ht="18" customHeight="1">
      <c r="A102" s="46" t="n">
        <v>98</v>
      </c>
      <c r="B102" s="47">
        <f>IFERROR(IF(C102&lt;=0.01,"",EDATE(B101,1)),"")</f>
        <v/>
      </c>
      <c r="C102" s="48">
        <f>IF(G101&lt;=0.01,0,G101)</f>
        <v/>
      </c>
      <c r="D102" s="48">
        <f>IF(C102&lt;=0.01,0,IFERROR(-PMT(Calculadora!$C$7/12,Calculadora!$C$8,Calculadora!$C$6),0))</f>
        <v/>
      </c>
      <c r="E102" s="49">
        <f>IF(C102&lt;=0.01,0,ROUND(C102*Calculadora!$C$7/12,2))</f>
        <v/>
      </c>
      <c r="F102" s="48">
        <f>IF(C102&lt;=0.01,0,D102-E102)</f>
        <v/>
      </c>
      <c r="G102" s="48">
        <f>IF(C102&lt;=0.01,0,MAX(ROUND(C102-F102,2),0))</f>
        <v/>
      </c>
      <c r="H102" s="50">
        <f>IFERROR(IF(Calculadora!$C$6&gt;0,1-(G102/Calculadora!$C$6),0),0)</f>
        <v/>
      </c>
    </row>
    <row r="103" ht="18" customHeight="1">
      <c r="A103" s="46" t="n">
        <v>99</v>
      </c>
      <c r="B103" s="47">
        <f>IFERROR(IF(C103&lt;=0.01,"",EDATE(B102,1)),"")</f>
        <v/>
      </c>
      <c r="C103" s="48">
        <f>IF(G102&lt;=0.01,0,G102)</f>
        <v/>
      </c>
      <c r="D103" s="48">
        <f>IF(C103&lt;=0.01,0,IFERROR(-PMT(Calculadora!$C$7/12,Calculadora!$C$8,Calculadora!$C$6),0))</f>
        <v/>
      </c>
      <c r="E103" s="49">
        <f>IF(C103&lt;=0.01,0,ROUND(C103*Calculadora!$C$7/12,2))</f>
        <v/>
      </c>
      <c r="F103" s="48">
        <f>IF(C103&lt;=0.01,0,D103-E103)</f>
        <v/>
      </c>
      <c r="G103" s="48">
        <f>IF(C103&lt;=0.01,0,MAX(ROUND(C103-F103,2),0))</f>
        <v/>
      </c>
      <c r="H103" s="50">
        <f>IFERROR(IF(Calculadora!$C$6&gt;0,1-(G103/Calculadora!$C$6),0),0)</f>
        <v/>
      </c>
    </row>
    <row r="104" ht="18" customHeight="1">
      <c r="A104" s="46" t="n">
        <v>100</v>
      </c>
      <c r="B104" s="47">
        <f>IFERROR(IF(C104&lt;=0.01,"",EDATE(B103,1)),"")</f>
        <v/>
      </c>
      <c r="C104" s="48">
        <f>IF(G103&lt;=0.01,0,G103)</f>
        <v/>
      </c>
      <c r="D104" s="48">
        <f>IF(C104&lt;=0.01,0,IFERROR(-PMT(Calculadora!$C$7/12,Calculadora!$C$8,Calculadora!$C$6),0))</f>
        <v/>
      </c>
      <c r="E104" s="49">
        <f>IF(C104&lt;=0.01,0,ROUND(C104*Calculadora!$C$7/12,2))</f>
        <v/>
      </c>
      <c r="F104" s="48">
        <f>IF(C104&lt;=0.01,0,D104-E104)</f>
        <v/>
      </c>
      <c r="G104" s="48">
        <f>IF(C104&lt;=0.01,0,MAX(ROUND(C104-F104,2),0))</f>
        <v/>
      </c>
      <c r="H104" s="50">
        <f>IFERROR(IF(Calculadora!$C$6&gt;0,1-(G104/Calculadora!$C$6),0),0)</f>
        <v/>
      </c>
    </row>
    <row r="105" ht="18" customHeight="1">
      <c r="A105" s="46" t="n">
        <v>101</v>
      </c>
      <c r="B105" s="47">
        <f>IFERROR(IF(C105&lt;=0.01,"",EDATE(B104,1)),"")</f>
        <v/>
      </c>
      <c r="C105" s="48">
        <f>IF(G104&lt;=0.01,0,G104)</f>
        <v/>
      </c>
      <c r="D105" s="48">
        <f>IF(C105&lt;=0.01,0,IFERROR(-PMT(Calculadora!$C$7/12,Calculadora!$C$8,Calculadora!$C$6),0))</f>
        <v/>
      </c>
      <c r="E105" s="49">
        <f>IF(C105&lt;=0.01,0,ROUND(C105*Calculadora!$C$7/12,2))</f>
        <v/>
      </c>
      <c r="F105" s="48">
        <f>IF(C105&lt;=0.01,0,D105-E105)</f>
        <v/>
      </c>
      <c r="G105" s="48">
        <f>IF(C105&lt;=0.01,0,MAX(ROUND(C105-F105,2),0))</f>
        <v/>
      </c>
      <c r="H105" s="50">
        <f>IFERROR(IF(Calculadora!$C$6&gt;0,1-(G105/Calculadora!$C$6),0),0)</f>
        <v/>
      </c>
    </row>
    <row r="106" ht="18" customHeight="1">
      <c r="A106" s="46" t="n">
        <v>102</v>
      </c>
      <c r="B106" s="47">
        <f>IFERROR(IF(C106&lt;=0.01,"",EDATE(B105,1)),"")</f>
        <v/>
      </c>
      <c r="C106" s="48">
        <f>IF(G105&lt;=0.01,0,G105)</f>
        <v/>
      </c>
      <c r="D106" s="48">
        <f>IF(C106&lt;=0.01,0,IFERROR(-PMT(Calculadora!$C$7/12,Calculadora!$C$8,Calculadora!$C$6),0))</f>
        <v/>
      </c>
      <c r="E106" s="49">
        <f>IF(C106&lt;=0.01,0,ROUND(C106*Calculadora!$C$7/12,2))</f>
        <v/>
      </c>
      <c r="F106" s="48">
        <f>IF(C106&lt;=0.01,0,D106-E106)</f>
        <v/>
      </c>
      <c r="G106" s="48">
        <f>IF(C106&lt;=0.01,0,MAX(ROUND(C106-F106,2),0))</f>
        <v/>
      </c>
      <c r="H106" s="50">
        <f>IFERROR(IF(Calculadora!$C$6&gt;0,1-(G106/Calculadora!$C$6),0),0)</f>
        <v/>
      </c>
    </row>
    <row r="107" ht="18" customHeight="1">
      <c r="A107" s="46" t="n">
        <v>103</v>
      </c>
      <c r="B107" s="47">
        <f>IFERROR(IF(C107&lt;=0.01,"",EDATE(B106,1)),"")</f>
        <v/>
      </c>
      <c r="C107" s="48">
        <f>IF(G106&lt;=0.01,0,G106)</f>
        <v/>
      </c>
      <c r="D107" s="48">
        <f>IF(C107&lt;=0.01,0,IFERROR(-PMT(Calculadora!$C$7/12,Calculadora!$C$8,Calculadora!$C$6),0))</f>
        <v/>
      </c>
      <c r="E107" s="49">
        <f>IF(C107&lt;=0.01,0,ROUND(C107*Calculadora!$C$7/12,2))</f>
        <v/>
      </c>
      <c r="F107" s="48">
        <f>IF(C107&lt;=0.01,0,D107-E107)</f>
        <v/>
      </c>
      <c r="G107" s="48">
        <f>IF(C107&lt;=0.01,0,MAX(ROUND(C107-F107,2),0))</f>
        <v/>
      </c>
      <c r="H107" s="50">
        <f>IFERROR(IF(Calculadora!$C$6&gt;0,1-(G107/Calculadora!$C$6),0),0)</f>
        <v/>
      </c>
    </row>
    <row r="108" ht="18" customHeight="1">
      <c r="A108" s="46" t="n">
        <v>104</v>
      </c>
      <c r="B108" s="47">
        <f>IFERROR(IF(C108&lt;=0.01,"",EDATE(B107,1)),"")</f>
        <v/>
      </c>
      <c r="C108" s="48">
        <f>IF(G107&lt;=0.01,0,G107)</f>
        <v/>
      </c>
      <c r="D108" s="48">
        <f>IF(C108&lt;=0.01,0,IFERROR(-PMT(Calculadora!$C$7/12,Calculadora!$C$8,Calculadora!$C$6),0))</f>
        <v/>
      </c>
      <c r="E108" s="49">
        <f>IF(C108&lt;=0.01,0,ROUND(C108*Calculadora!$C$7/12,2))</f>
        <v/>
      </c>
      <c r="F108" s="48">
        <f>IF(C108&lt;=0.01,0,D108-E108)</f>
        <v/>
      </c>
      <c r="G108" s="48">
        <f>IF(C108&lt;=0.01,0,MAX(ROUND(C108-F108,2),0))</f>
        <v/>
      </c>
      <c r="H108" s="50">
        <f>IFERROR(IF(Calculadora!$C$6&gt;0,1-(G108/Calculadora!$C$6),0),0)</f>
        <v/>
      </c>
    </row>
    <row r="109" ht="18" customHeight="1">
      <c r="A109" s="46" t="n">
        <v>105</v>
      </c>
      <c r="B109" s="47">
        <f>IFERROR(IF(C109&lt;=0.01,"",EDATE(B108,1)),"")</f>
        <v/>
      </c>
      <c r="C109" s="48">
        <f>IF(G108&lt;=0.01,0,G108)</f>
        <v/>
      </c>
      <c r="D109" s="48">
        <f>IF(C109&lt;=0.01,0,IFERROR(-PMT(Calculadora!$C$7/12,Calculadora!$C$8,Calculadora!$C$6),0))</f>
        <v/>
      </c>
      <c r="E109" s="49">
        <f>IF(C109&lt;=0.01,0,ROUND(C109*Calculadora!$C$7/12,2))</f>
        <v/>
      </c>
      <c r="F109" s="48">
        <f>IF(C109&lt;=0.01,0,D109-E109)</f>
        <v/>
      </c>
      <c r="G109" s="48">
        <f>IF(C109&lt;=0.01,0,MAX(ROUND(C109-F109,2),0))</f>
        <v/>
      </c>
      <c r="H109" s="50">
        <f>IFERROR(IF(Calculadora!$C$6&gt;0,1-(G109/Calculadora!$C$6),0),0)</f>
        <v/>
      </c>
    </row>
    <row r="110" ht="18" customHeight="1">
      <c r="A110" s="46" t="n">
        <v>106</v>
      </c>
      <c r="B110" s="47">
        <f>IFERROR(IF(C110&lt;=0.01,"",EDATE(B109,1)),"")</f>
        <v/>
      </c>
      <c r="C110" s="48">
        <f>IF(G109&lt;=0.01,0,G109)</f>
        <v/>
      </c>
      <c r="D110" s="48">
        <f>IF(C110&lt;=0.01,0,IFERROR(-PMT(Calculadora!$C$7/12,Calculadora!$C$8,Calculadora!$C$6),0))</f>
        <v/>
      </c>
      <c r="E110" s="49">
        <f>IF(C110&lt;=0.01,0,ROUND(C110*Calculadora!$C$7/12,2))</f>
        <v/>
      </c>
      <c r="F110" s="48">
        <f>IF(C110&lt;=0.01,0,D110-E110)</f>
        <v/>
      </c>
      <c r="G110" s="48">
        <f>IF(C110&lt;=0.01,0,MAX(ROUND(C110-F110,2),0))</f>
        <v/>
      </c>
      <c r="H110" s="50">
        <f>IFERROR(IF(Calculadora!$C$6&gt;0,1-(G110/Calculadora!$C$6),0),0)</f>
        <v/>
      </c>
    </row>
    <row r="111" ht="18" customHeight="1">
      <c r="A111" s="46" t="n">
        <v>107</v>
      </c>
      <c r="B111" s="47">
        <f>IFERROR(IF(C111&lt;=0.01,"",EDATE(B110,1)),"")</f>
        <v/>
      </c>
      <c r="C111" s="48">
        <f>IF(G110&lt;=0.01,0,G110)</f>
        <v/>
      </c>
      <c r="D111" s="48">
        <f>IF(C111&lt;=0.01,0,IFERROR(-PMT(Calculadora!$C$7/12,Calculadora!$C$8,Calculadora!$C$6),0))</f>
        <v/>
      </c>
      <c r="E111" s="49">
        <f>IF(C111&lt;=0.01,0,ROUND(C111*Calculadora!$C$7/12,2))</f>
        <v/>
      </c>
      <c r="F111" s="48">
        <f>IF(C111&lt;=0.01,0,D111-E111)</f>
        <v/>
      </c>
      <c r="G111" s="48">
        <f>IF(C111&lt;=0.01,0,MAX(ROUND(C111-F111,2),0))</f>
        <v/>
      </c>
      <c r="H111" s="50">
        <f>IFERROR(IF(Calculadora!$C$6&gt;0,1-(G111/Calculadora!$C$6),0),0)</f>
        <v/>
      </c>
    </row>
    <row r="112" ht="18" customHeight="1">
      <c r="A112" s="46" t="n">
        <v>108</v>
      </c>
      <c r="B112" s="47">
        <f>IFERROR(IF(C112&lt;=0.01,"",EDATE(B111,1)),"")</f>
        <v/>
      </c>
      <c r="C112" s="48">
        <f>IF(G111&lt;=0.01,0,G111)</f>
        <v/>
      </c>
      <c r="D112" s="48">
        <f>IF(C112&lt;=0.01,0,IFERROR(-PMT(Calculadora!$C$7/12,Calculadora!$C$8,Calculadora!$C$6),0))</f>
        <v/>
      </c>
      <c r="E112" s="49">
        <f>IF(C112&lt;=0.01,0,ROUND(C112*Calculadora!$C$7/12,2))</f>
        <v/>
      </c>
      <c r="F112" s="48">
        <f>IF(C112&lt;=0.01,0,D112-E112)</f>
        <v/>
      </c>
      <c r="G112" s="48">
        <f>IF(C112&lt;=0.01,0,MAX(ROUND(C112-F112,2),0))</f>
        <v/>
      </c>
      <c r="H112" s="50">
        <f>IFERROR(IF(Calculadora!$C$6&gt;0,1-(G112/Calculadora!$C$6),0),0)</f>
        <v/>
      </c>
    </row>
    <row r="113" ht="18" customHeight="1">
      <c r="A113" s="46" t="n">
        <v>109</v>
      </c>
      <c r="B113" s="47">
        <f>IFERROR(IF(C113&lt;=0.01,"",EDATE(B112,1)),"")</f>
        <v/>
      </c>
      <c r="C113" s="48">
        <f>IF(G112&lt;=0.01,0,G112)</f>
        <v/>
      </c>
      <c r="D113" s="48">
        <f>IF(C113&lt;=0.01,0,IFERROR(-PMT(Calculadora!$C$7/12,Calculadora!$C$8,Calculadora!$C$6),0))</f>
        <v/>
      </c>
      <c r="E113" s="49">
        <f>IF(C113&lt;=0.01,0,ROUND(C113*Calculadora!$C$7/12,2))</f>
        <v/>
      </c>
      <c r="F113" s="48">
        <f>IF(C113&lt;=0.01,0,D113-E113)</f>
        <v/>
      </c>
      <c r="G113" s="48">
        <f>IF(C113&lt;=0.01,0,MAX(ROUND(C113-F113,2),0))</f>
        <v/>
      </c>
      <c r="H113" s="50">
        <f>IFERROR(IF(Calculadora!$C$6&gt;0,1-(G113/Calculadora!$C$6),0),0)</f>
        <v/>
      </c>
    </row>
    <row r="114" ht="18" customHeight="1">
      <c r="A114" s="46" t="n">
        <v>110</v>
      </c>
      <c r="B114" s="47">
        <f>IFERROR(IF(C114&lt;=0.01,"",EDATE(B113,1)),"")</f>
        <v/>
      </c>
      <c r="C114" s="48">
        <f>IF(G113&lt;=0.01,0,G113)</f>
        <v/>
      </c>
      <c r="D114" s="48">
        <f>IF(C114&lt;=0.01,0,IFERROR(-PMT(Calculadora!$C$7/12,Calculadora!$C$8,Calculadora!$C$6),0))</f>
        <v/>
      </c>
      <c r="E114" s="49">
        <f>IF(C114&lt;=0.01,0,ROUND(C114*Calculadora!$C$7/12,2))</f>
        <v/>
      </c>
      <c r="F114" s="48">
        <f>IF(C114&lt;=0.01,0,D114-E114)</f>
        <v/>
      </c>
      <c r="G114" s="48">
        <f>IF(C114&lt;=0.01,0,MAX(ROUND(C114-F114,2),0))</f>
        <v/>
      </c>
      <c r="H114" s="50">
        <f>IFERROR(IF(Calculadora!$C$6&gt;0,1-(G114/Calculadora!$C$6),0),0)</f>
        <v/>
      </c>
    </row>
    <row r="115" ht="18" customHeight="1">
      <c r="A115" s="46" t="n">
        <v>111</v>
      </c>
      <c r="B115" s="47">
        <f>IFERROR(IF(C115&lt;=0.01,"",EDATE(B114,1)),"")</f>
        <v/>
      </c>
      <c r="C115" s="48">
        <f>IF(G114&lt;=0.01,0,G114)</f>
        <v/>
      </c>
      <c r="D115" s="48">
        <f>IF(C115&lt;=0.01,0,IFERROR(-PMT(Calculadora!$C$7/12,Calculadora!$C$8,Calculadora!$C$6),0))</f>
        <v/>
      </c>
      <c r="E115" s="49">
        <f>IF(C115&lt;=0.01,0,ROUND(C115*Calculadora!$C$7/12,2))</f>
        <v/>
      </c>
      <c r="F115" s="48">
        <f>IF(C115&lt;=0.01,0,D115-E115)</f>
        <v/>
      </c>
      <c r="G115" s="48">
        <f>IF(C115&lt;=0.01,0,MAX(ROUND(C115-F115,2),0))</f>
        <v/>
      </c>
      <c r="H115" s="50">
        <f>IFERROR(IF(Calculadora!$C$6&gt;0,1-(G115/Calculadora!$C$6),0),0)</f>
        <v/>
      </c>
    </row>
    <row r="116" ht="18" customHeight="1">
      <c r="A116" s="46" t="n">
        <v>112</v>
      </c>
      <c r="B116" s="47">
        <f>IFERROR(IF(C116&lt;=0.01,"",EDATE(B115,1)),"")</f>
        <v/>
      </c>
      <c r="C116" s="48">
        <f>IF(G115&lt;=0.01,0,G115)</f>
        <v/>
      </c>
      <c r="D116" s="48">
        <f>IF(C116&lt;=0.01,0,IFERROR(-PMT(Calculadora!$C$7/12,Calculadora!$C$8,Calculadora!$C$6),0))</f>
        <v/>
      </c>
      <c r="E116" s="49">
        <f>IF(C116&lt;=0.01,0,ROUND(C116*Calculadora!$C$7/12,2))</f>
        <v/>
      </c>
      <c r="F116" s="48">
        <f>IF(C116&lt;=0.01,0,D116-E116)</f>
        <v/>
      </c>
      <c r="G116" s="48">
        <f>IF(C116&lt;=0.01,0,MAX(ROUND(C116-F116,2),0))</f>
        <v/>
      </c>
      <c r="H116" s="50">
        <f>IFERROR(IF(Calculadora!$C$6&gt;0,1-(G116/Calculadora!$C$6),0),0)</f>
        <v/>
      </c>
    </row>
    <row r="117" ht="18" customHeight="1">
      <c r="A117" s="46" t="n">
        <v>113</v>
      </c>
      <c r="B117" s="47">
        <f>IFERROR(IF(C117&lt;=0.01,"",EDATE(B116,1)),"")</f>
        <v/>
      </c>
      <c r="C117" s="48">
        <f>IF(G116&lt;=0.01,0,G116)</f>
        <v/>
      </c>
      <c r="D117" s="48">
        <f>IF(C117&lt;=0.01,0,IFERROR(-PMT(Calculadora!$C$7/12,Calculadora!$C$8,Calculadora!$C$6),0))</f>
        <v/>
      </c>
      <c r="E117" s="49">
        <f>IF(C117&lt;=0.01,0,ROUND(C117*Calculadora!$C$7/12,2))</f>
        <v/>
      </c>
      <c r="F117" s="48">
        <f>IF(C117&lt;=0.01,0,D117-E117)</f>
        <v/>
      </c>
      <c r="G117" s="48">
        <f>IF(C117&lt;=0.01,0,MAX(ROUND(C117-F117,2),0))</f>
        <v/>
      </c>
      <c r="H117" s="50">
        <f>IFERROR(IF(Calculadora!$C$6&gt;0,1-(G117/Calculadora!$C$6),0),0)</f>
        <v/>
      </c>
    </row>
    <row r="118" ht="18" customHeight="1">
      <c r="A118" s="46" t="n">
        <v>114</v>
      </c>
      <c r="B118" s="47">
        <f>IFERROR(IF(C118&lt;=0.01,"",EDATE(B117,1)),"")</f>
        <v/>
      </c>
      <c r="C118" s="48">
        <f>IF(G117&lt;=0.01,0,G117)</f>
        <v/>
      </c>
      <c r="D118" s="48">
        <f>IF(C118&lt;=0.01,0,IFERROR(-PMT(Calculadora!$C$7/12,Calculadora!$C$8,Calculadora!$C$6),0))</f>
        <v/>
      </c>
      <c r="E118" s="49">
        <f>IF(C118&lt;=0.01,0,ROUND(C118*Calculadora!$C$7/12,2))</f>
        <v/>
      </c>
      <c r="F118" s="48">
        <f>IF(C118&lt;=0.01,0,D118-E118)</f>
        <v/>
      </c>
      <c r="G118" s="48">
        <f>IF(C118&lt;=0.01,0,MAX(ROUND(C118-F118,2),0))</f>
        <v/>
      </c>
      <c r="H118" s="50">
        <f>IFERROR(IF(Calculadora!$C$6&gt;0,1-(G118/Calculadora!$C$6),0),0)</f>
        <v/>
      </c>
    </row>
    <row r="119" ht="18" customHeight="1">
      <c r="A119" s="46" t="n">
        <v>115</v>
      </c>
      <c r="B119" s="47">
        <f>IFERROR(IF(C119&lt;=0.01,"",EDATE(B118,1)),"")</f>
        <v/>
      </c>
      <c r="C119" s="48">
        <f>IF(G118&lt;=0.01,0,G118)</f>
        <v/>
      </c>
      <c r="D119" s="48">
        <f>IF(C119&lt;=0.01,0,IFERROR(-PMT(Calculadora!$C$7/12,Calculadora!$C$8,Calculadora!$C$6),0))</f>
        <v/>
      </c>
      <c r="E119" s="49">
        <f>IF(C119&lt;=0.01,0,ROUND(C119*Calculadora!$C$7/12,2))</f>
        <v/>
      </c>
      <c r="F119" s="48">
        <f>IF(C119&lt;=0.01,0,D119-E119)</f>
        <v/>
      </c>
      <c r="G119" s="48">
        <f>IF(C119&lt;=0.01,0,MAX(ROUND(C119-F119,2),0))</f>
        <v/>
      </c>
      <c r="H119" s="50">
        <f>IFERROR(IF(Calculadora!$C$6&gt;0,1-(G119/Calculadora!$C$6),0),0)</f>
        <v/>
      </c>
    </row>
    <row r="120" ht="18" customHeight="1">
      <c r="A120" s="46" t="n">
        <v>116</v>
      </c>
      <c r="B120" s="47">
        <f>IFERROR(IF(C120&lt;=0.01,"",EDATE(B119,1)),"")</f>
        <v/>
      </c>
      <c r="C120" s="48">
        <f>IF(G119&lt;=0.01,0,G119)</f>
        <v/>
      </c>
      <c r="D120" s="48">
        <f>IF(C120&lt;=0.01,0,IFERROR(-PMT(Calculadora!$C$7/12,Calculadora!$C$8,Calculadora!$C$6),0))</f>
        <v/>
      </c>
      <c r="E120" s="49">
        <f>IF(C120&lt;=0.01,0,ROUND(C120*Calculadora!$C$7/12,2))</f>
        <v/>
      </c>
      <c r="F120" s="48">
        <f>IF(C120&lt;=0.01,0,D120-E120)</f>
        <v/>
      </c>
      <c r="G120" s="48">
        <f>IF(C120&lt;=0.01,0,MAX(ROUND(C120-F120,2),0))</f>
        <v/>
      </c>
      <c r="H120" s="50">
        <f>IFERROR(IF(Calculadora!$C$6&gt;0,1-(G120/Calculadora!$C$6),0),0)</f>
        <v/>
      </c>
    </row>
    <row r="121" ht="18" customHeight="1">
      <c r="A121" s="46" t="n">
        <v>117</v>
      </c>
      <c r="B121" s="47">
        <f>IFERROR(IF(C121&lt;=0.01,"",EDATE(B120,1)),"")</f>
        <v/>
      </c>
      <c r="C121" s="48">
        <f>IF(G120&lt;=0.01,0,G120)</f>
        <v/>
      </c>
      <c r="D121" s="48">
        <f>IF(C121&lt;=0.01,0,IFERROR(-PMT(Calculadora!$C$7/12,Calculadora!$C$8,Calculadora!$C$6),0))</f>
        <v/>
      </c>
      <c r="E121" s="49">
        <f>IF(C121&lt;=0.01,0,ROUND(C121*Calculadora!$C$7/12,2))</f>
        <v/>
      </c>
      <c r="F121" s="48">
        <f>IF(C121&lt;=0.01,0,D121-E121)</f>
        <v/>
      </c>
      <c r="G121" s="48">
        <f>IF(C121&lt;=0.01,0,MAX(ROUND(C121-F121,2),0))</f>
        <v/>
      </c>
      <c r="H121" s="50">
        <f>IFERROR(IF(Calculadora!$C$6&gt;0,1-(G121/Calculadora!$C$6),0),0)</f>
        <v/>
      </c>
    </row>
    <row r="122" ht="18" customHeight="1">
      <c r="A122" s="46" t="n">
        <v>118</v>
      </c>
      <c r="B122" s="47">
        <f>IFERROR(IF(C122&lt;=0.01,"",EDATE(B121,1)),"")</f>
        <v/>
      </c>
      <c r="C122" s="48">
        <f>IF(G121&lt;=0.01,0,G121)</f>
        <v/>
      </c>
      <c r="D122" s="48">
        <f>IF(C122&lt;=0.01,0,IFERROR(-PMT(Calculadora!$C$7/12,Calculadora!$C$8,Calculadora!$C$6),0))</f>
        <v/>
      </c>
      <c r="E122" s="49">
        <f>IF(C122&lt;=0.01,0,ROUND(C122*Calculadora!$C$7/12,2))</f>
        <v/>
      </c>
      <c r="F122" s="48">
        <f>IF(C122&lt;=0.01,0,D122-E122)</f>
        <v/>
      </c>
      <c r="G122" s="48">
        <f>IF(C122&lt;=0.01,0,MAX(ROUND(C122-F122,2),0))</f>
        <v/>
      </c>
      <c r="H122" s="50">
        <f>IFERROR(IF(Calculadora!$C$6&gt;0,1-(G122/Calculadora!$C$6),0),0)</f>
        <v/>
      </c>
    </row>
    <row r="123" ht="18" customHeight="1">
      <c r="A123" s="46" t="n">
        <v>119</v>
      </c>
      <c r="B123" s="47">
        <f>IFERROR(IF(C123&lt;=0.01,"",EDATE(B122,1)),"")</f>
        <v/>
      </c>
      <c r="C123" s="48">
        <f>IF(G122&lt;=0.01,0,G122)</f>
        <v/>
      </c>
      <c r="D123" s="48">
        <f>IF(C123&lt;=0.01,0,IFERROR(-PMT(Calculadora!$C$7/12,Calculadora!$C$8,Calculadora!$C$6),0))</f>
        <v/>
      </c>
      <c r="E123" s="49">
        <f>IF(C123&lt;=0.01,0,ROUND(C123*Calculadora!$C$7/12,2))</f>
        <v/>
      </c>
      <c r="F123" s="48">
        <f>IF(C123&lt;=0.01,0,D123-E123)</f>
        <v/>
      </c>
      <c r="G123" s="48">
        <f>IF(C123&lt;=0.01,0,MAX(ROUND(C123-F123,2),0))</f>
        <v/>
      </c>
      <c r="H123" s="50">
        <f>IFERROR(IF(Calculadora!$C$6&gt;0,1-(G123/Calculadora!$C$6),0),0)</f>
        <v/>
      </c>
    </row>
    <row r="124" ht="18" customHeight="1">
      <c r="A124" s="46" t="n">
        <v>120</v>
      </c>
      <c r="B124" s="47">
        <f>IFERROR(IF(C124&lt;=0.01,"",EDATE(B123,1)),"")</f>
        <v/>
      </c>
      <c r="C124" s="48">
        <f>IF(G123&lt;=0.01,0,G123)</f>
        <v/>
      </c>
      <c r="D124" s="48">
        <f>IF(C124&lt;=0.01,0,IFERROR(-PMT(Calculadora!$C$7/12,Calculadora!$C$8,Calculadora!$C$6),0))</f>
        <v/>
      </c>
      <c r="E124" s="49">
        <f>IF(C124&lt;=0.01,0,ROUND(C124*Calculadora!$C$7/12,2))</f>
        <v/>
      </c>
      <c r="F124" s="48">
        <f>IF(C124&lt;=0.01,0,D124-E124)</f>
        <v/>
      </c>
      <c r="G124" s="48">
        <f>IF(C124&lt;=0.01,0,MAX(ROUND(C124-F124,2),0))</f>
        <v/>
      </c>
      <c r="H124" s="50">
        <f>IFERROR(IF(Calculadora!$C$6&gt;0,1-(G124/Calculadora!$C$6),0),0)</f>
        <v/>
      </c>
    </row>
    <row r="125" ht="18" customHeight="1">
      <c r="A125" s="46" t="n">
        <v>121</v>
      </c>
      <c r="B125" s="47">
        <f>IFERROR(IF(C125&lt;=0.01,"",EDATE(B124,1)),"")</f>
        <v/>
      </c>
      <c r="C125" s="48">
        <f>IF(G124&lt;=0.01,0,G124)</f>
        <v/>
      </c>
      <c r="D125" s="48">
        <f>IF(C125&lt;=0.01,0,IFERROR(-PMT(Calculadora!$C$7/12,Calculadora!$C$8,Calculadora!$C$6),0))</f>
        <v/>
      </c>
      <c r="E125" s="49">
        <f>IF(C125&lt;=0.01,0,ROUND(C125*Calculadora!$C$7/12,2))</f>
        <v/>
      </c>
      <c r="F125" s="48">
        <f>IF(C125&lt;=0.01,0,D125-E125)</f>
        <v/>
      </c>
      <c r="G125" s="48">
        <f>IF(C125&lt;=0.01,0,MAX(ROUND(C125-F125,2),0))</f>
        <v/>
      </c>
      <c r="H125" s="50">
        <f>IFERROR(IF(Calculadora!$C$6&gt;0,1-(G125/Calculadora!$C$6),0),0)</f>
        <v/>
      </c>
    </row>
    <row r="126" ht="18" customHeight="1">
      <c r="A126" s="46" t="n">
        <v>122</v>
      </c>
      <c r="B126" s="47">
        <f>IFERROR(IF(C126&lt;=0.01,"",EDATE(B125,1)),"")</f>
        <v/>
      </c>
      <c r="C126" s="48">
        <f>IF(G125&lt;=0.01,0,G125)</f>
        <v/>
      </c>
      <c r="D126" s="48">
        <f>IF(C126&lt;=0.01,0,IFERROR(-PMT(Calculadora!$C$7/12,Calculadora!$C$8,Calculadora!$C$6),0))</f>
        <v/>
      </c>
      <c r="E126" s="49">
        <f>IF(C126&lt;=0.01,0,ROUND(C126*Calculadora!$C$7/12,2))</f>
        <v/>
      </c>
      <c r="F126" s="48">
        <f>IF(C126&lt;=0.01,0,D126-E126)</f>
        <v/>
      </c>
      <c r="G126" s="48">
        <f>IF(C126&lt;=0.01,0,MAX(ROUND(C126-F126,2),0))</f>
        <v/>
      </c>
      <c r="H126" s="50">
        <f>IFERROR(IF(Calculadora!$C$6&gt;0,1-(G126/Calculadora!$C$6),0),0)</f>
        <v/>
      </c>
    </row>
    <row r="127" ht="18" customHeight="1">
      <c r="A127" s="46" t="n">
        <v>123</v>
      </c>
      <c r="B127" s="47">
        <f>IFERROR(IF(C127&lt;=0.01,"",EDATE(B126,1)),"")</f>
        <v/>
      </c>
      <c r="C127" s="48">
        <f>IF(G126&lt;=0.01,0,G126)</f>
        <v/>
      </c>
      <c r="D127" s="48">
        <f>IF(C127&lt;=0.01,0,IFERROR(-PMT(Calculadora!$C$7/12,Calculadora!$C$8,Calculadora!$C$6),0))</f>
        <v/>
      </c>
      <c r="E127" s="49">
        <f>IF(C127&lt;=0.01,0,ROUND(C127*Calculadora!$C$7/12,2))</f>
        <v/>
      </c>
      <c r="F127" s="48">
        <f>IF(C127&lt;=0.01,0,D127-E127)</f>
        <v/>
      </c>
      <c r="G127" s="48">
        <f>IF(C127&lt;=0.01,0,MAX(ROUND(C127-F127,2),0))</f>
        <v/>
      </c>
      <c r="H127" s="50">
        <f>IFERROR(IF(Calculadora!$C$6&gt;0,1-(G127/Calculadora!$C$6),0),0)</f>
        <v/>
      </c>
    </row>
    <row r="128" ht="18" customHeight="1">
      <c r="A128" s="46" t="n">
        <v>124</v>
      </c>
      <c r="B128" s="47">
        <f>IFERROR(IF(C128&lt;=0.01,"",EDATE(B127,1)),"")</f>
        <v/>
      </c>
      <c r="C128" s="48">
        <f>IF(G127&lt;=0.01,0,G127)</f>
        <v/>
      </c>
      <c r="D128" s="48">
        <f>IF(C128&lt;=0.01,0,IFERROR(-PMT(Calculadora!$C$7/12,Calculadora!$C$8,Calculadora!$C$6),0))</f>
        <v/>
      </c>
      <c r="E128" s="49">
        <f>IF(C128&lt;=0.01,0,ROUND(C128*Calculadora!$C$7/12,2))</f>
        <v/>
      </c>
      <c r="F128" s="48">
        <f>IF(C128&lt;=0.01,0,D128-E128)</f>
        <v/>
      </c>
      <c r="G128" s="48">
        <f>IF(C128&lt;=0.01,0,MAX(ROUND(C128-F128,2),0))</f>
        <v/>
      </c>
      <c r="H128" s="50">
        <f>IFERROR(IF(Calculadora!$C$6&gt;0,1-(G128/Calculadora!$C$6),0),0)</f>
        <v/>
      </c>
    </row>
    <row r="129" ht="18" customHeight="1">
      <c r="A129" s="46" t="n">
        <v>125</v>
      </c>
      <c r="B129" s="47">
        <f>IFERROR(IF(C129&lt;=0.01,"",EDATE(B128,1)),"")</f>
        <v/>
      </c>
      <c r="C129" s="48">
        <f>IF(G128&lt;=0.01,0,G128)</f>
        <v/>
      </c>
      <c r="D129" s="48">
        <f>IF(C129&lt;=0.01,0,IFERROR(-PMT(Calculadora!$C$7/12,Calculadora!$C$8,Calculadora!$C$6),0))</f>
        <v/>
      </c>
      <c r="E129" s="49">
        <f>IF(C129&lt;=0.01,0,ROUND(C129*Calculadora!$C$7/12,2))</f>
        <v/>
      </c>
      <c r="F129" s="48">
        <f>IF(C129&lt;=0.01,0,D129-E129)</f>
        <v/>
      </c>
      <c r="G129" s="48">
        <f>IF(C129&lt;=0.01,0,MAX(ROUND(C129-F129,2),0))</f>
        <v/>
      </c>
      <c r="H129" s="50">
        <f>IFERROR(IF(Calculadora!$C$6&gt;0,1-(G129/Calculadora!$C$6),0),0)</f>
        <v/>
      </c>
    </row>
    <row r="130" ht="18" customHeight="1">
      <c r="A130" s="46" t="n">
        <v>126</v>
      </c>
      <c r="B130" s="47">
        <f>IFERROR(IF(C130&lt;=0.01,"",EDATE(B129,1)),"")</f>
        <v/>
      </c>
      <c r="C130" s="48">
        <f>IF(G129&lt;=0.01,0,G129)</f>
        <v/>
      </c>
      <c r="D130" s="48">
        <f>IF(C130&lt;=0.01,0,IFERROR(-PMT(Calculadora!$C$7/12,Calculadora!$C$8,Calculadora!$C$6),0))</f>
        <v/>
      </c>
      <c r="E130" s="49">
        <f>IF(C130&lt;=0.01,0,ROUND(C130*Calculadora!$C$7/12,2))</f>
        <v/>
      </c>
      <c r="F130" s="48">
        <f>IF(C130&lt;=0.01,0,D130-E130)</f>
        <v/>
      </c>
      <c r="G130" s="48">
        <f>IF(C130&lt;=0.01,0,MAX(ROUND(C130-F130,2),0))</f>
        <v/>
      </c>
      <c r="H130" s="50">
        <f>IFERROR(IF(Calculadora!$C$6&gt;0,1-(G130/Calculadora!$C$6),0),0)</f>
        <v/>
      </c>
    </row>
    <row r="131" ht="18" customHeight="1">
      <c r="A131" s="46" t="n">
        <v>127</v>
      </c>
      <c r="B131" s="47">
        <f>IFERROR(IF(C131&lt;=0.01,"",EDATE(B130,1)),"")</f>
        <v/>
      </c>
      <c r="C131" s="48">
        <f>IF(G130&lt;=0.01,0,G130)</f>
        <v/>
      </c>
      <c r="D131" s="48">
        <f>IF(C131&lt;=0.01,0,IFERROR(-PMT(Calculadora!$C$7/12,Calculadora!$C$8,Calculadora!$C$6),0))</f>
        <v/>
      </c>
      <c r="E131" s="49">
        <f>IF(C131&lt;=0.01,0,ROUND(C131*Calculadora!$C$7/12,2))</f>
        <v/>
      </c>
      <c r="F131" s="48">
        <f>IF(C131&lt;=0.01,0,D131-E131)</f>
        <v/>
      </c>
      <c r="G131" s="48">
        <f>IF(C131&lt;=0.01,0,MAX(ROUND(C131-F131,2),0))</f>
        <v/>
      </c>
      <c r="H131" s="50">
        <f>IFERROR(IF(Calculadora!$C$6&gt;0,1-(G131/Calculadora!$C$6),0),0)</f>
        <v/>
      </c>
    </row>
    <row r="132" ht="18" customHeight="1">
      <c r="A132" s="46" t="n">
        <v>128</v>
      </c>
      <c r="B132" s="47">
        <f>IFERROR(IF(C132&lt;=0.01,"",EDATE(B131,1)),"")</f>
        <v/>
      </c>
      <c r="C132" s="48">
        <f>IF(G131&lt;=0.01,0,G131)</f>
        <v/>
      </c>
      <c r="D132" s="48">
        <f>IF(C132&lt;=0.01,0,IFERROR(-PMT(Calculadora!$C$7/12,Calculadora!$C$8,Calculadora!$C$6),0))</f>
        <v/>
      </c>
      <c r="E132" s="49">
        <f>IF(C132&lt;=0.01,0,ROUND(C132*Calculadora!$C$7/12,2))</f>
        <v/>
      </c>
      <c r="F132" s="48">
        <f>IF(C132&lt;=0.01,0,D132-E132)</f>
        <v/>
      </c>
      <c r="G132" s="48">
        <f>IF(C132&lt;=0.01,0,MAX(ROUND(C132-F132,2),0))</f>
        <v/>
      </c>
      <c r="H132" s="50">
        <f>IFERROR(IF(Calculadora!$C$6&gt;0,1-(G132/Calculadora!$C$6),0),0)</f>
        <v/>
      </c>
    </row>
    <row r="133" ht="18" customHeight="1">
      <c r="A133" s="46" t="n">
        <v>129</v>
      </c>
      <c r="B133" s="47">
        <f>IFERROR(IF(C133&lt;=0.01,"",EDATE(B132,1)),"")</f>
        <v/>
      </c>
      <c r="C133" s="48">
        <f>IF(G132&lt;=0.01,0,G132)</f>
        <v/>
      </c>
      <c r="D133" s="48">
        <f>IF(C133&lt;=0.01,0,IFERROR(-PMT(Calculadora!$C$7/12,Calculadora!$C$8,Calculadora!$C$6),0))</f>
        <v/>
      </c>
      <c r="E133" s="49">
        <f>IF(C133&lt;=0.01,0,ROUND(C133*Calculadora!$C$7/12,2))</f>
        <v/>
      </c>
      <c r="F133" s="48">
        <f>IF(C133&lt;=0.01,0,D133-E133)</f>
        <v/>
      </c>
      <c r="G133" s="48">
        <f>IF(C133&lt;=0.01,0,MAX(ROUND(C133-F133,2),0))</f>
        <v/>
      </c>
      <c r="H133" s="50">
        <f>IFERROR(IF(Calculadora!$C$6&gt;0,1-(G133/Calculadora!$C$6),0),0)</f>
        <v/>
      </c>
    </row>
    <row r="134" ht="18" customHeight="1">
      <c r="A134" s="46" t="n">
        <v>130</v>
      </c>
      <c r="B134" s="47">
        <f>IFERROR(IF(C134&lt;=0.01,"",EDATE(B133,1)),"")</f>
        <v/>
      </c>
      <c r="C134" s="48">
        <f>IF(G133&lt;=0.01,0,G133)</f>
        <v/>
      </c>
      <c r="D134" s="48">
        <f>IF(C134&lt;=0.01,0,IFERROR(-PMT(Calculadora!$C$7/12,Calculadora!$C$8,Calculadora!$C$6),0))</f>
        <v/>
      </c>
      <c r="E134" s="49">
        <f>IF(C134&lt;=0.01,0,ROUND(C134*Calculadora!$C$7/12,2))</f>
        <v/>
      </c>
      <c r="F134" s="48">
        <f>IF(C134&lt;=0.01,0,D134-E134)</f>
        <v/>
      </c>
      <c r="G134" s="48">
        <f>IF(C134&lt;=0.01,0,MAX(ROUND(C134-F134,2),0))</f>
        <v/>
      </c>
      <c r="H134" s="50">
        <f>IFERROR(IF(Calculadora!$C$6&gt;0,1-(G134/Calculadora!$C$6),0),0)</f>
        <v/>
      </c>
    </row>
    <row r="135" ht="18" customHeight="1">
      <c r="A135" s="46" t="n">
        <v>131</v>
      </c>
      <c r="B135" s="47">
        <f>IFERROR(IF(C135&lt;=0.01,"",EDATE(B134,1)),"")</f>
        <v/>
      </c>
      <c r="C135" s="48">
        <f>IF(G134&lt;=0.01,0,G134)</f>
        <v/>
      </c>
      <c r="D135" s="48">
        <f>IF(C135&lt;=0.01,0,IFERROR(-PMT(Calculadora!$C$7/12,Calculadora!$C$8,Calculadora!$C$6),0))</f>
        <v/>
      </c>
      <c r="E135" s="49">
        <f>IF(C135&lt;=0.01,0,ROUND(C135*Calculadora!$C$7/12,2))</f>
        <v/>
      </c>
      <c r="F135" s="48">
        <f>IF(C135&lt;=0.01,0,D135-E135)</f>
        <v/>
      </c>
      <c r="G135" s="48">
        <f>IF(C135&lt;=0.01,0,MAX(ROUND(C135-F135,2),0))</f>
        <v/>
      </c>
      <c r="H135" s="50">
        <f>IFERROR(IF(Calculadora!$C$6&gt;0,1-(G135/Calculadora!$C$6),0),0)</f>
        <v/>
      </c>
    </row>
    <row r="136" ht="18" customHeight="1">
      <c r="A136" s="46" t="n">
        <v>132</v>
      </c>
      <c r="B136" s="47">
        <f>IFERROR(IF(C136&lt;=0.01,"",EDATE(B135,1)),"")</f>
        <v/>
      </c>
      <c r="C136" s="48">
        <f>IF(G135&lt;=0.01,0,G135)</f>
        <v/>
      </c>
      <c r="D136" s="48">
        <f>IF(C136&lt;=0.01,0,IFERROR(-PMT(Calculadora!$C$7/12,Calculadora!$C$8,Calculadora!$C$6),0))</f>
        <v/>
      </c>
      <c r="E136" s="49">
        <f>IF(C136&lt;=0.01,0,ROUND(C136*Calculadora!$C$7/12,2))</f>
        <v/>
      </c>
      <c r="F136" s="48">
        <f>IF(C136&lt;=0.01,0,D136-E136)</f>
        <v/>
      </c>
      <c r="G136" s="48">
        <f>IF(C136&lt;=0.01,0,MAX(ROUND(C136-F136,2),0))</f>
        <v/>
      </c>
      <c r="H136" s="50">
        <f>IFERROR(IF(Calculadora!$C$6&gt;0,1-(G136/Calculadora!$C$6),0),0)</f>
        <v/>
      </c>
    </row>
    <row r="137" ht="18" customHeight="1">
      <c r="A137" s="46" t="n">
        <v>133</v>
      </c>
      <c r="B137" s="47">
        <f>IFERROR(IF(C137&lt;=0.01,"",EDATE(B136,1)),"")</f>
        <v/>
      </c>
      <c r="C137" s="48">
        <f>IF(G136&lt;=0.01,0,G136)</f>
        <v/>
      </c>
      <c r="D137" s="48">
        <f>IF(C137&lt;=0.01,0,IFERROR(-PMT(Calculadora!$C$7/12,Calculadora!$C$8,Calculadora!$C$6),0))</f>
        <v/>
      </c>
      <c r="E137" s="49">
        <f>IF(C137&lt;=0.01,0,ROUND(C137*Calculadora!$C$7/12,2))</f>
        <v/>
      </c>
      <c r="F137" s="48">
        <f>IF(C137&lt;=0.01,0,D137-E137)</f>
        <v/>
      </c>
      <c r="G137" s="48">
        <f>IF(C137&lt;=0.01,0,MAX(ROUND(C137-F137,2),0))</f>
        <v/>
      </c>
      <c r="H137" s="50">
        <f>IFERROR(IF(Calculadora!$C$6&gt;0,1-(G137/Calculadora!$C$6),0),0)</f>
        <v/>
      </c>
    </row>
    <row r="138" ht="18" customHeight="1">
      <c r="A138" s="46" t="n">
        <v>134</v>
      </c>
      <c r="B138" s="47">
        <f>IFERROR(IF(C138&lt;=0.01,"",EDATE(B137,1)),"")</f>
        <v/>
      </c>
      <c r="C138" s="48">
        <f>IF(G137&lt;=0.01,0,G137)</f>
        <v/>
      </c>
      <c r="D138" s="48">
        <f>IF(C138&lt;=0.01,0,IFERROR(-PMT(Calculadora!$C$7/12,Calculadora!$C$8,Calculadora!$C$6),0))</f>
        <v/>
      </c>
      <c r="E138" s="49">
        <f>IF(C138&lt;=0.01,0,ROUND(C138*Calculadora!$C$7/12,2))</f>
        <v/>
      </c>
      <c r="F138" s="48">
        <f>IF(C138&lt;=0.01,0,D138-E138)</f>
        <v/>
      </c>
      <c r="G138" s="48">
        <f>IF(C138&lt;=0.01,0,MAX(ROUND(C138-F138,2),0))</f>
        <v/>
      </c>
      <c r="H138" s="50">
        <f>IFERROR(IF(Calculadora!$C$6&gt;0,1-(G138/Calculadora!$C$6),0),0)</f>
        <v/>
      </c>
    </row>
    <row r="139" ht="18" customHeight="1">
      <c r="A139" s="46" t="n">
        <v>135</v>
      </c>
      <c r="B139" s="47">
        <f>IFERROR(IF(C139&lt;=0.01,"",EDATE(B138,1)),"")</f>
        <v/>
      </c>
      <c r="C139" s="48">
        <f>IF(G138&lt;=0.01,0,G138)</f>
        <v/>
      </c>
      <c r="D139" s="48">
        <f>IF(C139&lt;=0.01,0,IFERROR(-PMT(Calculadora!$C$7/12,Calculadora!$C$8,Calculadora!$C$6),0))</f>
        <v/>
      </c>
      <c r="E139" s="49">
        <f>IF(C139&lt;=0.01,0,ROUND(C139*Calculadora!$C$7/12,2))</f>
        <v/>
      </c>
      <c r="F139" s="48">
        <f>IF(C139&lt;=0.01,0,D139-E139)</f>
        <v/>
      </c>
      <c r="G139" s="48">
        <f>IF(C139&lt;=0.01,0,MAX(ROUND(C139-F139,2),0))</f>
        <v/>
      </c>
      <c r="H139" s="50">
        <f>IFERROR(IF(Calculadora!$C$6&gt;0,1-(G139/Calculadora!$C$6),0),0)</f>
        <v/>
      </c>
    </row>
    <row r="140" ht="18" customHeight="1">
      <c r="A140" s="46" t="n">
        <v>136</v>
      </c>
      <c r="B140" s="47">
        <f>IFERROR(IF(C140&lt;=0.01,"",EDATE(B139,1)),"")</f>
        <v/>
      </c>
      <c r="C140" s="48">
        <f>IF(G139&lt;=0.01,0,G139)</f>
        <v/>
      </c>
      <c r="D140" s="48">
        <f>IF(C140&lt;=0.01,0,IFERROR(-PMT(Calculadora!$C$7/12,Calculadora!$C$8,Calculadora!$C$6),0))</f>
        <v/>
      </c>
      <c r="E140" s="49">
        <f>IF(C140&lt;=0.01,0,ROUND(C140*Calculadora!$C$7/12,2))</f>
        <v/>
      </c>
      <c r="F140" s="48">
        <f>IF(C140&lt;=0.01,0,D140-E140)</f>
        <v/>
      </c>
      <c r="G140" s="48">
        <f>IF(C140&lt;=0.01,0,MAX(ROUND(C140-F140,2),0))</f>
        <v/>
      </c>
      <c r="H140" s="50">
        <f>IFERROR(IF(Calculadora!$C$6&gt;0,1-(G140/Calculadora!$C$6),0),0)</f>
        <v/>
      </c>
    </row>
    <row r="141" ht="18" customHeight="1">
      <c r="A141" s="46" t="n">
        <v>137</v>
      </c>
      <c r="B141" s="47">
        <f>IFERROR(IF(C141&lt;=0.01,"",EDATE(B140,1)),"")</f>
        <v/>
      </c>
      <c r="C141" s="48">
        <f>IF(G140&lt;=0.01,0,G140)</f>
        <v/>
      </c>
      <c r="D141" s="48">
        <f>IF(C141&lt;=0.01,0,IFERROR(-PMT(Calculadora!$C$7/12,Calculadora!$C$8,Calculadora!$C$6),0))</f>
        <v/>
      </c>
      <c r="E141" s="49">
        <f>IF(C141&lt;=0.01,0,ROUND(C141*Calculadora!$C$7/12,2))</f>
        <v/>
      </c>
      <c r="F141" s="48">
        <f>IF(C141&lt;=0.01,0,D141-E141)</f>
        <v/>
      </c>
      <c r="G141" s="48">
        <f>IF(C141&lt;=0.01,0,MAX(ROUND(C141-F141,2),0))</f>
        <v/>
      </c>
      <c r="H141" s="50">
        <f>IFERROR(IF(Calculadora!$C$6&gt;0,1-(G141/Calculadora!$C$6),0),0)</f>
        <v/>
      </c>
    </row>
    <row r="142" ht="18" customHeight="1">
      <c r="A142" s="46" t="n">
        <v>138</v>
      </c>
      <c r="B142" s="47">
        <f>IFERROR(IF(C142&lt;=0.01,"",EDATE(B141,1)),"")</f>
        <v/>
      </c>
      <c r="C142" s="48">
        <f>IF(G141&lt;=0.01,0,G141)</f>
        <v/>
      </c>
      <c r="D142" s="48">
        <f>IF(C142&lt;=0.01,0,IFERROR(-PMT(Calculadora!$C$7/12,Calculadora!$C$8,Calculadora!$C$6),0))</f>
        <v/>
      </c>
      <c r="E142" s="49">
        <f>IF(C142&lt;=0.01,0,ROUND(C142*Calculadora!$C$7/12,2))</f>
        <v/>
      </c>
      <c r="F142" s="48">
        <f>IF(C142&lt;=0.01,0,D142-E142)</f>
        <v/>
      </c>
      <c r="G142" s="48">
        <f>IF(C142&lt;=0.01,0,MAX(ROUND(C142-F142,2),0))</f>
        <v/>
      </c>
      <c r="H142" s="50">
        <f>IFERROR(IF(Calculadora!$C$6&gt;0,1-(G142/Calculadora!$C$6),0),0)</f>
        <v/>
      </c>
    </row>
    <row r="143" ht="18" customHeight="1">
      <c r="A143" s="46" t="n">
        <v>139</v>
      </c>
      <c r="B143" s="47">
        <f>IFERROR(IF(C143&lt;=0.01,"",EDATE(B142,1)),"")</f>
        <v/>
      </c>
      <c r="C143" s="48">
        <f>IF(G142&lt;=0.01,0,G142)</f>
        <v/>
      </c>
      <c r="D143" s="48">
        <f>IF(C143&lt;=0.01,0,IFERROR(-PMT(Calculadora!$C$7/12,Calculadora!$C$8,Calculadora!$C$6),0))</f>
        <v/>
      </c>
      <c r="E143" s="49">
        <f>IF(C143&lt;=0.01,0,ROUND(C143*Calculadora!$C$7/12,2))</f>
        <v/>
      </c>
      <c r="F143" s="48">
        <f>IF(C143&lt;=0.01,0,D143-E143)</f>
        <v/>
      </c>
      <c r="G143" s="48">
        <f>IF(C143&lt;=0.01,0,MAX(ROUND(C143-F143,2),0))</f>
        <v/>
      </c>
      <c r="H143" s="50">
        <f>IFERROR(IF(Calculadora!$C$6&gt;0,1-(G143/Calculadora!$C$6),0),0)</f>
        <v/>
      </c>
    </row>
    <row r="144" ht="18" customHeight="1">
      <c r="A144" s="46" t="n">
        <v>140</v>
      </c>
      <c r="B144" s="47">
        <f>IFERROR(IF(C144&lt;=0.01,"",EDATE(B143,1)),"")</f>
        <v/>
      </c>
      <c r="C144" s="48">
        <f>IF(G143&lt;=0.01,0,G143)</f>
        <v/>
      </c>
      <c r="D144" s="48">
        <f>IF(C144&lt;=0.01,0,IFERROR(-PMT(Calculadora!$C$7/12,Calculadora!$C$8,Calculadora!$C$6),0))</f>
        <v/>
      </c>
      <c r="E144" s="49">
        <f>IF(C144&lt;=0.01,0,ROUND(C144*Calculadora!$C$7/12,2))</f>
        <v/>
      </c>
      <c r="F144" s="48">
        <f>IF(C144&lt;=0.01,0,D144-E144)</f>
        <v/>
      </c>
      <c r="G144" s="48">
        <f>IF(C144&lt;=0.01,0,MAX(ROUND(C144-F144,2),0))</f>
        <v/>
      </c>
      <c r="H144" s="50">
        <f>IFERROR(IF(Calculadora!$C$6&gt;0,1-(G144/Calculadora!$C$6),0),0)</f>
        <v/>
      </c>
    </row>
    <row r="145" ht="18" customHeight="1">
      <c r="A145" s="46" t="n">
        <v>141</v>
      </c>
      <c r="B145" s="47">
        <f>IFERROR(IF(C145&lt;=0.01,"",EDATE(B144,1)),"")</f>
        <v/>
      </c>
      <c r="C145" s="48">
        <f>IF(G144&lt;=0.01,0,G144)</f>
        <v/>
      </c>
      <c r="D145" s="48">
        <f>IF(C145&lt;=0.01,0,IFERROR(-PMT(Calculadora!$C$7/12,Calculadora!$C$8,Calculadora!$C$6),0))</f>
        <v/>
      </c>
      <c r="E145" s="49">
        <f>IF(C145&lt;=0.01,0,ROUND(C145*Calculadora!$C$7/12,2))</f>
        <v/>
      </c>
      <c r="F145" s="48">
        <f>IF(C145&lt;=0.01,0,D145-E145)</f>
        <v/>
      </c>
      <c r="G145" s="48">
        <f>IF(C145&lt;=0.01,0,MAX(ROUND(C145-F145,2),0))</f>
        <v/>
      </c>
      <c r="H145" s="50">
        <f>IFERROR(IF(Calculadora!$C$6&gt;0,1-(G145/Calculadora!$C$6),0),0)</f>
        <v/>
      </c>
    </row>
    <row r="146" ht="18" customHeight="1">
      <c r="A146" s="46" t="n">
        <v>142</v>
      </c>
      <c r="B146" s="47">
        <f>IFERROR(IF(C146&lt;=0.01,"",EDATE(B145,1)),"")</f>
        <v/>
      </c>
      <c r="C146" s="48">
        <f>IF(G145&lt;=0.01,0,G145)</f>
        <v/>
      </c>
      <c r="D146" s="48">
        <f>IF(C146&lt;=0.01,0,IFERROR(-PMT(Calculadora!$C$7/12,Calculadora!$C$8,Calculadora!$C$6),0))</f>
        <v/>
      </c>
      <c r="E146" s="49">
        <f>IF(C146&lt;=0.01,0,ROUND(C146*Calculadora!$C$7/12,2))</f>
        <v/>
      </c>
      <c r="F146" s="48">
        <f>IF(C146&lt;=0.01,0,D146-E146)</f>
        <v/>
      </c>
      <c r="G146" s="48">
        <f>IF(C146&lt;=0.01,0,MAX(ROUND(C146-F146,2),0))</f>
        <v/>
      </c>
      <c r="H146" s="50">
        <f>IFERROR(IF(Calculadora!$C$6&gt;0,1-(G146/Calculadora!$C$6),0),0)</f>
        <v/>
      </c>
    </row>
    <row r="147" ht="18" customHeight="1">
      <c r="A147" s="46" t="n">
        <v>143</v>
      </c>
      <c r="B147" s="47">
        <f>IFERROR(IF(C147&lt;=0.01,"",EDATE(B146,1)),"")</f>
        <v/>
      </c>
      <c r="C147" s="48">
        <f>IF(G146&lt;=0.01,0,G146)</f>
        <v/>
      </c>
      <c r="D147" s="48">
        <f>IF(C147&lt;=0.01,0,IFERROR(-PMT(Calculadora!$C$7/12,Calculadora!$C$8,Calculadora!$C$6),0))</f>
        <v/>
      </c>
      <c r="E147" s="49">
        <f>IF(C147&lt;=0.01,0,ROUND(C147*Calculadora!$C$7/12,2))</f>
        <v/>
      </c>
      <c r="F147" s="48">
        <f>IF(C147&lt;=0.01,0,D147-E147)</f>
        <v/>
      </c>
      <c r="G147" s="48">
        <f>IF(C147&lt;=0.01,0,MAX(ROUND(C147-F147,2),0))</f>
        <v/>
      </c>
      <c r="H147" s="50">
        <f>IFERROR(IF(Calculadora!$C$6&gt;0,1-(G147/Calculadora!$C$6),0),0)</f>
        <v/>
      </c>
    </row>
    <row r="148" ht="18" customHeight="1">
      <c r="A148" s="46" t="n">
        <v>144</v>
      </c>
      <c r="B148" s="47">
        <f>IFERROR(IF(C148&lt;=0.01,"",EDATE(B147,1)),"")</f>
        <v/>
      </c>
      <c r="C148" s="48">
        <f>IF(G147&lt;=0.01,0,G147)</f>
        <v/>
      </c>
      <c r="D148" s="48">
        <f>IF(C148&lt;=0.01,0,IFERROR(-PMT(Calculadora!$C$7/12,Calculadora!$C$8,Calculadora!$C$6),0))</f>
        <v/>
      </c>
      <c r="E148" s="49">
        <f>IF(C148&lt;=0.01,0,ROUND(C148*Calculadora!$C$7/12,2))</f>
        <v/>
      </c>
      <c r="F148" s="48">
        <f>IF(C148&lt;=0.01,0,D148-E148)</f>
        <v/>
      </c>
      <c r="G148" s="48">
        <f>IF(C148&lt;=0.01,0,MAX(ROUND(C148-F148,2),0))</f>
        <v/>
      </c>
      <c r="H148" s="50">
        <f>IFERROR(IF(Calculadora!$C$6&gt;0,1-(G148/Calculadora!$C$6),0),0)</f>
        <v/>
      </c>
    </row>
    <row r="149" ht="18" customHeight="1">
      <c r="A149" s="46" t="n">
        <v>145</v>
      </c>
      <c r="B149" s="47">
        <f>IFERROR(IF(C149&lt;=0.01,"",EDATE(B148,1)),"")</f>
        <v/>
      </c>
      <c r="C149" s="48">
        <f>IF(G148&lt;=0.01,0,G148)</f>
        <v/>
      </c>
      <c r="D149" s="48">
        <f>IF(C149&lt;=0.01,0,IFERROR(-PMT(Calculadora!$C$7/12,Calculadora!$C$8,Calculadora!$C$6),0))</f>
        <v/>
      </c>
      <c r="E149" s="49">
        <f>IF(C149&lt;=0.01,0,ROUND(C149*Calculadora!$C$7/12,2))</f>
        <v/>
      </c>
      <c r="F149" s="48">
        <f>IF(C149&lt;=0.01,0,D149-E149)</f>
        <v/>
      </c>
      <c r="G149" s="48">
        <f>IF(C149&lt;=0.01,0,MAX(ROUND(C149-F149,2),0))</f>
        <v/>
      </c>
      <c r="H149" s="50">
        <f>IFERROR(IF(Calculadora!$C$6&gt;0,1-(G149/Calculadora!$C$6),0),0)</f>
        <v/>
      </c>
    </row>
    <row r="150" ht="18" customHeight="1">
      <c r="A150" s="46" t="n">
        <v>146</v>
      </c>
      <c r="B150" s="47">
        <f>IFERROR(IF(C150&lt;=0.01,"",EDATE(B149,1)),"")</f>
        <v/>
      </c>
      <c r="C150" s="48">
        <f>IF(G149&lt;=0.01,0,G149)</f>
        <v/>
      </c>
      <c r="D150" s="48">
        <f>IF(C150&lt;=0.01,0,IFERROR(-PMT(Calculadora!$C$7/12,Calculadora!$C$8,Calculadora!$C$6),0))</f>
        <v/>
      </c>
      <c r="E150" s="49">
        <f>IF(C150&lt;=0.01,0,ROUND(C150*Calculadora!$C$7/12,2))</f>
        <v/>
      </c>
      <c r="F150" s="48">
        <f>IF(C150&lt;=0.01,0,D150-E150)</f>
        <v/>
      </c>
      <c r="G150" s="48">
        <f>IF(C150&lt;=0.01,0,MAX(ROUND(C150-F150,2),0))</f>
        <v/>
      </c>
      <c r="H150" s="50">
        <f>IFERROR(IF(Calculadora!$C$6&gt;0,1-(G150/Calculadora!$C$6),0),0)</f>
        <v/>
      </c>
    </row>
    <row r="151" ht="18" customHeight="1">
      <c r="A151" s="46" t="n">
        <v>147</v>
      </c>
      <c r="B151" s="47">
        <f>IFERROR(IF(C151&lt;=0.01,"",EDATE(B150,1)),"")</f>
        <v/>
      </c>
      <c r="C151" s="48">
        <f>IF(G150&lt;=0.01,0,G150)</f>
        <v/>
      </c>
      <c r="D151" s="48">
        <f>IF(C151&lt;=0.01,0,IFERROR(-PMT(Calculadora!$C$7/12,Calculadora!$C$8,Calculadora!$C$6),0))</f>
        <v/>
      </c>
      <c r="E151" s="49">
        <f>IF(C151&lt;=0.01,0,ROUND(C151*Calculadora!$C$7/12,2))</f>
        <v/>
      </c>
      <c r="F151" s="48">
        <f>IF(C151&lt;=0.01,0,D151-E151)</f>
        <v/>
      </c>
      <c r="G151" s="48">
        <f>IF(C151&lt;=0.01,0,MAX(ROUND(C151-F151,2),0))</f>
        <v/>
      </c>
      <c r="H151" s="50">
        <f>IFERROR(IF(Calculadora!$C$6&gt;0,1-(G151/Calculadora!$C$6),0),0)</f>
        <v/>
      </c>
    </row>
    <row r="152" ht="18" customHeight="1">
      <c r="A152" s="46" t="n">
        <v>148</v>
      </c>
      <c r="B152" s="47">
        <f>IFERROR(IF(C152&lt;=0.01,"",EDATE(B151,1)),"")</f>
        <v/>
      </c>
      <c r="C152" s="48">
        <f>IF(G151&lt;=0.01,0,G151)</f>
        <v/>
      </c>
      <c r="D152" s="48">
        <f>IF(C152&lt;=0.01,0,IFERROR(-PMT(Calculadora!$C$7/12,Calculadora!$C$8,Calculadora!$C$6),0))</f>
        <v/>
      </c>
      <c r="E152" s="49">
        <f>IF(C152&lt;=0.01,0,ROUND(C152*Calculadora!$C$7/12,2))</f>
        <v/>
      </c>
      <c r="F152" s="48">
        <f>IF(C152&lt;=0.01,0,D152-E152)</f>
        <v/>
      </c>
      <c r="G152" s="48">
        <f>IF(C152&lt;=0.01,0,MAX(ROUND(C152-F152,2),0))</f>
        <v/>
      </c>
      <c r="H152" s="50">
        <f>IFERROR(IF(Calculadora!$C$6&gt;0,1-(G152/Calculadora!$C$6),0),0)</f>
        <v/>
      </c>
    </row>
    <row r="153" ht="18" customHeight="1">
      <c r="A153" s="46" t="n">
        <v>149</v>
      </c>
      <c r="B153" s="47">
        <f>IFERROR(IF(C153&lt;=0.01,"",EDATE(B152,1)),"")</f>
        <v/>
      </c>
      <c r="C153" s="48">
        <f>IF(G152&lt;=0.01,0,G152)</f>
        <v/>
      </c>
      <c r="D153" s="48">
        <f>IF(C153&lt;=0.01,0,IFERROR(-PMT(Calculadora!$C$7/12,Calculadora!$C$8,Calculadora!$C$6),0))</f>
        <v/>
      </c>
      <c r="E153" s="49">
        <f>IF(C153&lt;=0.01,0,ROUND(C153*Calculadora!$C$7/12,2))</f>
        <v/>
      </c>
      <c r="F153" s="48">
        <f>IF(C153&lt;=0.01,0,D153-E153)</f>
        <v/>
      </c>
      <c r="G153" s="48">
        <f>IF(C153&lt;=0.01,0,MAX(ROUND(C153-F153,2),0))</f>
        <v/>
      </c>
      <c r="H153" s="50">
        <f>IFERROR(IF(Calculadora!$C$6&gt;0,1-(G153/Calculadora!$C$6),0),0)</f>
        <v/>
      </c>
    </row>
    <row r="154" ht="18" customHeight="1">
      <c r="A154" s="46" t="n">
        <v>150</v>
      </c>
      <c r="B154" s="47">
        <f>IFERROR(IF(C154&lt;=0.01,"",EDATE(B153,1)),"")</f>
        <v/>
      </c>
      <c r="C154" s="48">
        <f>IF(G153&lt;=0.01,0,G153)</f>
        <v/>
      </c>
      <c r="D154" s="48">
        <f>IF(C154&lt;=0.01,0,IFERROR(-PMT(Calculadora!$C$7/12,Calculadora!$C$8,Calculadora!$C$6),0))</f>
        <v/>
      </c>
      <c r="E154" s="49">
        <f>IF(C154&lt;=0.01,0,ROUND(C154*Calculadora!$C$7/12,2))</f>
        <v/>
      </c>
      <c r="F154" s="48">
        <f>IF(C154&lt;=0.01,0,D154-E154)</f>
        <v/>
      </c>
      <c r="G154" s="48">
        <f>IF(C154&lt;=0.01,0,MAX(ROUND(C154-F154,2),0))</f>
        <v/>
      </c>
      <c r="H154" s="50">
        <f>IFERROR(IF(Calculadora!$C$6&gt;0,1-(G154/Calculadora!$C$6),0),0)</f>
        <v/>
      </c>
    </row>
    <row r="155" ht="18" customHeight="1">
      <c r="A155" s="46" t="n">
        <v>151</v>
      </c>
      <c r="B155" s="47">
        <f>IFERROR(IF(C155&lt;=0.01,"",EDATE(B154,1)),"")</f>
        <v/>
      </c>
      <c r="C155" s="48">
        <f>IF(G154&lt;=0.01,0,G154)</f>
        <v/>
      </c>
      <c r="D155" s="48">
        <f>IF(C155&lt;=0.01,0,IFERROR(-PMT(Calculadora!$C$7/12,Calculadora!$C$8,Calculadora!$C$6),0))</f>
        <v/>
      </c>
      <c r="E155" s="49">
        <f>IF(C155&lt;=0.01,0,ROUND(C155*Calculadora!$C$7/12,2))</f>
        <v/>
      </c>
      <c r="F155" s="48">
        <f>IF(C155&lt;=0.01,0,D155-E155)</f>
        <v/>
      </c>
      <c r="G155" s="48">
        <f>IF(C155&lt;=0.01,0,MAX(ROUND(C155-F155,2),0))</f>
        <v/>
      </c>
      <c r="H155" s="50">
        <f>IFERROR(IF(Calculadora!$C$6&gt;0,1-(G155/Calculadora!$C$6),0),0)</f>
        <v/>
      </c>
    </row>
    <row r="156" ht="18" customHeight="1">
      <c r="A156" s="46" t="n">
        <v>152</v>
      </c>
      <c r="B156" s="47">
        <f>IFERROR(IF(C156&lt;=0.01,"",EDATE(B155,1)),"")</f>
        <v/>
      </c>
      <c r="C156" s="48">
        <f>IF(G155&lt;=0.01,0,G155)</f>
        <v/>
      </c>
      <c r="D156" s="48">
        <f>IF(C156&lt;=0.01,0,IFERROR(-PMT(Calculadora!$C$7/12,Calculadora!$C$8,Calculadora!$C$6),0))</f>
        <v/>
      </c>
      <c r="E156" s="49">
        <f>IF(C156&lt;=0.01,0,ROUND(C156*Calculadora!$C$7/12,2))</f>
        <v/>
      </c>
      <c r="F156" s="48">
        <f>IF(C156&lt;=0.01,0,D156-E156)</f>
        <v/>
      </c>
      <c r="G156" s="48">
        <f>IF(C156&lt;=0.01,0,MAX(ROUND(C156-F156,2),0))</f>
        <v/>
      </c>
      <c r="H156" s="50">
        <f>IFERROR(IF(Calculadora!$C$6&gt;0,1-(G156/Calculadora!$C$6),0),0)</f>
        <v/>
      </c>
    </row>
    <row r="157" ht="18" customHeight="1">
      <c r="A157" s="46" t="n">
        <v>153</v>
      </c>
      <c r="B157" s="47">
        <f>IFERROR(IF(C157&lt;=0.01,"",EDATE(B156,1)),"")</f>
        <v/>
      </c>
      <c r="C157" s="48">
        <f>IF(G156&lt;=0.01,0,G156)</f>
        <v/>
      </c>
      <c r="D157" s="48">
        <f>IF(C157&lt;=0.01,0,IFERROR(-PMT(Calculadora!$C$7/12,Calculadora!$C$8,Calculadora!$C$6),0))</f>
        <v/>
      </c>
      <c r="E157" s="49">
        <f>IF(C157&lt;=0.01,0,ROUND(C157*Calculadora!$C$7/12,2))</f>
        <v/>
      </c>
      <c r="F157" s="48">
        <f>IF(C157&lt;=0.01,0,D157-E157)</f>
        <v/>
      </c>
      <c r="G157" s="48">
        <f>IF(C157&lt;=0.01,0,MAX(ROUND(C157-F157,2),0))</f>
        <v/>
      </c>
      <c r="H157" s="50">
        <f>IFERROR(IF(Calculadora!$C$6&gt;0,1-(G157/Calculadora!$C$6),0),0)</f>
        <v/>
      </c>
    </row>
    <row r="158" ht="18" customHeight="1">
      <c r="A158" s="46" t="n">
        <v>154</v>
      </c>
      <c r="B158" s="47">
        <f>IFERROR(IF(C158&lt;=0.01,"",EDATE(B157,1)),"")</f>
        <v/>
      </c>
      <c r="C158" s="48">
        <f>IF(G157&lt;=0.01,0,G157)</f>
        <v/>
      </c>
      <c r="D158" s="48">
        <f>IF(C158&lt;=0.01,0,IFERROR(-PMT(Calculadora!$C$7/12,Calculadora!$C$8,Calculadora!$C$6),0))</f>
        <v/>
      </c>
      <c r="E158" s="49">
        <f>IF(C158&lt;=0.01,0,ROUND(C158*Calculadora!$C$7/12,2))</f>
        <v/>
      </c>
      <c r="F158" s="48">
        <f>IF(C158&lt;=0.01,0,D158-E158)</f>
        <v/>
      </c>
      <c r="G158" s="48">
        <f>IF(C158&lt;=0.01,0,MAX(ROUND(C158-F158,2),0))</f>
        <v/>
      </c>
      <c r="H158" s="50">
        <f>IFERROR(IF(Calculadora!$C$6&gt;0,1-(G158/Calculadora!$C$6),0),0)</f>
        <v/>
      </c>
    </row>
    <row r="159" ht="18" customHeight="1">
      <c r="A159" s="46" t="n">
        <v>155</v>
      </c>
      <c r="B159" s="47">
        <f>IFERROR(IF(C159&lt;=0.01,"",EDATE(B158,1)),"")</f>
        <v/>
      </c>
      <c r="C159" s="48">
        <f>IF(G158&lt;=0.01,0,G158)</f>
        <v/>
      </c>
      <c r="D159" s="48">
        <f>IF(C159&lt;=0.01,0,IFERROR(-PMT(Calculadora!$C$7/12,Calculadora!$C$8,Calculadora!$C$6),0))</f>
        <v/>
      </c>
      <c r="E159" s="49">
        <f>IF(C159&lt;=0.01,0,ROUND(C159*Calculadora!$C$7/12,2))</f>
        <v/>
      </c>
      <c r="F159" s="48">
        <f>IF(C159&lt;=0.01,0,D159-E159)</f>
        <v/>
      </c>
      <c r="G159" s="48">
        <f>IF(C159&lt;=0.01,0,MAX(ROUND(C159-F159,2),0))</f>
        <v/>
      </c>
      <c r="H159" s="50">
        <f>IFERROR(IF(Calculadora!$C$6&gt;0,1-(G159/Calculadora!$C$6),0),0)</f>
        <v/>
      </c>
    </row>
    <row r="160" ht="18" customHeight="1">
      <c r="A160" s="46" t="n">
        <v>156</v>
      </c>
      <c r="B160" s="47">
        <f>IFERROR(IF(C160&lt;=0.01,"",EDATE(B159,1)),"")</f>
        <v/>
      </c>
      <c r="C160" s="48">
        <f>IF(G159&lt;=0.01,0,G159)</f>
        <v/>
      </c>
      <c r="D160" s="48">
        <f>IF(C160&lt;=0.01,0,IFERROR(-PMT(Calculadora!$C$7/12,Calculadora!$C$8,Calculadora!$C$6),0))</f>
        <v/>
      </c>
      <c r="E160" s="49">
        <f>IF(C160&lt;=0.01,0,ROUND(C160*Calculadora!$C$7/12,2))</f>
        <v/>
      </c>
      <c r="F160" s="48">
        <f>IF(C160&lt;=0.01,0,D160-E160)</f>
        <v/>
      </c>
      <c r="G160" s="48">
        <f>IF(C160&lt;=0.01,0,MAX(ROUND(C160-F160,2),0))</f>
        <v/>
      </c>
      <c r="H160" s="50">
        <f>IFERROR(IF(Calculadora!$C$6&gt;0,1-(G160/Calculadora!$C$6),0),0)</f>
        <v/>
      </c>
    </row>
    <row r="161" ht="18" customHeight="1">
      <c r="A161" s="46" t="n">
        <v>157</v>
      </c>
      <c r="B161" s="47">
        <f>IFERROR(IF(C161&lt;=0.01,"",EDATE(B160,1)),"")</f>
        <v/>
      </c>
      <c r="C161" s="48">
        <f>IF(G160&lt;=0.01,0,G160)</f>
        <v/>
      </c>
      <c r="D161" s="48">
        <f>IF(C161&lt;=0.01,0,IFERROR(-PMT(Calculadora!$C$7/12,Calculadora!$C$8,Calculadora!$C$6),0))</f>
        <v/>
      </c>
      <c r="E161" s="49">
        <f>IF(C161&lt;=0.01,0,ROUND(C161*Calculadora!$C$7/12,2))</f>
        <v/>
      </c>
      <c r="F161" s="48">
        <f>IF(C161&lt;=0.01,0,D161-E161)</f>
        <v/>
      </c>
      <c r="G161" s="48">
        <f>IF(C161&lt;=0.01,0,MAX(ROUND(C161-F161,2),0))</f>
        <v/>
      </c>
      <c r="H161" s="50">
        <f>IFERROR(IF(Calculadora!$C$6&gt;0,1-(G161/Calculadora!$C$6),0),0)</f>
        <v/>
      </c>
    </row>
    <row r="162" ht="18" customHeight="1">
      <c r="A162" s="46" t="n">
        <v>158</v>
      </c>
      <c r="B162" s="47">
        <f>IFERROR(IF(C162&lt;=0.01,"",EDATE(B161,1)),"")</f>
        <v/>
      </c>
      <c r="C162" s="48">
        <f>IF(G161&lt;=0.01,0,G161)</f>
        <v/>
      </c>
      <c r="D162" s="48">
        <f>IF(C162&lt;=0.01,0,IFERROR(-PMT(Calculadora!$C$7/12,Calculadora!$C$8,Calculadora!$C$6),0))</f>
        <v/>
      </c>
      <c r="E162" s="49">
        <f>IF(C162&lt;=0.01,0,ROUND(C162*Calculadora!$C$7/12,2))</f>
        <v/>
      </c>
      <c r="F162" s="48">
        <f>IF(C162&lt;=0.01,0,D162-E162)</f>
        <v/>
      </c>
      <c r="G162" s="48">
        <f>IF(C162&lt;=0.01,0,MAX(ROUND(C162-F162,2),0))</f>
        <v/>
      </c>
      <c r="H162" s="50">
        <f>IFERROR(IF(Calculadora!$C$6&gt;0,1-(G162/Calculadora!$C$6),0),0)</f>
        <v/>
      </c>
    </row>
    <row r="163" ht="18" customHeight="1">
      <c r="A163" s="46" t="n">
        <v>159</v>
      </c>
      <c r="B163" s="47">
        <f>IFERROR(IF(C163&lt;=0.01,"",EDATE(B162,1)),"")</f>
        <v/>
      </c>
      <c r="C163" s="48">
        <f>IF(G162&lt;=0.01,0,G162)</f>
        <v/>
      </c>
      <c r="D163" s="48">
        <f>IF(C163&lt;=0.01,0,IFERROR(-PMT(Calculadora!$C$7/12,Calculadora!$C$8,Calculadora!$C$6),0))</f>
        <v/>
      </c>
      <c r="E163" s="49">
        <f>IF(C163&lt;=0.01,0,ROUND(C163*Calculadora!$C$7/12,2))</f>
        <v/>
      </c>
      <c r="F163" s="48">
        <f>IF(C163&lt;=0.01,0,D163-E163)</f>
        <v/>
      </c>
      <c r="G163" s="48">
        <f>IF(C163&lt;=0.01,0,MAX(ROUND(C163-F163,2),0))</f>
        <v/>
      </c>
      <c r="H163" s="50">
        <f>IFERROR(IF(Calculadora!$C$6&gt;0,1-(G163/Calculadora!$C$6),0),0)</f>
        <v/>
      </c>
    </row>
    <row r="164" ht="18" customHeight="1">
      <c r="A164" s="46" t="n">
        <v>160</v>
      </c>
      <c r="B164" s="47">
        <f>IFERROR(IF(C164&lt;=0.01,"",EDATE(B163,1)),"")</f>
        <v/>
      </c>
      <c r="C164" s="48">
        <f>IF(G163&lt;=0.01,0,G163)</f>
        <v/>
      </c>
      <c r="D164" s="48">
        <f>IF(C164&lt;=0.01,0,IFERROR(-PMT(Calculadora!$C$7/12,Calculadora!$C$8,Calculadora!$C$6),0))</f>
        <v/>
      </c>
      <c r="E164" s="49">
        <f>IF(C164&lt;=0.01,0,ROUND(C164*Calculadora!$C$7/12,2))</f>
        <v/>
      </c>
      <c r="F164" s="48">
        <f>IF(C164&lt;=0.01,0,D164-E164)</f>
        <v/>
      </c>
      <c r="G164" s="48">
        <f>IF(C164&lt;=0.01,0,MAX(ROUND(C164-F164,2),0))</f>
        <v/>
      </c>
      <c r="H164" s="50">
        <f>IFERROR(IF(Calculadora!$C$6&gt;0,1-(G164/Calculadora!$C$6),0),0)</f>
        <v/>
      </c>
    </row>
    <row r="165" ht="18" customHeight="1">
      <c r="A165" s="46" t="n">
        <v>161</v>
      </c>
      <c r="B165" s="47">
        <f>IFERROR(IF(C165&lt;=0.01,"",EDATE(B164,1)),"")</f>
        <v/>
      </c>
      <c r="C165" s="48">
        <f>IF(G164&lt;=0.01,0,G164)</f>
        <v/>
      </c>
      <c r="D165" s="48">
        <f>IF(C165&lt;=0.01,0,IFERROR(-PMT(Calculadora!$C$7/12,Calculadora!$C$8,Calculadora!$C$6),0))</f>
        <v/>
      </c>
      <c r="E165" s="49">
        <f>IF(C165&lt;=0.01,0,ROUND(C165*Calculadora!$C$7/12,2))</f>
        <v/>
      </c>
      <c r="F165" s="48">
        <f>IF(C165&lt;=0.01,0,D165-E165)</f>
        <v/>
      </c>
      <c r="G165" s="48">
        <f>IF(C165&lt;=0.01,0,MAX(ROUND(C165-F165,2),0))</f>
        <v/>
      </c>
      <c r="H165" s="50">
        <f>IFERROR(IF(Calculadora!$C$6&gt;0,1-(G165/Calculadora!$C$6),0),0)</f>
        <v/>
      </c>
    </row>
    <row r="166" ht="18" customHeight="1">
      <c r="A166" s="46" t="n">
        <v>162</v>
      </c>
      <c r="B166" s="47">
        <f>IFERROR(IF(C166&lt;=0.01,"",EDATE(B165,1)),"")</f>
        <v/>
      </c>
      <c r="C166" s="48">
        <f>IF(G165&lt;=0.01,0,G165)</f>
        <v/>
      </c>
      <c r="D166" s="48">
        <f>IF(C166&lt;=0.01,0,IFERROR(-PMT(Calculadora!$C$7/12,Calculadora!$C$8,Calculadora!$C$6),0))</f>
        <v/>
      </c>
      <c r="E166" s="49">
        <f>IF(C166&lt;=0.01,0,ROUND(C166*Calculadora!$C$7/12,2))</f>
        <v/>
      </c>
      <c r="F166" s="48">
        <f>IF(C166&lt;=0.01,0,D166-E166)</f>
        <v/>
      </c>
      <c r="G166" s="48">
        <f>IF(C166&lt;=0.01,0,MAX(ROUND(C166-F166,2),0))</f>
        <v/>
      </c>
      <c r="H166" s="50">
        <f>IFERROR(IF(Calculadora!$C$6&gt;0,1-(G166/Calculadora!$C$6),0),0)</f>
        <v/>
      </c>
    </row>
    <row r="167" ht="18" customHeight="1">
      <c r="A167" s="46" t="n">
        <v>163</v>
      </c>
      <c r="B167" s="47">
        <f>IFERROR(IF(C167&lt;=0.01,"",EDATE(B166,1)),"")</f>
        <v/>
      </c>
      <c r="C167" s="48">
        <f>IF(G166&lt;=0.01,0,G166)</f>
        <v/>
      </c>
      <c r="D167" s="48">
        <f>IF(C167&lt;=0.01,0,IFERROR(-PMT(Calculadora!$C$7/12,Calculadora!$C$8,Calculadora!$C$6),0))</f>
        <v/>
      </c>
      <c r="E167" s="49">
        <f>IF(C167&lt;=0.01,0,ROUND(C167*Calculadora!$C$7/12,2))</f>
        <v/>
      </c>
      <c r="F167" s="48">
        <f>IF(C167&lt;=0.01,0,D167-E167)</f>
        <v/>
      </c>
      <c r="G167" s="48">
        <f>IF(C167&lt;=0.01,0,MAX(ROUND(C167-F167,2),0))</f>
        <v/>
      </c>
      <c r="H167" s="50">
        <f>IFERROR(IF(Calculadora!$C$6&gt;0,1-(G167/Calculadora!$C$6),0),0)</f>
        <v/>
      </c>
    </row>
    <row r="168" ht="18" customHeight="1">
      <c r="A168" s="46" t="n">
        <v>164</v>
      </c>
      <c r="B168" s="47">
        <f>IFERROR(IF(C168&lt;=0.01,"",EDATE(B167,1)),"")</f>
        <v/>
      </c>
      <c r="C168" s="48">
        <f>IF(G167&lt;=0.01,0,G167)</f>
        <v/>
      </c>
      <c r="D168" s="48">
        <f>IF(C168&lt;=0.01,0,IFERROR(-PMT(Calculadora!$C$7/12,Calculadora!$C$8,Calculadora!$C$6),0))</f>
        <v/>
      </c>
      <c r="E168" s="49">
        <f>IF(C168&lt;=0.01,0,ROUND(C168*Calculadora!$C$7/12,2))</f>
        <v/>
      </c>
      <c r="F168" s="48">
        <f>IF(C168&lt;=0.01,0,D168-E168)</f>
        <v/>
      </c>
      <c r="G168" s="48">
        <f>IF(C168&lt;=0.01,0,MAX(ROUND(C168-F168,2),0))</f>
        <v/>
      </c>
      <c r="H168" s="50">
        <f>IFERROR(IF(Calculadora!$C$6&gt;0,1-(G168/Calculadora!$C$6),0),0)</f>
        <v/>
      </c>
    </row>
    <row r="169" ht="18" customHeight="1">
      <c r="A169" s="46" t="n">
        <v>165</v>
      </c>
      <c r="B169" s="47">
        <f>IFERROR(IF(C169&lt;=0.01,"",EDATE(B168,1)),"")</f>
        <v/>
      </c>
      <c r="C169" s="48">
        <f>IF(G168&lt;=0.01,0,G168)</f>
        <v/>
      </c>
      <c r="D169" s="48">
        <f>IF(C169&lt;=0.01,0,IFERROR(-PMT(Calculadora!$C$7/12,Calculadora!$C$8,Calculadora!$C$6),0))</f>
        <v/>
      </c>
      <c r="E169" s="49">
        <f>IF(C169&lt;=0.01,0,ROUND(C169*Calculadora!$C$7/12,2))</f>
        <v/>
      </c>
      <c r="F169" s="48">
        <f>IF(C169&lt;=0.01,0,D169-E169)</f>
        <v/>
      </c>
      <c r="G169" s="48">
        <f>IF(C169&lt;=0.01,0,MAX(ROUND(C169-F169,2),0))</f>
        <v/>
      </c>
      <c r="H169" s="50">
        <f>IFERROR(IF(Calculadora!$C$6&gt;0,1-(G169/Calculadora!$C$6),0),0)</f>
        <v/>
      </c>
    </row>
    <row r="170" ht="18" customHeight="1">
      <c r="A170" s="46" t="n">
        <v>166</v>
      </c>
      <c r="B170" s="47">
        <f>IFERROR(IF(C170&lt;=0.01,"",EDATE(B169,1)),"")</f>
        <v/>
      </c>
      <c r="C170" s="48">
        <f>IF(G169&lt;=0.01,0,G169)</f>
        <v/>
      </c>
      <c r="D170" s="48">
        <f>IF(C170&lt;=0.01,0,IFERROR(-PMT(Calculadora!$C$7/12,Calculadora!$C$8,Calculadora!$C$6),0))</f>
        <v/>
      </c>
      <c r="E170" s="49">
        <f>IF(C170&lt;=0.01,0,ROUND(C170*Calculadora!$C$7/12,2))</f>
        <v/>
      </c>
      <c r="F170" s="48">
        <f>IF(C170&lt;=0.01,0,D170-E170)</f>
        <v/>
      </c>
      <c r="G170" s="48">
        <f>IF(C170&lt;=0.01,0,MAX(ROUND(C170-F170,2),0))</f>
        <v/>
      </c>
      <c r="H170" s="50">
        <f>IFERROR(IF(Calculadora!$C$6&gt;0,1-(G170/Calculadora!$C$6),0),0)</f>
        <v/>
      </c>
    </row>
    <row r="171" ht="18" customHeight="1">
      <c r="A171" s="46" t="n">
        <v>167</v>
      </c>
      <c r="B171" s="47">
        <f>IFERROR(IF(C171&lt;=0.01,"",EDATE(B170,1)),"")</f>
        <v/>
      </c>
      <c r="C171" s="48">
        <f>IF(G170&lt;=0.01,0,G170)</f>
        <v/>
      </c>
      <c r="D171" s="48">
        <f>IF(C171&lt;=0.01,0,IFERROR(-PMT(Calculadora!$C$7/12,Calculadora!$C$8,Calculadora!$C$6),0))</f>
        <v/>
      </c>
      <c r="E171" s="49">
        <f>IF(C171&lt;=0.01,0,ROUND(C171*Calculadora!$C$7/12,2))</f>
        <v/>
      </c>
      <c r="F171" s="48">
        <f>IF(C171&lt;=0.01,0,D171-E171)</f>
        <v/>
      </c>
      <c r="G171" s="48">
        <f>IF(C171&lt;=0.01,0,MAX(ROUND(C171-F171,2),0))</f>
        <v/>
      </c>
      <c r="H171" s="50">
        <f>IFERROR(IF(Calculadora!$C$6&gt;0,1-(G171/Calculadora!$C$6),0),0)</f>
        <v/>
      </c>
    </row>
    <row r="172" ht="18" customHeight="1">
      <c r="A172" s="46" t="n">
        <v>168</v>
      </c>
      <c r="B172" s="47">
        <f>IFERROR(IF(C172&lt;=0.01,"",EDATE(B171,1)),"")</f>
        <v/>
      </c>
      <c r="C172" s="48">
        <f>IF(G171&lt;=0.01,0,G171)</f>
        <v/>
      </c>
      <c r="D172" s="48">
        <f>IF(C172&lt;=0.01,0,IFERROR(-PMT(Calculadora!$C$7/12,Calculadora!$C$8,Calculadora!$C$6),0))</f>
        <v/>
      </c>
      <c r="E172" s="49">
        <f>IF(C172&lt;=0.01,0,ROUND(C172*Calculadora!$C$7/12,2))</f>
        <v/>
      </c>
      <c r="F172" s="48">
        <f>IF(C172&lt;=0.01,0,D172-E172)</f>
        <v/>
      </c>
      <c r="G172" s="48">
        <f>IF(C172&lt;=0.01,0,MAX(ROUND(C172-F172,2),0))</f>
        <v/>
      </c>
      <c r="H172" s="50">
        <f>IFERROR(IF(Calculadora!$C$6&gt;0,1-(G172/Calculadora!$C$6),0),0)</f>
        <v/>
      </c>
    </row>
    <row r="173" ht="18" customHeight="1">
      <c r="A173" s="46" t="n">
        <v>169</v>
      </c>
      <c r="B173" s="47">
        <f>IFERROR(IF(C173&lt;=0.01,"",EDATE(B172,1)),"")</f>
        <v/>
      </c>
      <c r="C173" s="48">
        <f>IF(G172&lt;=0.01,0,G172)</f>
        <v/>
      </c>
      <c r="D173" s="48">
        <f>IF(C173&lt;=0.01,0,IFERROR(-PMT(Calculadora!$C$7/12,Calculadora!$C$8,Calculadora!$C$6),0))</f>
        <v/>
      </c>
      <c r="E173" s="49">
        <f>IF(C173&lt;=0.01,0,ROUND(C173*Calculadora!$C$7/12,2))</f>
        <v/>
      </c>
      <c r="F173" s="48">
        <f>IF(C173&lt;=0.01,0,D173-E173)</f>
        <v/>
      </c>
      <c r="G173" s="48">
        <f>IF(C173&lt;=0.01,0,MAX(ROUND(C173-F173,2),0))</f>
        <v/>
      </c>
      <c r="H173" s="50">
        <f>IFERROR(IF(Calculadora!$C$6&gt;0,1-(G173/Calculadora!$C$6),0),0)</f>
        <v/>
      </c>
    </row>
    <row r="174" ht="18" customHeight="1">
      <c r="A174" s="46" t="n">
        <v>170</v>
      </c>
      <c r="B174" s="47">
        <f>IFERROR(IF(C174&lt;=0.01,"",EDATE(B173,1)),"")</f>
        <v/>
      </c>
      <c r="C174" s="48">
        <f>IF(G173&lt;=0.01,0,G173)</f>
        <v/>
      </c>
      <c r="D174" s="48">
        <f>IF(C174&lt;=0.01,0,IFERROR(-PMT(Calculadora!$C$7/12,Calculadora!$C$8,Calculadora!$C$6),0))</f>
        <v/>
      </c>
      <c r="E174" s="49">
        <f>IF(C174&lt;=0.01,0,ROUND(C174*Calculadora!$C$7/12,2))</f>
        <v/>
      </c>
      <c r="F174" s="48">
        <f>IF(C174&lt;=0.01,0,D174-E174)</f>
        <v/>
      </c>
      <c r="G174" s="48">
        <f>IF(C174&lt;=0.01,0,MAX(ROUND(C174-F174,2),0))</f>
        <v/>
      </c>
      <c r="H174" s="50">
        <f>IFERROR(IF(Calculadora!$C$6&gt;0,1-(G174/Calculadora!$C$6),0),0)</f>
        <v/>
      </c>
    </row>
    <row r="175" ht="18" customHeight="1">
      <c r="A175" s="46" t="n">
        <v>171</v>
      </c>
      <c r="B175" s="47">
        <f>IFERROR(IF(C175&lt;=0.01,"",EDATE(B174,1)),"")</f>
        <v/>
      </c>
      <c r="C175" s="48">
        <f>IF(G174&lt;=0.01,0,G174)</f>
        <v/>
      </c>
      <c r="D175" s="48">
        <f>IF(C175&lt;=0.01,0,IFERROR(-PMT(Calculadora!$C$7/12,Calculadora!$C$8,Calculadora!$C$6),0))</f>
        <v/>
      </c>
      <c r="E175" s="49">
        <f>IF(C175&lt;=0.01,0,ROUND(C175*Calculadora!$C$7/12,2))</f>
        <v/>
      </c>
      <c r="F175" s="48">
        <f>IF(C175&lt;=0.01,0,D175-E175)</f>
        <v/>
      </c>
      <c r="G175" s="48">
        <f>IF(C175&lt;=0.01,0,MAX(ROUND(C175-F175,2),0))</f>
        <v/>
      </c>
      <c r="H175" s="50">
        <f>IFERROR(IF(Calculadora!$C$6&gt;0,1-(G175/Calculadora!$C$6),0),0)</f>
        <v/>
      </c>
    </row>
    <row r="176" ht="18" customHeight="1">
      <c r="A176" s="46" t="n">
        <v>172</v>
      </c>
      <c r="B176" s="47">
        <f>IFERROR(IF(C176&lt;=0.01,"",EDATE(B175,1)),"")</f>
        <v/>
      </c>
      <c r="C176" s="48">
        <f>IF(G175&lt;=0.01,0,G175)</f>
        <v/>
      </c>
      <c r="D176" s="48">
        <f>IF(C176&lt;=0.01,0,IFERROR(-PMT(Calculadora!$C$7/12,Calculadora!$C$8,Calculadora!$C$6),0))</f>
        <v/>
      </c>
      <c r="E176" s="49">
        <f>IF(C176&lt;=0.01,0,ROUND(C176*Calculadora!$C$7/12,2))</f>
        <v/>
      </c>
      <c r="F176" s="48">
        <f>IF(C176&lt;=0.01,0,D176-E176)</f>
        <v/>
      </c>
      <c r="G176" s="48">
        <f>IF(C176&lt;=0.01,0,MAX(ROUND(C176-F176,2),0))</f>
        <v/>
      </c>
      <c r="H176" s="50">
        <f>IFERROR(IF(Calculadora!$C$6&gt;0,1-(G176/Calculadora!$C$6),0),0)</f>
        <v/>
      </c>
    </row>
    <row r="177" ht="18" customHeight="1">
      <c r="A177" s="46" t="n">
        <v>173</v>
      </c>
      <c r="B177" s="47">
        <f>IFERROR(IF(C177&lt;=0.01,"",EDATE(B176,1)),"")</f>
        <v/>
      </c>
      <c r="C177" s="48">
        <f>IF(G176&lt;=0.01,0,G176)</f>
        <v/>
      </c>
      <c r="D177" s="48">
        <f>IF(C177&lt;=0.01,0,IFERROR(-PMT(Calculadora!$C$7/12,Calculadora!$C$8,Calculadora!$C$6),0))</f>
        <v/>
      </c>
      <c r="E177" s="49">
        <f>IF(C177&lt;=0.01,0,ROUND(C177*Calculadora!$C$7/12,2))</f>
        <v/>
      </c>
      <c r="F177" s="48">
        <f>IF(C177&lt;=0.01,0,D177-E177)</f>
        <v/>
      </c>
      <c r="G177" s="48">
        <f>IF(C177&lt;=0.01,0,MAX(ROUND(C177-F177,2),0))</f>
        <v/>
      </c>
      <c r="H177" s="50">
        <f>IFERROR(IF(Calculadora!$C$6&gt;0,1-(G177/Calculadora!$C$6),0),0)</f>
        <v/>
      </c>
    </row>
    <row r="178" ht="18" customHeight="1">
      <c r="A178" s="46" t="n">
        <v>174</v>
      </c>
      <c r="B178" s="47">
        <f>IFERROR(IF(C178&lt;=0.01,"",EDATE(B177,1)),"")</f>
        <v/>
      </c>
      <c r="C178" s="48">
        <f>IF(G177&lt;=0.01,0,G177)</f>
        <v/>
      </c>
      <c r="D178" s="48">
        <f>IF(C178&lt;=0.01,0,IFERROR(-PMT(Calculadora!$C$7/12,Calculadora!$C$8,Calculadora!$C$6),0))</f>
        <v/>
      </c>
      <c r="E178" s="49">
        <f>IF(C178&lt;=0.01,0,ROUND(C178*Calculadora!$C$7/12,2))</f>
        <v/>
      </c>
      <c r="F178" s="48">
        <f>IF(C178&lt;=0.01,0,D178-E178)</f>
        <v/>
      </c>
      <c r="G178" s="48">
        <f>IF(C178&lt;=0.01,0,MAX(ROUND(C178-F178,2),0))</f>
        <v/>
      </c>
      <c r="H178" s="50">
        <f>IFERROR(IF(Calculadora!$C$6&gt;0,1-(G178/Calculadora!$C$6),0),0)</f>
        <v/>
      </c>
    </row>
    <row r="179" ht="18" customHeight="1">
      <c r="A179" s="46" t="n">
        <v>175</v>
      </c>
      <c r="B179" s="47">
        <f>IFERROR(IF(C179&lt;=0.01,"",EDATE(B178,1)),"")</f>
        <v/>
      </c>
      <c r="C179" s="48">
        <f>IF(G178&lt;=0.01,0,G178)</f>
        <v/>
      </c>
      <c r="D179" s="48">
        <f>IF(C179&lt;=0.01,0,IFERROR(-PMT(Calculadora!$C$7/12,Calculadora!$C$8,Calculadora!$C$6),0))</f>
        <v/>
      </c>
      <c r="E179" s="49">
        <f>IF(C179&lt;=0.01,0,ROUND(C179*Calculadora!$C$7/12,2))</f>
        <v/>
      </c>
      <c r="F179" s="48">
        <f>IF(C179&lt;=0.01,0,D179-E179)</f>
        <v/>
      </c>
      <c r="G179" s="48">
        <f>IF(C179&lt;=0.01,0,MAX(ROUND(C179-F179,2),0))</f>
        <v/>
      </c>
      <c r="H179" s="50">
        <f>IFERROR(IF(Calculadora!$C$6&gt;0,1-(G179/Calculadora!$C$6),0),0)</f>
        <v/>
      </c>
    </row>
    <row r="180" ht="18" customHeight="1">
      <c r="A180" s="46" t="n">
        <v>176</v>
      </c>
      <c r="B180" s="47">
        <f>IFERROR(IF(C180&lt;=0.01,"",EDATE(B179,1)),"")</f>
        <v/>
      </c>
      <c r="C180" s="48">
        <f>IF(G179&lt;=0.01,0,G179)</f>
        <v/>
      </c>
      <c r="D180" s="48">
        <f>IF(C180&lt;=0.01,0,IFERROR(-PMT(Calculadora!$C$7/12,Calculadora!$C$8,Calculadora!$C$6),0))</f>
        <v/>
      </c>
      <c r="E180" s="49">
        <f>IF(C180&lt;=0.01,0,ROUND(C180*Calculadora!$C$7/12,2))</f>
        <v/>
      </c>
      <c r="F180" s="48">
        <f>IF(C180&lt;=0.01,0,D180-E180)</f>
        <v/>
      </c>
      <c r="G180" s="48">
        <f>IF(C180&lt;=0.01,0,MAX(ROUND(C180-F180,2),0))</f>
        <v/>
      </c>
      <c r="H180" s="50">
        <f>IFERROR(IF(Calculadora!$C$6&gt;0,1-(G180/Calculadora!$C$6),0),0)</f>
        <v/>
      </c>
    </row>
    <row r="181" ht="18" customHeight="1">
      <c r="A181" s="46" t="n">
        <v>177</v>
      </c>
      <c r="B181" s="47">
        <f>IFERROR(IF(C181&lt;=0.01,"",EDATE(B180,1)),"")</f>
        <v/>
      </c>
      <c r="C181" s="48">
        <f>IF(G180&lt;=0.01,0,G180)</f>
        <v/>
      </c>
      <c r="D181" s="48">
        <f>IF(C181&lt;=0.01,0,IFERROR(-PMT(Calculadora!$C$7/12,Calculadora!$C$8,Calculadora!$C$6),0))</f>
        <v/>
      </c>
      <c r="E181" s="49">
        <f>IF(C181&lt;=0.01,0,ROUND(C181*Calculadora!$C$7/12,2))</f>
        <v/>
      </c>
      <c r="F181" s="48">
        <f>IF(C181&lt;=0.01,0,D181-E181)</f>
        <v/>
      </c>
      <c r="G181" s="48">
        <f>IF(C181&lt;=0.01,0,MAX(ROUND(C181-F181,2),0))</f>
        <v/>
      </c>
      <c r="H181" s="50">
        <f>IFERROR(IF(Calculadora!$C$6&gt;0,1-(G181/Calculadora!$C$6),0),0)</f>
        <v/>
      </c>
    </row>
    <row r="182" ht="18" customHeight="1">
      <c r="A182" s="46" t="n">
        <v>178</v>
      </c>
      <c r="B182" s="47">
        <f>IFERROR(IF(C182&lt;=0.01,"",EDATE(B181,1)),"")</f>
        <v/>
      </c>
      <c r="C182" s="48">
        <f>IF(G181&lt;=0.01,0,G181)</f>
        <v/>
      </c>
      <c r="D182" s="48">
        <f>IF(C182&lt;=0.01,0,IFERROR(-PMT(Calculadora!$C$7/12,Calculadora!$C$8,Calculadora!$C$6),0))</f>
        <v/>
      </c>
      <c r="E182" s="49">
        <f>IF(C182&lt;=0.01,0,ROUND(C182*Calculadora!$C$7/12,2))</f>
        <v/>
      </c>
      <c r="F182" s="48">
        <f>IF(C182&lt;=0.01,0,D182-E182)</f>
        <v/>
      </c>
      <c r="G182" s="48">
        <f>IF(C182&lt;=0.01,0,MAX(ROUND(C182-F182,2),0))</f>
        <v/>
      </c>
      <c r="H182" s="50">
        <f>IFERROR(IF(Calculadora!$C$6&gt;0,1-(G182/Calculadora!$C$6),0),0)</f>
        <v/>
      </c>
    </row>
    <row r="183" ht="18" customHeight="1">
      <c r="A183" s="46" t="n">
        <v>179</v>
      </c>
      <c r="B183" s="47">
        <f>IFERROR(IF(C183&lt;=0.01,"",EDATE(B182,1)),"")</f>
        <v/>
      </c>
      <c r="C183" s="48">
        <f>IF(G182&lt;=0.01,0,G182)</f>
        <v/>
      </c>
      <c r="D183" s="48">
        <f>IF(C183&lt;=0.01,0,IFERROR(-PMT(Calculadora!$C$7/12,Calculadora!$C$8,Calculadora!$C$6),0))</f>
        <v/>
      </c>
      <c r="E183" s="49">
        <f>IF(C183&lt;=0.01,0,ROUND(C183*Calculadora!$C$7/12,2))</f>
        <v/>
      </c>
      <c r="F183" s="48">
        <f>IF(C183&lt;=0.01,0,D183-E183)</f>
        <v/>
      </c>
      <c r="G183" s="48">
        <f>IF(C183&lt;=0.01,0,MAX(ROUND(C183-F183,2),0))</f>
        <v/>
      </c>
      <c r="H183" s="50">
        <f>IFERROR(IF(Calculadora!$C$6&gt;0,1-(G183/Calculadora!$C$6),0),0)</f>
        <v/>
      </c>
    </row>
    <row r="184" ht="18" customHeight="1">
      <c r="A184" s="46" t="n">
        <v>180</v>
      </c>
      <c r="B184" s="47">
        <f>IFERROR(IF(C184&lt;=0.01,"",EDATE(B183,1)),"")</f>
        <v/>
      </c>
      <c r="C184" s="48">
        <f>IF(G183&lt;=0.01,0,G183)</f>
        <v/>
      </c>
      <c r="D184" s="48">
        <f>IF(C184&lt;=0.01,0,IFERROR(-PMT(Calculadora!$C$7/12,Calculadora!$C$8,Calculadora!$C$6),0))</f>
        <v/>
      </c>
      <c r="E184" s="49">
        <f>IF(C184&lt;=0.01,0,ROUND(C184*Calculadora!$C$7/12,2))</f>
        <v/>
      </c>
      <c r="F184" s="48">
        <f>IF(C184&lt;=0.01,0,D184-E184)</f>
        <v/>
      </c>
      <c r="G184" s="48">
        <f>IF(C184&lt;=0.01,0,MAX(ROUND(C184-F184,2),0))</f>
        <v/>
      </c>
      <c r="H184" s="50">
        <f>IFERROR(IF(Calculadora!$C$6&gt;0,1-(G184/Calculadora!$C$6),0),0)</f>
        <v/>
      </c>
    </row>
    <row r="185" ht="18" customHeight="1">
      <c r="A185" s="46" t="n">
        <v>181</v>
      </c>
      <c r="B185" s="47">
        <f>IFERROR(IF(C185&lt;=0.01,"",EDATE(B184,1)),"")</f>
        <v/>
      </c>
      <c r="C185" s="48">
        <f>IF(G184&lt;=0.01,0,G184)</f>
        <v/>
      </c>
      <c r="D185" s="48">
        <f>IF(C185&lt;=0.01,0,IFERROR(-PMT(Calculadora!$C$7/12,Calculadora!$C$8,Calculadora!$C$6),0))</f>
        <v/>
      </c>
      <c r="E185" s="49">
        <f>IF(C185&lt;=0.01,0,ROUND(C185*Calculadora!$C$7/12,2))</f>
        <v/>
      </c>
      <c r="F185" s="48">
        <f>IF(C185&lt;=0.01,0,D185-E185)</f>
        <v/>
      </c>
      <c r="G185" s="48">
        <f>IF(C185&lt;=0.01,0,MAX(ROUND(C185-F185,2),0))</f>
        <v/>
      </c>
      <c r="H185" s="50">
        <f>IFERROR(IF(Calculadora!$C$6&gt;0,1-(G185/Calculadora!$C$6),0),0)</f>
        <v/>
      </c>
    </row>
    <row r="186" ht="18" customHeight="1">
      <c r="A186" s="46" t="n">
        <v>182</v>
      </c>
      <c r="B186" s="47">
        <f>IFERROR(IF(C186&lt;=0.01,"",EDATE(B185,1)),"")</f>
        <v/>
      </c>
      <c r="C186" s="48">
        <f>IF(G185&lt;=0.01,0,G185)</f>
        <v/>
      </c>
      <c r="D186" s="48">
        <f>IF(C186&lt;=0.01,0,IFERROR(-PMT(Calculadora!$C$7/12,Calculadora!$C$8,Calculadora!$C$6),0))</f>
        <v/>
      </c>
      <c r="E186" s="49">
        <f>IF(C186&lt;=0.01,0,ROUND(C186*Calculadora!$C$7/12,2))</f>
        <v/>
      </c>
      <c r="F186" s="48">
        <f>IF(C186&lt;=0.01,0,D186-E186)</f>
        <v/>
      </c>
      <c r="G186" s="48">
        <f>IF(C186&lt;=0.01,0,MAX(ROUND(C186-F186,2),0))</f>
        <v/>
      </c>
      <c r="H186" s="50">
        <f>IFERROR(IF(Calculadora!$C$6&gt;0,1-(G186/Calculadora!$C$6),0),0)</f>
        <v/>
      </c>
    </row>
    <row r="187" ht="18" customHeight="1">
      <c r="A187" s="46" t="n">
        <v>183</v>
      </c>
      <c r="B187" s="47">
        <f>IFERROR(IF(C187&lt;=0.01,"",EDATE(B186,1)),"")</f>
        <v/>
      </c>
      <c r="C187" s="48">
        <f>IF(G186&lt;=0.01,0,G186)</f>
        <v/>
      </c>
      <c r="D187" s="48">
        <f>IF(C187&lt;=0.01,0,IFERROR(-PMT(Calculadora!$C$7/12,Calculadora!$C$8,Calculadora!$C$6),0))</f>
        <v/>
      </c>
      <c r="E187" s="49">
        <f>IF(C187&lt;=0.01,0,ROUND(C187*Calculadora!$C$7/12,2))</f>
        <v/>
      </c>
      <c r="F187" s="48">
        <f>IF(C187&lt;=0.01,0,D187-E187)</f>
        <v/>
      </c>
      <c r="G187" s="48">
        <f>IF(C187&lt;=0.01,0,MAX(ROUND(C187-F187,2),0))</f>
        <v/>
      </c>
      <c r="H187" s="50">
        <f>IFERROR(IF(Calculadora!$C$6&gt;0,1-(G187/Calculadora!$C$6),0),0)</f>
        <v/>
      </c>
    </row>
    <row r="188" ht="18" customHeight="1">
      <c r="A188" s="46" t="n">
        <v>184</v>
      </c>
      <c r="B188" s="47">
        <f>IFERROR(IF(C188&lt;=0.01,"",EDATE(B187,1)),"")</f>
        <v/>
      </c>
      <c r="C188" s="48">
        <f>IF(G187&lt;=0.01,0,G187)</f>
        <v/>
      </c>
      <c r="D188" s="48">
        <f>IF(C188&lt;=0.01,0,IFERROR(-PMT(Calculadora!$C$7/12,Calculadora!$C$8,Calculadora!$C$6),0))</f>
        <v/>
      </c>
      <c r="E188" s="49">
        <f>IF(C188&lt;=0.01,0,ROUND(C188*Calculadora!$C$7/12,2))</f>
        <v/>
      </c>
      <c r="F188" s="48">
        <f>IF(C188&lt;=0.01,0,D188-E188)</f>
        <v/>
      </c>
      <c r="G188" s="48">
        <f>IF(C188&lt;=0.01,0,MAX(ROUND(C188-F188,2),0))</f>
        <v/>
      </c>
      <c r="H188" s="50">
        <f>IFERROR(IF(Calculadora!$C$6&gt;0,1-(G188/Calculadora!$C$6),0),0)</f>
        <v/>
      </c>
    </row>
    <row r="189" ht="18" customHeight="1">
      <c r="A189" s="46" t="n">
        <v>185</v>
      </c>
      <c r="B189" s="47">
        <f>IFERROR(IF(C189&lt;=0.01,"",EDATE(B188,1)),"")</f>
        <v/>
      </c>
      <c r="C189" s="48">
        <f>IF(G188&lt;=0.01,0,G188)</f>
        <v/>
      </c>
      <c r="D189" s="48">
        <f>IF(C189&lt;=0.01,0,IFERROR(-PMT(Calculadora!$C$7/12,Calculadora!$C$8,Calculadora!$C$6),0))</f>
        <v/>
      </c>
      <c r="E189" s="49">
        <f>IF(C189&lt;=0.01,0,ROUND(C189*Calculadora!$C$7/12,2))</f>
        <v/>
      </c>
      <c r="F189" s="48">
        <f>IF(C189&lt;=0.01,0,D189-E189)</f>
        <v/>
      </c>
      <c r="G189" s="48">
        <f>IF(C189&lt;=0.01,0,MAX(ROUND(C189-F189,2),0))</f>
        <v/>
      </c>
      <c r="H189" s="50">
        <f>IFERROR(IF(Calculadora!$C$6&gt;0,1-(G189/Calculadora!$C$6),0),0)</f>
        <v/>
      </c>
    </row>
    <row r="190" ht="18" customHeight="1">
      <c r="A190" s="46" t="n">
        <v>186</v>
      </c>
      <c r="B190" s="47">
        <f>IFERROR(IF(C190&lt;=0.01,"",EDATE(B189,1)),"")</f>
        <v/>
      </c>
      <c r="C190" s="48">
        <f>IF(G189&lt;=0.01,0,G189)</f>
        <v/>
      </c>
      <c r="D190" s="48">
        <f>IF(C190&lt;=0.01,0,IFERROR(-PMT(Calculadora!$C$7/12,Calculadora!$C$8,Calculadora!$C$6),0))</f>
        <v/>
      </c>
      <c r="E190" s="49">
        <f>IF(C190&lt;=0.01,0,ROUND(C190*Calculadora!$C$7/12,2))</f>
        <v/>
      </c>
      <c r="F190" s="48">
        <f>IF(C190&lt;=0.01,0,D190-E190)</f>
        <v/>
      </c>
      <c r="G190" s="48">
        <f>IF(C190&lt;=0.01,0,MAX(ROUND(C190-F190,2),0))</f>
        <v/>
      </c>
      <c r="H190" s="50">
        <f>IFERROR(IF(Calculadora!$C$6&gt;0,1-(G190/Calculadora!$C$6),0),0)</f>
        <v/>
      </c>
    </row>
    <row r="191" ht="18" customHeight="1">
      <c r="A191" s="46" t="n">
        <v>187</v>
      </c>
      <c r="B191" s="47">
        <f>IFERROR(IF(C191&lt;=0.01,"",EDATE(B190,1)),"")</f>
        <v/>
      </c>
      <c r="C191" s="48">
        <f>IF(G190&lt;=0.01,0,G190)</f>
        <v/>
      </c>
      <c r="D191" s="48">
        <f>IF(C191&lt;=0.01,0,IFERROR(-PMT(Calculadora!$C$7/12,Calculadora!$C$8,Calculadora!$C$6),0))</f>
        <v/>
      </c>
      <c r="E191" s="49">
        <f>IF(C191&lt;=0.01,0,ROUND(C191*Calculadora!$C$7/12,2))</f>
        <v/>
      </c>
      <c r="F191" s="48">
        <f>IF(C191&lt;=0.01,0,D191-E191)</f>
        <v/>
      </c>
      <c r="G191" s="48">
        <f>IF(C191&lt;=0.01,0,MAX(ROUND(C191-F191,2),0))</f>
        <v/>
      </c>
      <c r="H191" s="50">
        <f>IFERROR(IF(Calculadora!$C$6&gt;0,1-(G191/Calculadora!$C$6),0),0)</f>
        <v/>
      </c>
    </row>
    <row r="192" ht="18" customHeight="1">
      <c r="A192" s="46" t="n">
        <v>188</v>
      </c>
      <c r="B192" s="47">
        <f>IFERROR(IF(C192&lt;=0.01,"",EDATE(B191,1)),"")</f>
        <v/>
      </c>
      <c r="C192" s="48">
        <f>IF(G191&lt;=0.01,0,G191)</f>
        <v/>
      </c>
      <c r="D192" s="48">
        <f>IF(C192&lt;=0.01,0,IFERROR(-PMT(Calculadora!$C$7/12,Calculadora!$C$8,Calculadora!$C$6),0))</f>
        <v/>
      </c>
      <c r="E192" s="49">
        <f>IF(C192&lt;=0.01,0,ROUND(C192*Calculadora!$C$7/12,2))</f>
        <v/>
      </c>
      <c r="F192" s="48">
        <f>IF(C192&lt;=0.01,0,D192-E192)</f>
        <v/>
      </c>
      <c r="G192" s="48">
        <f>IF(C192&lt;=0.01,0,MAX(ROUND(C192-F192,2),0))</f>
        <v/>
      </c>
      <c r="H192" s="50">
        <f>IFERROR(IF(Calculadora!$C$6&gt;0,1-(G192/Calculadora!$C$6),0),0)</f>
        <v/>
      </c>
    </row>
    <row r="193" ht="18" customHeight="1">
      <c r="A193" s="46" t="n">
        <v>189</v>
      </c>
      <c r="B193" s="47">
        <f>IFERROR(IF(C193&lt;=0.01,"",EDATE(B192,1)),"")</f>
        <v/>
      </c>
      <c r="C193" s="48">
        <f>IF(G192&lt;=0.01,0,G192)</f>
        <v/>
      </c>
      <c r="D193" s="48">
        <f>IF(C193&lt;=0.01,0,IFERROR(-PMT(Calculadora!$C$7/12,Calculadora!$C$8,Calculadora!$C$6),0))</f>
        <v/>
      </c>
      <c r="E193" s="49">
        <f>IF(C193&lt;=0.01,0,ROUND(C193*Calculadora!$C$7/12,2))</f>
        <v/>
      </c>
      <c r="F193" s="48">
        <f>IF(C193&lt;=0.01,0,D193-E193)</f>
        <v/>
      </c>
      <c r="G193" s="48">
        <f>IF(C193&lt;=0.01,0,MAX(ROUND(C193-F193,2),0))</f>
        <v/>
      </c>
      <c r="H193" s="50">
        <f>IFERROR(IF(Calculadora!$C$6&gt;0,1-(G193/Calculadora!$C$6),0),0)</f>
        <v/>
      </c>
    </row>
    <row r="194" ht="18" customHeight="1">
      <c r="A194" s="46" t="n">
        <v>190</v>
      </c>
      <c r="B194" s="47">
        <f>IFERROR(IF(C194&lt;=0.01,"",EDATE(B193,1)),"")</f>
        <v/>
      </c>
      <c r="C194" s="48">
        <f>IF(G193&lt;=0.01,0,G193)</f>
        <v/>
      </c>
      <c r="D194" s="48">
        <f>IF(C194&lt;=0.01,0,IFERROR(-PMT(Calculadora!$C$7/12,Calculadora!$C$8,Calculadora!$C$6),0))</f>
        <v/>
      </c>
      <c r="E194" s="49">
        <f>IF(C194&lt;=0.01,0,ROUND(C194*Calculadora!$C$7/12,2))</f>
        <v/>
      </c>
      <c r="F194" s="48">
        <f>IF(C194&lt;=0.01,0,D194-E194)</f>
        <v/>
      </c>
      <c r="G194" s="48">
        <f>IF(C194&lt;=0.01,0,MAX(ROUND(C194-F194,2),0))</f>
        <v/>
      </c>
      <c r="H194" s="50">
        <f>IFERROR(IF(Calculadora!$C$6&gt;0,1-(G194/Calculadora!$C$6),0),0)</f>
        <v/>
      </c>
    </row>
    <row r="195" ht="18" customHeight="1">
      <c r="A195" s="46" t="n">
        <v>191</v>
      </c>
      <c r="B195" s="47">
        <f>IFERROR(IF(C195&lt;=0.01,"",EDATE(B194,1)),"")</f>
        <v/>
      </c>
      <c r="C195" s="48">
        <f>IF(G194&lt;=0.01,0,G194)</f>
        <v/>
      </c>
      <c r="D195" s="48">
        <f>IF(C195&lt;=0.01,0,IFERROR(-PMT(Calculadora!$C$7/12,Calculadora!$C$8,Calculadora!$C$6),0))</f>
        <v/>
      </c>
      <c r="E195" s="49">
        <f>IF(C195&lt;=0.01,0,ROUND(C195*Calculadora!$C$7/12,2))</f>
        <v/>
      </c>
      <c r="F195" s="48">
        <f>IF(C195&lt;=0.01,0,D195-E195)</f>
        <v/>
      </c>
      <c r="G195" s="48">
        <f>IF(C195&lt;=0.01,0,MAX(ROUND(C195-F195,2),0))</f>
        <v/>
      </c>
      <c r="H195" s="50">
        <f>IFERROR(IF(Calculadora!$C$6&gt;0,1-(G195/Calculadora!$C$6),0),0)</f>
        <v/>
      </c>
    </row>
    <row r="196" ht="18" customHeight="1">
      <c r="A196" s="46" t="n">
        <v>192</v>
      </c>
      <c r="B196" s="47">
        <f>IFERROR(IF(C196&lt;=0.01,"",EDATE(B195,1)),"")</f>
        <v/>
      </c>
      <c r="C196" s="48">
        <f>IF(G195&lt;=0.01,0,G195)</f>
        <v/>
      </c>
      <c r="D196" s="48">
        <f>IF(C196&lt;=0.01,0,IFERROR(-PMT(Calculadora!$C$7/12,Calculadora!$C$8,Calculadora!$C$6),0))</f>
        <v/>
      </c>
      <c r="E196" s="49">
        <f>IF(C196&lt;=0.01,0,ROUND(C196*Calculadora!$C$7/12,2))</f>
        <v/>
      </c>
      <c r="F196" s="48">
        <f>IF(C196&lt;=0.01,0,D196-E196)</f>
        <v/>
      </c>
      <c r="G196" s="48">
        <f>IF(C196&lt;=0.01,0,MAX(ROUND(C196-F196,2),0))</f>
        <v/>
      </c>
      <c r="H196" s="50">
        <f>IFERROR(IF(Calculadora!$C$6&gt;0,1-(G196/Calculadora!$C$6),0),0)</f>
        <v/>
      </c>
    </row>
    <row r="197" ht="18" customHeight="1">
      <c r="A197" s="46" t="n">
        <v>193</v>
      </c>
      <c r="B197" s="47">
        <f>IFERROR(IF(C197&lt;=0.01,"",EDATE(B196,1)),"")</f>
        <v/>
      </c>
      <c r="C197" s="48">
        <f>IF(G196&lt;=0.01,0,G196)</f>
        <v/>
      </c>
      <c r="D197" s="48">
        <f>IF(C197&lt;=0.01,0,IFERROR(-PMT(Calculadora!$C$7/12,Calculadora!$C$8,Calculadora!$C$6),0))</f>
        <v/>
      </c>
      <c r="E197" s="49">
        <f>IF(C197&lt;=0.01,0,ROUND(C197*Calculadora!$C$7/12,2))</f>
        <v/>
      </c>
      <c r="F197" s="48">
        <f>IF(C197&lt;=0.01,0,D197-E197)</f>
        <v/>
      </c>
      <c r="G197" s="48">
        <f>IF(C197&lt;=0.01,0,MAX(ROUND(C197-F197,2),0))</f>
        <v/>
      </c>
      <c r="H197" s="50">
        <f>IFERROR(IF(Calculadora!$C$6&gt;0,1-(G197/Calculadora!$C$6),0),0)</f>
        <v/>
      </c>
    </row>
    <row r="198" ht="18" customHeight="1">
      <c r="A198" s="46" t="n">
        <v>194</v>
      </c>
      <c r="B198" s="47">
        <f>IFERROR(IF(C198&lt;=0.01,"",EDATE(B197,1)),"")</f>
        <v/>
      </c>
      <c r="C198" s="48">
        <f>IF(G197&lt;=0.01,0,G197)</f>
        <v/>
      </c>
      <c r="D198" s="48">
        <f>IF(C198&lt;=0.01,0,IFERROR(-PMT(Calculadora!$C$7/12,Calculadora!$C$8,Calculadora!$C$6),0))</f>
        <v/>
      </c>
      <c r="E198" s="49">
        <f>IF(C198&lt;=0.01,0,ROUND(C198*Calculadora!$C$7/12,2))</f>
        <v/>
      </c>
      <c r="F198" s="48">
        <f>IF(C198&lt;=0.01,0,D198-E198)</f>
        <v/>
      </c>
      <c r="G198" s="48">
        <f>IF(C198&lt;=0.01,0,MAX(ROUND(C198-F198,2),0))</f>
        <v/>
      </c>
      <c r="H198" s="50">
        <f>IFERROR(IF(Calculadora!$C$6&gt;0,1-(G198/Calculadora!$C$6),0),0)</f>
        <v/>
      </c>
    </row>
    <row r="199" ht="18" customHeight="1">
      <c r="A199" s="46" t="n">
        <v>195</v>
      </c>
      <c r="B199" s="47">
        <f>IFERROR(IF(C199&lt;=0.01,"",EDATE(B198,1)),"")</f>
        <v/>
      </c>
      <c r="C199" s="48">
        <f>IF(G198&lt;=0.01,0,G198)</f>
        <v/>
      </c>
      <c r="D199" s="48">
        <f>IF(C199&lt;=0.01,0,IFERROR(-PMT(Calculadora!$C$7/12,Calculadora!$C$8,Calculadora!$C$6),0))</f>
        <v/>
      </c>
      <c r="E199" s="49">
        <f>IF(C199&lt;=0.01,0,ROUND(C199*Calculadora!$C$7/12,2))</f>
        <v/>
      </c>
      <c r="F199" s="48">
        <f>IF(C199&lt;=0.01,0,D199-E199)</f>
        <v/>
      </c>
      <c r="G199" s="48">
        <f>IF(C199&lt;=0.01,0,MAX(ROUND(C199-F199,2),0))</f>
        <v/>
      </c>
      <c r="H199" s="50">
        <f>IFERROR(IF(Calculadora!$C$6&gt;0,1-(G199/Calculadora!$C$6),0),0)</f>
        <v/>
      </c>
    </row>
    <row r="200" ht="18" customHeight="1">
      <c r="A200" s="46" t="n">
        <v>196</v>
      </c>
      <c r="B200" s="47">
        <f>IFERROR(IF(C200&lt;=0.01,"",EDATE(B199,1)),"")</f>
        <v/>
      </c>
      <c r="C200" s="48">
        <f>IF(G199&lt;=0.01,0,G199)</f>
        <v/>
      </c>
      <c r="D200" s="48">
        <f>IF(C200&lt;=0.01,0,IFERROR(-PMT(Calculadora!$C$7/12,Calculadora!$C$8,Calculadora!$C$6),0))</f>
        <v/>
      </c>
      <c r="E200" s="49">
        <f>IF(C200&lt;=0.01,0,ROUND(C200*Calculadora!$C$7/12,2))</f>
        <v/>
      </c>
      <c r="F200" s="48">
        <f>IF(C200&lt;=0.01,0,D200-E200)</f>
        <v/>
      </c>
      <c r="G200" s="48">
        <f>IF(C200&lt;=0.01,0,MAX(ROUND(C200-F200,2),0))</f>
        <v/>
      </c>
      <c r="H200" s="50">
        <f>IFERROR(IF(Calculadora!$C$6&gt;0,1-(G200/Calculadora!$C$6),0),0)</f>
        <v/>
      </c>
    </row>
    <row r="201" ht="18" customHeight="1">
      <c r="A201" s="46" t="n">
        <v>197</v>
      </c>
      <c r="B201" s="47">
        <f>IFERROR(IF(C201&lt;=0.01,"",EDATE(B200,1)),"")</f>
        <v/>
      </c>
      <c r="C201" s="48">
        <f>IF(G200&lt;=0.01,0,G200)</f>
        <v/>
      </c>
      <c r="D201" s="48">
        <f>IF(C201&lt;=0.01,0,IFERROR(-PMT(Calculadora!$C$7/12,Calculadora!$C$8,Calculadora!$C$6),0))</f>
        <v/>
      </c>
      <c r="E201" s="49">
        <f>IF(C201&lt;=0.01,0,ROUND(C201*Calculadora!$C$7/12,2))</f>
        <v/>
      </c>
      <c r="F201" s="48">
        <f>IF(C201&lt;=0.01,0,D201-E201)</f>
        <v/>
      </c>
      <c r="G201" s="48">
        <f>IF(C201&lt;=0.01,0,MAX(ROUND(C201-F201,2),0))</f>
        <v/>
      </c>
      <c r="H201" s="50">
        <f>IFERROR(IF(Calculadora!$C$6&gt;0,1-(G201/Calculadora!$C$6),0),0)</f>
        <v/>
      </c>
    </row>
    <row r="202" ht="18" customHeight="1">
      <c r="A202" s="46" t="n">
        <v>198</v>
      </c>
      <c r="B202" s="47">
        <f>IFERROR(IF(C202&lt;=0.01,"",EDATE(B201,1)),"")</f>
        <v/>
      </c>
      <c r="C202" s="48">
        <f>IF(G201&lt;=0.01,0,G201)</f>
        <v/>
      </c>
      <c r="D202" s="48">
        <f>IF(C202&lt;=0.01,0,IFERROR(-PMT(Calculadora!$C$7/12,Calculadora!$C$8,Calculadora!$C$6),0))</f>
        <v/>
      </c>
      <c r="E202" s="49">
        <f>IF(C202&lt;=0.01,0,ROUND(C202*Calculadora!$C$7/12,2))</f>
        <v/>
      </c>
      <c r="F202" s="48">
        <f>IF(C202&lt;=0.01,0,D202-E202)</f>
        <v/>
      </c>
      <c r="G202" s="48">
        <f>IF(C202&lt;=0.01,0,MAX(ROUND(C202-F202,2),0))</f>
        <v/>
      </c>
      <c r="H202" s="50">
        <f>IFERROR(IF(Calculadora!$C$6&gt;0,1-(G202/Calculadora!$C$6),0),0)</f>
        <v/>
      </c>
    </row>
    <row r="203" ht="18" customHeight="1">
      <c r="A203" s="46" t="n">
        <v>199</v>
      </c>
      <c r="B203" s="47">
        <f>IFERROR(IF(C203&lt;=0.01,"",EDATE(B202,1)),"")</f>
        <v/>
      </c>
      <c r="C203" s="48">
        <f>IF(G202&lt;=0.01,0,G202)</f>
        <v/>
      </c>
      <c r="D203" s="48">
        <f>IF(C203&lt;=0.01,0,IFERROR(-PMT(Calculadora!$C$7/12,Calculadora!$C$8,Calculadora!$C$6),0))</f>
        <v/>
      </c>
      <c r="E203" s="49">
        <f>IF(C203&lt;=0.01,0,ROUND(C203*Calculadora!$C$7/12,2))</f>
        <v/>
      </c>
      <c r="F203" s="48">
        <f>IF(C203&lt;=0.01,0,D203-E203)</f>
        <v/>
      </c>
      <c r="G203" s="48">
        <f>IF(C203&lt;=0.01,0,MAX(ROUND(C203-F203,2),0))</f>
        <v/>
      </c>
      <c r="H203" s="50">
        <f>IFERROR(IF(Calculadora!$C$6&gt;0,1-(G203/Calculadora!$C$6),0),0)</f>
        <v/>
      </c>
    </row>
    <row r="204" ht="18" customHeight="1">
      <c r="A204" s="46" t="n">
        <v>200</v>
      </c>
      <c r="B204" s="47">
        <f>IFERROR(IF(C204&lt;=0.01,"",EDATE(B203,1)),"")</f>
        <v/>
      </c>
      <c r="C204" s="48">
        <f>IF(G203&lt;=0.01,0,G203)</f>
        <v/>
      </c>
      <c r="D204" s="48">
        <f>IF(C204&lt;=0.01,0,IFERROR(-PMT(Calculadora!$C$7/12,Calculadora!$C$8,Calculadora!$C$6),0))</f>
        <v/>
      </c>
      <c r="E204" s="49">
        <f>IF(C204&lt;=0.01,0,ROUND(C204*Calculadora!$C$7/12,2))</f>
        <v/>
      </c>
      <c r="F204" s="48">
        <f>IF(C204&lt;=0.01,0,D204-E204)</f>
        <v/>
      </c>
      <c r="G204" s="48">
        <f>IF(C204&lt;=0.01,0,MAX(ROUND(C204-F204,2),0))</f>
        <v/>
      </c>
      <c r="H204" s="50">
        <f>IFERROR(IF(Calculadora!$C$6&gt;0,1-(G204/Calculadora!$C$6),0),0)</f>
        <v/>
      </c>
    </row>
    <row r="205" ht="18" customHeight="1">
      <c r="A205" s="46" t="n">
        <v>201</v>
      </c>
      <c r="B205" s="47">
        <f>IFERROR(IF(C205&lt;=0.01,"",EDATE(B204,1)),"")</f>
        <v/>
      </c>
      <c r="C205" s="48">
        <f>IF(G204&lt;=0.01,0,G204)</f>
        <v/>
      </c>
      <c r="D205" s="48">
        <f>IF(C205&lt;=0.01,0,IFERROR(-PMT(Calculadora!$C$7/12,Calculadora!$C$8,Calculadora!$C$6),0))</f>
        <v/>
      </c>
      <c r="E205" s="49">
        <f>IF(C205&lt;=0.01,0,ROUND(C205*Calculadora!$C$7/12,2))</f>
        <v/>
      </c>
      <c r="F205" s="48">
        <f>IF(C205&lt;=0.01,0,D205-E205)</f>
        <v/>
      </c>
      <c r="G205" s="48">
        <f>IF(C205&lt;=0.01,0,MAX(ROUND(C205-F205,2),0))</f>
        <v/>
      </c>
      <c r="H205" s="50">
        <f>IFERROR(IF(Calculadora!$C$6&gt;0,1-(G205/Calculadora!$C$6),0),0)</f>
        <v/>
      </c>
    </row>
    <row r="206" ht="18" customHeight="1">
      <c r="A206" s="46" t="n">
        <v>202</v>
      </c>
      <c r="B206" s="47">
        <f>IFERROR(IF(C206&lt;=0.01,"",EDATE(B205,1)),"")</f>
        <v/>
      </c>
      <c r="C206" s="48">
        <f>IF(G205&lt;=0.01,0,G205)</f>
        <v/>
      </c>
      <c r="D206" s="48">
        <f>IF(C206&lt;=0.01,0,IFERROR(-PMT(Calculadora!$C$7/12,Calculadora!$C$8,Calculadora!$C$6),0))</f>
        <v/>
      </c>
      <c r="E206" s="49">
        <f>IF(C206&lt;=0.01,0,ROUND(C206*Calculadora!$C$7/12,2))</f>
        <v/>
      </c>
      <c r="F206" s="48">
        <f>IF(C206&lt;=0.01,0,D206-E206)</f>
        <v/>
      </c>
      <c r="G206" s="48">
        <f>IF(C206&lt;=0.01,0,MAX(ROUND(C206-F206,2),0))</f>
        <v/>
      </c>
      <c r="H206" s="50">
        <f>IFERROR(IF(Calculadora!$C$6&gt;0,1-(G206/Calculadora!$C$6),0),0)</f>
        <v/>
      </c>
    </row>
    <row r="207" ht="18" customHeight="1">
      <c r="A207" s="46" t="n">
        <v>203</v>
      </c>
      <c r="B207" s="47">
        <f>IFERROR(IF(C207&lt;=0.01,"",EDATE(B206,1)),"")</f>
        <v/>
      </c>
      <c r="C207" s="48">
        <f>IF(G206&lt;=0.01,0,G206)</f>
        <v/>
      </c>
      <c r="D207" s="48">
        <f>IF(C207&lt;=0.01,0,IFERROR(-PMT(Calculadora!$C$7/12,Calculadora!$C$8,Calculadora!$C$6),0))</f>
        <v/>
      </c>
      <c r="E207" s="49">
        <f>IF(C207&lt;=0.01,0,ROUND(C207*Calculadora!$C$7/12,2))</f>
        <v/>
      </c>
      <c r="F207" s="48">
        <f>IF(C207&lt;=0.01,0,D207-E207)</f>
        <v/>
      </c>
      <c r="G207" s="48">
        <f>IF(C207&lt;=0.01,0,MAX(ROUND(C207-F207,2),0))</f>
        <v/>
      </c>
      <c r="H207" s="50">
        <f>IFERROR(IF(Calculadora!$C$6&gt;0,1-(G207/Calculadora!$C$6),0),0)</f>
        <v/>
      </c>
    </row>
    <row r="208" ht="18" customHeight="1">
      <c r="A208" s="46" t="n">
        <v>204</v>
      </c>
      <c r="B208" s="47">
        <f>IFERROR(IF(C208&lt;=0.01,"",EDATE(B207,1)),"")</f>
        <v/>
      </c>
      <c r="C208" s="48">
        <f>IF(G207&lt;=0.01,0,G207)</f>
        <v/>
      </c>
      <c r="D208" s="48">
        <f>IF(C208&lt;=0.01,0,IFERROR(-PMT(Calculadora!$C$7/12,Calculadora!$C$8,Calculadora!$C$6),0))</f>
        <v/>
      </c>
      <c r="E208" s="49">
        <f>IF(C208&lt;=0.01,0,ROUND(C208*Calculadora!$C$7/12,2))</f>
        <v/>
      </c>
      <c r="F208" s="48">
        <f>IF(C208&lt;=0.01,0,D208-E208)</f>
        <v/>
      </c>
      <c r="G208" s="48">
        <f>IF(C208&lt;=0.01,0,MAX(ROUND(C208-F208,2),0))</f>
        <v/>
      </c>
      <c r="H208" s="50">
        <f>IFERROR(IF(Calculadora!$C$6&gt;0,1-(G208/Calculadora!$C$6),0),0)</f>
        <v/>
      </c>
    </row>
    <row r="209" ht="18" customHeight="1">
      <c r="A209" s="46" t="n">
        <v>205</v>
      </c>
      <c r="B209" s="47">
        <f>IFERROR(IF(C209&lt;=0.01,"",EDATE(B208,1)),"")</f>
        <v/>
      </c>
      <c r="C209" s="48">
        <f>IF(G208&lt;=0.01,0,G208)</f>
        <v/>
      </c>
      <c r="D209" s="48">
        <f>IF(C209&lt;=0.01,0,IFERROR(-PMT(Calculadora!$C$7/12,Calculadora!$C$8,Calculadora!$C$6),0))</f>
        <v/>
      </c>
      <c r="E209" s="49">
        <f>IF(C209&lt;=0.01,0,ROUND(C209*Calculadora!$C$7/12,2))</f>
        <v/>
      </c>
      <c r="F209" s="48">
        <f>IF(C209&lt;=0.01,0,D209-E209)</f>
        <v/>
      </c>
      <c r="G209" s="48">
        <f>IF(C209&lt;=0.01,0,MAX(ROUND(C209-F209,2),0))</f>
        <v/>
      </c>
      <c r="H209" s="50">
        <f>IFERROR(IF(Calculadora!$C$6&gt;0,1-(G209/Calculadora!$C$6),0),0)</f>
        <v/>
      </c>
    </row>
    <row r="210" ht="18" customHeight="1">
      <c r="A210" s="46" t="n">
        <v>206</v>
      </c>
      <c r="B210" s="47">
        <f>IFERROR(IF(C210&lt;=0.01,"",EDATE(B209,1)),"")</f>
        <v/>
      </c>
      <c r="C210" s="48">
        <f>IF(G209&lt;=0.01,0,G209)</f>
        <v/>
      </c>
      <c r="D210" s="48">
        <f>IF(C210&lt;=0.01,0,IFERROR(-PMT(Calculadora!$C$7/12,Calculadora!$C$8,Calculadora!$C$6),0))</f>
        <v/>
      </c>
      <c r="E210" s="49">
        <f>IF(C210&lt;=0.01,0,ROUND(C210*Calculadora!$C$7/12,2))</f>
        <v/>
      </c>
      <c r="F210" s="48">
        <f>IF(C210&lt;=0.01,0,D210-E210)</f>
        <v/>
      </c>
      <c r="G210" s="48">
        <f>IF(C210&lt;=0.01,0,MAX(ROUND(C210-F210,2),0))</f>
        <v/>
      </c>
      <c r="H210" s="50">
        <f>IFERROR(IF(Calculadora!$C$6&gt;0,1-(G210/Calculadora!$C$6),0),0)</f>
        <v/>
      </c>
    </row>
    <row r="211" ht="18" customHeight="1">
      <c r="A211" s="46" t="n">
        <v>207</v>
      </c>
      <c r="B211" s="47">
        <f>IFERROR(IF(C211&lt;=0.01,"",EDATE(B210,1)),"")</f>
        <v/>
      </c>
      <c r="C211" s="48">
        <f>IF(G210&lt;=0.01,0,G210)</f>
        <v/>
      </c>
      <c r="D211" s="48">
        <f>IF(C211&lt;=0.01,0,IFERROR(-PMT(Calculadora!$C$7/12,Calculadora!$C$8,Calculadora!$C$6),0))</f>
        <v/>
      </c>
      <c r="E211" s="49">
        <f>IF(C211&lt;=0.01,0,ROUND(C211*Calculadora!$C$7/12,2))</f>
        <v/>
      </c>
      <c r="F211" s="48">
        <f>IF(C211&lt;=0.01,0,D211-E211)</f>
        <v/>
      </c>
      <c r="G211" s="48">
        <f>IF(C211&lt;=0.01,0,MAX(ROUND(C211-F211,2),0))</f>
        <v/>
      </c>
      <c r="H211" s="50">
        <f>IFERROR(IF(Calculadora!$C$6&gt;0,1-(G211/Calculadora!$C$6),0),0)</f>
        <v/>
      </c>
    </row>
    <row r="212" ht="18" customHeight="1">
      <c r="A212" s="46" t="n">
        <v>208</v>
      </c>
      <c r="B212" s="47">
        <f>IFERROR(IF(C212&lt;=0.01,"",EDATE(B211,1)),"")</f>
        <v/>
      </c>
      <c r="C212" s="48">
        <f>IF(G211&lt;=0.01,0,G211)</f>
        <v/>
      </c>
      <c r="D212" s="48">
        <f>IF(C212&lt;=0.01,0,IFERROR(-PMT(Calculadora!$C$7/12,Calculadora!$C$8,Calculadora!$C$6),0))</f>
        <v/>
      </c>
      <c r="E212" s="49">
        <f>IF(C212&lt;=0.01,0,ROUND(C212*Calculadora!$C$7/12,2))</f>
        <v/>
      </c>
      <c r="F212" s="48">
        <f>IF(C212&lt;=0.01,0,D212-E212)</f>
        <v/>
      </c>
      <c r="G212" s="48">
        <f>IF(C212&lt;=0.01,0,MAX(ROUND(C212-F212,2),0))</f>
        <v/>
      </c>
      <c r="H212" s="50">
        <f>IFERROR(IF(Calculadora!$C$6&gt;0,1-(G212/Calculadora!$C$6),0),0)</f>
        <v/>
      </c>
    </row>
    <row r="213" ht="18" customHeight="1">
      <c r="A213" s="46" t="n">
        <v>209</v>
      </c>
      <c r="B213" s="47">
        <f>IFERROR(IF(C213&lt;=0.01,"",EDATE(B212,1)),"")</f>
        <v/>
      </c>
      <c r="C213" s="48">
        <f>IF(G212&lt;=0.01,0,G212)</f>
        <v/>
      </c>
      <c r="D213" s="48">
        <f>IF(C213&lt;=0.01,0,IFERROR(-PMT(Calculadora!$C$7/12,Calculadora!$C$8,Calculadora!$C$6),0))</f>
        <v/>
      </c>
      <c r="E213" s="49">
        <f>IF(C213&lt;=0.01,0,ROUND(C213*Calculadora!$C$7/12,2))</f>
        <v/>
      </c>
      <c r="F213" s="48">
        <f>IF(C213&lt;=0.01,0,D213-E213)</f>
        <v/>
      </c>
      <c r="G213" s="48">
        <f>IF(C213&lt;=0.01,0,MAX(ROUND(C213-F213,2),0))</f>
        <v/>
      </c>
      <c r="H213" s="50">
        <f>IFERROR(IF(Calculadora!$C$6&gt;0,1-(G213/Calculadora!$C$6),0),0)</f>
        <v/>
      </c>
    </row>
    <row r="214" ht="18" customHeight="1">
      <c r="A214" s="46" t="n">
        <v>210</v>
      </c>
      <c r="B214" s="47">
        <f>IFERROR(IF(C214&lt;=0.01,"",EDATE(B213,1)),"")</f>
        <v/>
      </c>
      <c r="C214" s="48">
        <f>IF(G213&lt;=0.01,0,G213)</f>
        <v/>
      </c>
      <c r="D214" s="48">
        <f>IF(C214&lt;=0.01,0,IFERROR(-PMT(Calculadora!$C$7/12,Calculadora!$C$8,Calculadora!$C$6),0))</f>
        <v/>
      </c>
      <c r="E214" s="49">
        <f>IF(C214&lt;=0.01,0,ROUND(C214*Calculadora!$C$7/12,2))</f>
        <v/>
      </c>
      <c r="F214" s="48">
        <f>IF(C214&lt;=0.01,0,D214-E214)</f>
        <v/>
      </c>
      <c r="G214" s="48">
        <f>IF(C214&lt;=0.01,0,MAX(ROUND(C214-F214,2),0))</f>
        <v/>
      </c>
      <c r="H214" s="50">
        <f>IFERROR(IF(Calculadora!$C$6&gt;0,1-(G214/Calculadora!$C$6),0),0)</f>
        <v/>
      </c>
    </row>
    <row r="215" ht="18" customHeight="1">
      <c r="A215" s="46" t="n">
        <v>211</v>
      </c>
      <c r="B215" s="47">
        <f>IFERROR(IF(C215&lt;=0.01,"",EDATE(B214,1)),"")</f>
        <v/>
      </c>
      <c r="C215" s="48">
        <f>IF(G214&lt;=0.01,0,G214)</f>
        <v/>
      </c>
      <c r="D215" s="48">
        <f>IF(C215&lt;=0.01,0,IFERROR(-PMT(Calculadora!$C$7/12,Calculadora!$C$8,Calculadora!$C$6),0))</f>
        <v/>
      </c>
      <c r="E215" s="49">
        <f>IF(C215&lt;=0.01,0,ROUND(C215*Calculadora!$C$7/12,2))</f>
        <v/>
      </c>
      <c r="F215" s="48">
        <f>IF(C215&lt;=0.01,0,D215-E215)</f>
        <v/>
      </c>
      <c r="G215" s="48">
        <f>IF(C215&lt;=0.01,0,MAX(ROUND(C215-F215,2),0))</f>
        <v/>
      </c>
      <c r="H215" s="50">
        <f>IFERROR(IF(Calculadora!$C$6&gt;0,1-(G215/Calculadora!$C$6),0),0)</f>
        <v/>
      </c>
    </row>
    <row r="216" ht="18" customHeight="1">
      <c r="A216" s="46" t="n">
        <v>212</v>
      </c>
      <c r="B216" s="47">
        <f>IFERROR(IF(C216&lt;=0.01,"",EDATE(B215,1)),"")</f>
        <v/>
      </c>
      <c r="C216" s="48">
        <f>IF(G215&lt;=0.01,0,G215)</f>
        <v/>
      </c>
      <c r="D216" s="48">
        <f>IF(C216&lt;=0.01,0,IFERROR(-PMT(Calculadora!$C$7/12,Calculadora!$C$8,Calculadora!$C$6),0))</f>
        <v/>
      </c>
      <c r="E216" s="49">
        <f>IF(C216&lt;=0.01,0,ROUND(C216*Calculadora!$C$7/12,2))</f>
        <v/>
      </c>
      <c r="F216" s="48">
        <f>IF(C216&lt;=0.01,0,D216-E216)</f>
        <v/>
      </c>
      <c r="G216" s="48">
        <f>IF(C216&lt;=0.01,0,MAX(ROUND(C216-F216,2),0))</f>
        <v/>
      </c>
      <c r="H216" s="50">
        <f>IFERROR(IF(Calculadora!$C$6&gt;0,1-(G216/Calculadora!$C$6),0),0)</f>
        <v/>
      </c>
    </row>
    <row r="217" ht="18" customHeight="1">
      <c r="A217" s="46" t="n">
        <v>213</v>
      </c>
      <c r="B217" s="47">
        <f>IFERROR(IF(C217&lt;=0.01,"",EDATE(B216,1)),"")</f>
        <v/>
      </c>
      <c r="C217" s="48">
        <f>IF(G216&lt;=0.01,0,G216)</f>
        <v/>
      </c>
      <c r="D217" s="48">
        <f>IF(C217&lt;=0.01,0,IFERROR(-PMT(Calculadora!$C$7/12,Calculadora!$C$8,Calculadora!$C$6),0))</f>
        <v/>
      </c>
      <c r="E217" s="49">
        <f>IF(C217&lt;=0.01,0,ROUND(C217*Calculadora!$C$7/12,2))</f>
        <v/>
      </c>
      <c r="F217" s="48">
        <f>IF(C217&lt;=0.01,0,D217-E217)</f>
        <v/>
      </c>
      <c r="G217" s="48">
        <f>IF(C217&lt;=0.01,0,MAX(ROUND(C217-F217,2),0))</f>
        <v/>
      </c>
      <c r="H217" s="50">
        <f>IFERROR(IF(Calculadora!$C$6&gt;0,1-(G217/Calculadora!$C$6),0),0)</f>
        <v/>
      </c>
    </row>
    <row r="218" ht="18" customHeight="1">
      <c r="A218" s="46" t="n">
        <v>214</v>
      </c>
      <c r="B218" s="47">
        <f>IFERROR(IF(C218&lt;=0.01,"",EDATE(B217,1)),"")</f>
        <v/>
      </c>
      <c r="C218" s="48">
        <f>IF(G217&lt;=0.01,0,G217)</f>
        <v/>
      </c>
      <c r="D218" s="48">
        <f>IF(C218&lt;=0.01,0,IFERROR(-PMT(Calculadora!$C$7/12,Calculadora!$C$8,Calculadora!$C$6),0))</f>
        <v/>
      </c>
      <c r="E218" s="49">
        <f>IF(C218&lt;=0.01,0,ROUND(C218*Calculadora!$C$7/12,2))</f>
        <v/>
      </c>
      <c r="F218" s="48">
        <f>IF(C218&lt;=0.01,0,D218-E218)</f>
        <v/>
      </c>
      <c r="G218" s="48">
        <f>IF(C218&lt;=0.01,0,MAX(ROUND(C218-F218,2),0))</f>
        <v/>
      </c>
      <c r="H218" s="50">
        <f>IFERROR(IF(Calculadora!$C$6&gt;0,1-(G218/Calculadora!$C$6),0),0)</f>
        <v/>
      </c>
    </row>
    <row r="219" ht="18" customHeight="1">
      <c r="A219" s="46" t="n">
        <v>215</v>
      </c>
      <c r="B219" s="47">
        <f>IFERROR(IF(C219&lt;=0.01,"",EDATE(B218,1)),"")</f>
        <v/>
      </c>
      <c r="C219" s="48">
        <f>IF(G218&lt;=0.01,0,G218)</f>
        <v/>
      </c>
      <c r="D219" s="48">
        <f>IF(C219&lt;=0.01,0,IFERROR(-PMT(Calculadora!$C$7/12,Calculadora!$C$8,Calculadora!$C$6),0))</f>
        <v/>
      </c>
      <c r="E219" s="49">
        <f>IF(C219&lt;=0.01,0,ROUND(C219*Calculadora!$C$7/12,2))</f>
        <v/>
      </c>
      <c r="F219" s="48">
        <f>IF(C219&lt;=0.01,0,D219-E219)</f>
        <v/>
      </c>
      <c r="G219" s="48">
        <f>IF(C219&lt;=0.01,0,MAX(ROUND(C219-F219,2),0))</f>
        <v/>
      </c>
      <c r="H219" s="50">
        <f>IFERROR(IF(Calculadora!$C$6&gt;0,1-(G219/Calculadora!$C$6),0),0)</f>
        <v/>
      </c>
    </row>
    <row r="220" ht="18" customHeight="1">
      <c r="A220" s="46" t="n">
        <v>216</v>
      </c>
      <c r="B220" s="47">
        <f>IFERROR(IF(C220&lt;=0.01,"",EDATE(B219,1)),"")</f>
        <v/>
      </c>
      <c r="C220" s="48">
        <f>IF(G219&lt;=0.01,0,G219)</f>
        <v/>
      </c>
      <c r="D220" s="48">
        <f>IF(C220&lt;=0.01,0,IFERROR(-PMT(Calculadora!$C$7/12,Calculadora!$C$8,Calculadora!$C$6),0))</f>
        <v/>
      </c>
      <c r="E220" s="49">
        <f>IF(C220&lt;=0.01,0,ROUND(C220*Calculadora!$C$7/12,2))</f>
        <v/>
      </c>
      <c r="F220" s="48">
        <f>IF(C220&lt;=0.01,0,D220-E220)</f>
        <v/>
      </c>
      <c r="G220" s="48">
        <f>IF(C220&lt;=0.01,0,MAX(ROUND(C220-F220,2),0))</f>
        <v/>
      </c>
      <c r="H220" s="50">
        <f>IFERROR(IF(Calculadora!$C$6&gt;0,1-(G220/Calculadora!$C$6),0),0)</f>
        <v/>
      </c>
    </row>
    <row r="221" ht="18" customHeight="1">
      <c r="A221" s="46" t="n">
        <v>217</v>
      </c>
      <c r="B221" s="47">
        <f>IFERROR(IF(C221&lt;=0.01,"",EDATE(B220,1)),"")</f>
        <v/>
      </c>
      <c r="C221" s="48">
        <f>IF(G220&lt;=0.01,0,G220)</f>
        <v/>
      </c>
      <c r="D221" s="48">
        <f>IF(C221&lt;=0.01,0,IFERROR(-PMT(Calculadora!$C$7/12,Calculadora!$C$8,Calculadora!$C$6),0))</f>
        <v/>
      </c>
      <c r="E221" s="49">
        <f>IF(C221&lt;=0.01,0,ROUND(C221*Calculadora!$C$7/12,2))</f>
        <v/>
      </c>
      <c r="F221" s="48">
        <f>IF(C221&lt;=0.01,0,D221-E221)</f>
        <v/>
      </c>
      <c r="G221" s="48">
        <f>IF(C221&lt;=0.01,0,MAX(ROUND(C221-F221,2),0))</f>
        <v/>
      </c>
      <c r="H221" s="50">
        <f>IFERROR(IF(Calculadora!$C$6&gt;0,1-(G221/Calculadora!$C$6),0),0)</f>
        <v/>
      </c>
    </row>
    <row r="222" ht="18" customHeight="1">
      <c r="A222" s="46" t="n">
        <v>218</v>
      </c>
      <c r="B222" s="47">
        <f>IFERROR(IF(C222&lt;=0.01,"",EDATE(B221,1)),"")</f>
        <v/>
      </c>
      <c r="C222" s="48">
        <f>IF(G221&lt;=0.01,0,G221)</f>
        <v/>
      </c>
      <c r="D222" s="48">
        <f>IF(C222&lt;=0.01,0,IFERROR(-PMT(Calculadora!$C$7/12,Calculadora!$C$8,Calculadora!$C$6),0))</f>
        <v/>
      </c>
      <c r="E222" s="49">
        <f>IF(C222&lt;=0.01,0,ROUND(C222*Calculadora!$C$7/12,2))</f>
        <v/>
      </c>
      <c r="F222" s="48">
        <f>IF(C222&lt;=0.01,0,D222-E222)</f>
        <v/>
      </c>
      <c r="G222" s="48">
        <f>IF(C222&lt;=0.01,0,MAX(ROUND(C222-F222,2),0))</f>
        <v/>
      </c>
      <c r="H222" s="50">
        <f>IFERROR(IF(Calculadora!$C$6&gt;0,1-(G222/Calculadora!$C$6),0),0)</f>
        <v/>
      </c>
    </row>
    <row r="223" ht="18" customHeight="1">
      <c r="A223" s="46" t="n">
        <v>219</v>
      </c>
      <c r="B223" s="47">
        <f>IFERROR(IF(C223&lt;=0.01,"",EDATE(B222,1)),"")</f>
        <v/>
      </c>
      <c r="C223" s="48">
        <f>IF(G222&lt;=0.01,0,G222)</f>
        <v/>
      </c>
      <c r="D223" s="48">
        <f>IF(C223&lt;=0.01,0,IFERROR(-PMT(Calculadora!$C$7/12,Calculadora!$C$8,Calculadora!$C$6),0))</f>
        <v/>
      </c>
      <c r="E223" s="49">
        <f>IF(C223&lt;=0.01,0,ROUND(C223*Calculadora!$C$7/12,2))</f>
        <v/>
      </c>
      <c r="F223" s="48">
        <f>IF(C223&lt;=0.01,0,D223-E223)</f>
        <v/>
      </c>
      <c r="G223" s="48">
        <f>IF(C223&lt;=0.01,0,MAX(ROUND(C223-F223,2),0))</f>
        <v/>
      </c>
      <c r="H223" s="50">
        <f>IFERROR(IF(Calculadora!$C$6&gt;0,1-(G223/Calculadora!$C$6),0),0)</f>
        <v/>
      </c>
    </row>
    <row r="224" ht="18" customHeight="1">
      <c r="A224" s="46" t="n">
        <v>220</v>
      </c>
      <c r="B224" s="47">
        <f>IFERROR(IF(C224&lt;=0.01,"",EDATE(B223,1)),"")</f>
        <v/>
      </c>
      <c r="C224" s="48">
        <f>IF(G223&lt;=0.01,0,G223)</f>
        <v/>
      </c>
      <c r="D224" s="48">
        <f>IF(C224&lt;=0.01,0,IFERROR(-PMT(Calculadora!$C$7/12,Calculadora!$C$8,Calculadora!$C$6),0))</f>
        <v/>
      </c>
      <c r="E224" s="49">
        <f>IF(C224&lt;=0.01,0,ROUND(C224*Calculadora!$C$7/12,2))</f>
        <v/>
      </c>
      <c r="F224" s="48">
        <f>IF(C224&lt;=0.01,0,D224-E224)</f>
        <v/>
      </c>
      <c r="G224" s="48">
        <f>IF(C224&lt;=0.01,0,MAX(ROUND(C224-F224,2),0))</f>
        <v/>
      </c>
      <c r="H224" s="50">
        <f>IFERROR(IF(Calculadora!$C$6&gt;0,1-(G224/Calculadora!$C$6),0),0)</f>
        <v/>
      </c>
    </row>
    <row r="225" ht="18" customHeight="1">
      <c r="A225" s="46" t="n">
        <v>221</v>
      </c>
      <c r="B225" s="47">
        <f>IFERROR(IF(C225&lt;=0.01,"",EDATE(B224,1)),"")</f>
        <v/>
      </c>
      <c r="C225" s="48">
        <f>IF(G224&lt;=0.01,0,G224)</f>
        <v/>
      </c>
      <c r="D225" s="48">
        <f>IF(C225&lt;=0.01,0,IFERROR(-PMT(Calculadora!$C$7/12,Calculadora!$C$8,Calculadora!$C$6),0))</f>
        <v/>
      </c>
      <c r="E225" s="49">
        <f>IF(C225&lt;=0.01,0,ROUND(C225*Calculadora!$C$7/12,2))</f>
        <v/>
      </c>
      <c r="F225" s="48">
        <f>IF(C225&lt;=0.01,0,D225-E225)</f>
        <v/>
      </c>
      <c r="G225" s="48">
        <f>IF(C225&lt;=0.01,0,MAX(ROUND(C225-F225,2),0))</f>
        <v/>
      </c>
      <c r="H225" s="50">
        <f>IFERROR(IF(Calculadora!$C$6&gt;0,1-(G225/Calculadora!$C$6),0),0)</f>
        <v/>
      </c>
    </row>
    <row r="226" ht="18" customHeight="1">
      <c r="A226" s="46" t="n">
        <v>222</v>
      </c>
      <c r="B226" s="47">
        <f>IFERROR(IF(C226&lt;=0.01,"",EDATE(B225,1)),"")</f>
        <v/>
      </c>
      <c r="C226" s="48">
        <f>IF(G225&lt;=0.01,0,G225)</f>
        <v/>
      </c>
      <c r="D226" s="48">
        <f>IF(C226&lt;=0.01,0,IFERROR(-PMT(Calculadora!$C$7/12,Calculadora!$C$8,Calculadora!$C$6),0))</f>
        <v/>
      </c>
      <c r="E226" s="49">
        <f>IF(C226&lt;=0.01,0,ROUND(C226*Calculadora!$C$7/12,2))</f>
        <v/>
      </c>
      <c r="F226" s="48">
        <f>IF(C226&lt;=0.01,0,D226-E226)</f>
        <v/>
      </c>
      <c r="G226" s="48">
        <f>IF(C226&lt;=0.01,0,MAX(ROUND(C226-F226,2),0))</f>
        <v/>
      </c>
      <c r="H226" s="50">
        <f>IFERROR(IF(Calculadora!$C$6&gt;0,1-(G226/Calculadora!$C$6),0),0)</f>
        <v/>
      </c>
    </row>
    <row r="227" ht="18" customHeight="1">
      <c r="A227" s="46" t="n">
        <v>223</v>
      </c>
      <c r="B227" s="47">
        <f>IFERROR(IF(C227&lt;=0.01,"",EDATE(B226,1)),"")</f>
        <v/>
      </c>
      <c r="C227" s="48">
        <f>IF(G226&lt;=0.01,0,G226)</f>
        <v/>
      </c>
      <c r="D227" s="48">
        <f>IF(C227&lt;=0.01,0,IFERROR(-PMT(Calculadora!$C$7/12,Calculadora!$C$8,Calculadora!$C$6),0))</f>
        <v/>
      </c>
      <c r="E227" s="49">
        <f>IF(C227&lt;=0.01,0,ROUND(C227*Calculadora!$C$7/12,2))</f>
        <v/>
      </c>
      <c r="F227" s="48">
        <f>IF(C227&lt;=0.01,0,D227-E227)</f>
        <v/>
      </c>
      <c r="G227" s="48">
        <f>IF(C227&lt;=0.01,0,MAX(ROUND(C227-F227,2),0))</f>
        <v/>
      </c>
      <c r="H227" s="50">
        <f>IFERROR(IF(Calculadora!$C$6&gt;0,1-(G227/Calculadora!$C$6),0),0)</f>
        <v/>
      </c>
    </row>
    <row r="228" ht="18" customHeight="1">
      <c r="A228" s="46" t="n">
        <v>224</v>
      </c>
      <c r="B228" s="47">
        <f>IFERROR(IF(C228&lt;=0.01,"",EDATE(B227,1)),"")</f>
        <v/>
      </c>
      <c r="C228" s="48">
        <f>IF(G227&lt;=0.01,0,G227)</f>
        <v/>
      </c>
      <c r="D228" s="48">
        <f>IF(C228&lt;=0.01,0,IFERROR(-PMT(Calculadora!$C$7/12,Calculadora!$C$8,Calculadora!$C$6),0))</f>
        <v/>
      </c>
      <c r="E228" s="49">
        <f>IF(C228&lt;=0.01,0,ROUND(C228*Calculadora!$C$7/12,2))</f>
        <v/>
      </c>
      <c r="F228" s="48">
        <f>IF(C228&lt;=0.01,0,D228-E228)</f>
        <v/>
      </c>
      <c r="G228" s="48">
        <f>IF(C228&lt;=0.01,0,MAX(ROUND(C228-F228,2),0))</f>
        <v/>
      </c>
      <c r="H228" s="50">
        <f>IFERROR(IF(Calculadora!$C$6&gt;0,1-(G228/Calculadora!$C$6),0),0)</f>
        <v/>
      </c>
    </row>
    <row r="229" ht="18" customHeight="1">
      <c r="A229" s="46" t="n">
        <v>225</v>
      </c>
      <c r="B229" s="47">
        <f>IFERROR(IF(C229&lt;=0.01,"",EDATE(B228,1)),"")</f>
        <v/>
      </c>
      <c r="C229" s="48">
        <f>IF(G228&lt;=0.01,0,G228)</f>
        <v/>
      </c>
      <c r="D229" s="48">
        <f>IF(C229&lt;=0.01,0,IFERROR(-PMT(Calculadora!$C$7/12,Calculadora!$C$8,Calculadora!$C$6),0))</f>
        <v/>
      </c>
      <c r="E229" s="49">
        <f>IF(C229&lt;=0.01,0,ROUND(C229*Calculadora!$C$7/12,2))</f>
        <v/>
      </c>
      <c r="F229" s="48">
        <f>IF(C229&lt;=0.01,0,D229-E229)</f>
        <v/>
      </c>
      <c r="G229" s="48">
        <f>IF(C229&lt;=0.01,0,MAX(ROUND(C229-F229,2),0))</f>
        <v/>
      </c>
      <c r="H229" s="50">
        <f>IFERROR(IF(Calculadora!$C$6&gt;0,1-(G229/Calculadora!$C$6),0),0)</f>
        <v/>
      </c>
    </row>
    <row r="230" ht="18" customHeight="1">
      <c r="A230" s="46" t="n">
        <v>226</v>
      </c>
      <c r="B230" s="47">
        <f>IFERROR(IF(C230&lt;=0.01,"",EDATE(B229,1)),"")</f>
        <v/>
      </c>
      <c r="C230" s="48">
        <f>IF(G229&lt;=0.01,0,G229)</f>
        <v/>
      </c>
      <c r="D230" s="48">
        <f>IF(C230&lt;=0.01,0,IFERROR(-PMT(Calculadora!$C$7/12,Calculadora!$C$8,Calculadora!$C$6),0))</f>
        <v/>
      </c>
      <c r="E230" s="49">
        <f>IF(C230&lt;=0.01,0,ROUND(C230*Calculadora!$C$7/12,2))</f>
        <v/>
      </c>
      <c r="F230" s="48">
        <f>IF(C230&lt;=0.01,0,D230-E230)</f>
        <v/>
      </c>
      <c r="G230" s="48">
        <f>IF(C230&lt;=0.01,0,MAX(ROUND(C230-F230,2),0))</f>
        <v/>
      </c>
      <c r="H230" s="50">
        <f>IFERROR(IF(Calculadora!$C$6&gt;0,1-(G230/Calculadora!$C$6),0),0)</f>
        <v/>
      </c>
    </row>
    <row r="231" ht="18" customHeight="1">
      <c r="A231" s="46" t="n">
        <v>227</v>
      </c>
      <c r="B231" s="47">
        <f>IFERROR(IF(C231&lt;=0.01,"",EDATE(B230,1)),"")</f>
        <v/>
      </c>
      <c r="C231" s="48">
        <f>IF(G230&lt;=0.01,0,G230)</f>
        <v/>
      </c>
      <c r="D231" s="48">
        <f>IF(C231&lt;=0.01,0,IFERROR(-PMT(Calculadora!$C$7/12,Calculadora!$C$8,Calculadora!$C$6),0))</f>
        <v/>
      </c>
      <c r="E231" s="49">
        <f>IF(C231&lt;=0.01,0,ROUND(C231*Calculadora!$C$7/12,2))</f>
        <v/>
      </c>
      <c r="F231" s="48">
        <f>IF(C231&lt;=0.01,0,D231-E231)</f>
        <v/>
      </c>
      <c r="G231" s="48">
        <f>IF(C231&lt;=0.01,0,MAX(ROUND(C231-F231,2),0))</f>
        <v/>
      </c>
      <c r="H231" s="50">
        <f>IFERROR(IF(Calculadora!$C$6&gt;0,1-(G231/Calculadora!$C$6),0),0)</f>
        <v/>
      </c>
    </row>
    <row r="232" ht="18" customHeight="1">
      <c r="A232" s="46" t="n">
        <v>228</v>
      </c>
      <c r="B232" s="47">
        <f>IFERROR(IF(C232&lt;=0.01,"",EDATE(B231,1)),"")</f>
        <v/>
      </c>
      <c r="C232" s="48">
        <f>IF(G231&lt;=0.01,0,G231)</f>
        <v/>
      </c>
      <c r="D232" s="48">
        <f>IF(C232&lt;=0.01,0,IFERROR(-PMT(Calculadora!$C$7/12,Calculadora!$C$8,Calculadora!$C$6),0))</f>
        <v/>
      </c>
      <c r="E232" s="49">
        <f>IF(C232&lt;=0.01,0,ROUND(C232*Calculadora!$C$7/12,2))</f>
        <v/>
      </c>
      <c r="F232" s="48">
        <f>IF(C232&lt;=0.01,0,D232-E232)</f>
        <v/>
      </c>
      <c r="G232" s="48">
        <f>IF(C232&lt;=0.01,0,MAX(ROUND(C232-F232,2),0))</f>
        <v/>
      </c>
      <c r="H232" s="50">
        <f>IFERROR(IF(Calculadora!$C$6&gt;0,1-(G232/Calculadora!$C$6),0),0)</f>
        <v/>
      </c>
    </row>
    <row r="233" ht="18" customHeight="1">
      <c r="A233" s="46" t="n">
        <v>229</v>
      </c>
      <c r="B233" s="47">
        <f>IFERROR(IF(C233&lt;=0.01,"",EDATE(B232,1)),"")</f>
        <v/>
      </c>
      <c r="C233" s="48">
        <f>IF(G232&lt;=0.01,0,G232)</f>
        <v/>
      </c>
      <c r="D233" s="48">
        <f>IF(C233&lt;=0.01,0,IFERROR(-PMT(Calculadora!$C$7/12,Calculadora!$C$8,Calculadora!$C$6),0))</f>
        <v/>
      </c>
      <c r="E233" s="49">
        <f>IF(C233&lt;=0.01,0,ROUND(C233*Calculadora!$C$7/12,2))</f>
        <v/>
      </c>
      <c r="F233" s="48">
        <f>IF(C233&lt;=0.01,0,D233-E233)</f>
        <v/>
      </c>
      <c r="G233" s="48">
        <f>IF(C233&lt;=0.01,0,MAX(ROUND(C233-F233,2),0))</f>
        <v/>
      </c>
      <c r="H233" s="50">
        <f>IFERROR(IF(Calculadora!$C$6&gt;0,1-(G233/Calculadora!$C$6),0),0)</f>
        <v/>
      </c>
    </row>
    <row r="234" ht="18" customHeight="1">
      <c r="A234" s="46" t="n">
        <v>230</v>
      </c>
      <c r="B234" s="47">
        <f>IFERROR(IF(C234&lt;=0.01,"",EDATE(B233,1)),"")</f>
        <v/>
      </c>
      <c r="C234" s="48">
        <f>IF(G233&lt;=0.01,0,G233)</f>
        <v/>
      </c>
      <c r="D234" s="48">
        <f>IF(C234&lt;=0.01,0,IFERROR(-PMT(Calculadora!$C$7/12,Calculadora!$C$8,Calculadora!$C$6),0))</f>
        <v/>
      </c>
      <c r="E234" s="49">
        <f>IF(C234&lt;=0.01,0,ROUND(C234*Calculadora!$C$7/12,2))</f>
        <v/>
      </c>
      <c r="F234" s="48">
        <f>IF(C234&lt;=0.01,0,D234-E234)</f>
        <v/>
      </c>
      <c r="G234" s="48">
        <f>IF(C234&lt;=0.01,0,MAX(ROUND(C234-F234,2),0))</f>
        <v/>
      </c>
      <c r="H234" s="50">
        <f>IFERROR(IF(Calculadora!$C$6&gt;0,1-(G234/Calculadora!$C$6),0),0)</f>
        <v/>
      </c>
    </row>
    <row r="235" ht="18" customHeight="1">
      <c r="A235" s="46" t="n">
        <v>231</v>
      </c>
      <c r="B235" s="47">
        <f>IFERROR(IF(C235&lt;=0.01,"",EDATE(B234,1)),"")</f>
        <v/>
      </c>
      <c r="C235" s="48">
        <f>IF(G234&lt;=0.01,0,G234)</f>
        <v/>
      </c>
      <c r="D235" s="48">
        <f>IF(C235&lt;=0.01,0,IFERROR(-PMT(Calculadora!$C$7/12,Calculadora!$C$8,Calculadora!$C$6),0))</f>
        <v/>
      </c>
      <c r="E235" s="49">
        <f>IF(C235&lt;=0.01,0,ROUND(C235*Calculadora!$C$7/12,2))</f>
        <v/>
      </c>
      <c r="F235" s="48">
        <f>IF(C235&lt;=0.01,0,D235-E235)</f>
        <v/>
      </c>
      <c r="G235" s="48">
        <f>IF(C235&lt;=0.01,0,MAX(ROUND(C235-F235,2),0))</f>
        <v/>
      </c>
      <c r="H235" s="50">
        <f>IFERROR(IF(Calculadora!$C$6&gt;0,1-(G235/Calculadora!$C$6),0),0)</f>
        <v/>
      </c>
    </row>
    <row r="236" ht="18" customHeight="1">
      <c r="A236" s="46" t="n">
        <v>232</v>
      </c>
      <c r="B236" s="47">
        <f>IFERROR(IF(C236&lt;=0.01,"",EDATE(B235,1)),"")</f>
        <v/>
      </c>
      <c r="C236" s="48">
        <f>IF(G235&lt;=0.01,0,G235)</f>
        <v/>
      </c>
      <c r="D236" s="48">
        <f>IF(C236&lt;=0.01,0,IFERROR(-PMT(Calculadora!$C$7/12,Calculadora!$C$8,Calculadora!$C$6),0))</f>
        <v/>
      </c>
      <c r="E236" s="49">
        <f>IF(C236&lt;=0.01,0,ROUND(C236*Calculadora!$C$7/12,2))</f>
        <v/>
      </c>
      <c r="F236" s="48">
        <f>IF(C236&lt;=0.01,0,D236-E236)</f>
        <v/>
      </c>
      <c r="G236" s="48">
        <f>IF(C236&lt;=0.01,0,MAX(ROUND(C236-F236,2),0))</f>
        <v/>
      </c>
      <c r="H236" s="50">
        <f>IFERROR(IF(Calculadora!$C$6&gt;0,1-(G236/Calculadora!$C$6),0),0)</f>
        <v/>
      </c>
    </row>
    <row r="237" ht="18" customHeight="1">
      <c r="A237" s="46" t="n">
        <v>233</v>
      </c>
      <c r="B237" s="47">
        <f>IFERROR(IF(C237&lt;=0.01,"",EDATE(B236,1)),"")</f>
        <v/>
      </c>
      <c r="C237" s="48">
        <f>IF(G236&lt;=0.01,0,G236)</f>
        <v/>
      </c>
      <c r="D237" s="48">
        <f>IF(C237&lt;=0.01,0,IFERROR(-PMT(Calculadora!$C$7/12,Calculadora!$C$8,Calculadora!$C$6),0))</f>
        <v/>
      </c>
      <c r="E237" s="49">
        <f>IF(C237&lt;=0.01,0,ROUND(C237*Calculadora!$C$7/12,2))</f>
        <v/>
      </c>
      <c r="F237" s="48">
        <f>IF(C237&lt;=0.01,0,D237-E237)</f>
        <v/>
      </c>
      <c r="G237" s="48">
        <f>IF(C237&lt;=0.01,0,MAX(ROUND(C237-F237,2),0))</f>
        <v/>
      </c>
      <c r="H237" s="50">
        <f>IFERROR(IF(Calculadora!$C$6&gt;0,1-(G237/Calculadora!$C$6),0),0)</f>
        <v/>
      </c>
    </row>
    <row r="238" ht="18" customHeight="1">
      <c r="A238" s="46" t="n">
        <v>234</v>
      </c>
      <c r="B238" s="47">
        <f>IFERROR(IF(C238&lt;=0.01,"",EDATE(B237,1)),"")</f>
        <v/>
      </c>
      <c r="C238" s="48">
        <f>IF(G237&lt;=0.01,0,G237)</f>
        <v/>
      </c>
      <c r="D238" s="48">
        <f>IF(C238&lt;=0.01,0,IFERROR(-PMT(Calculadora!$C$7/12,Calculadora!$C$8,Calculadora!$C$6),0))</f>
        <v/>
      </c>
      <c r="E238" s="49">
        <f>IF(C238&lt;=0.01,0,ROUND(C238*Calculadora!$C$7/12,2))</f>
        <v/>
      </c>
      <c r="F238" s="48">
        <f>IF(C238&lt;=0.01,0,D238-E238)</f>
        <v/>
      </c>
      <c r="G238" s="48">
        <f>IF(C238&lt;=0.01,0,MAX(ROUND(C238-F238,2),0))</f>
        <v/>
      </c>
      <c r="H238" s="50">
        <f>IFERROR(IF(Calculadora!$C$6&gt;0,1-(G238/Calculadora!$C$6),0),0)</f>
        <v/>
      </c>
    </row>
    <row r="239" ht="18" customHeight="1">
      <c r="A239" s="46" t="n">
        <v>235</v>
      </c>
      <c r="B239" s="47">
        <f>IFERROR(IF(C239&lt;=0.01,"",EDATE(B238,1)),"")</f>
        <v/>
      </c>
      <c r="C239" s="48">
        <f>IF(G238&lt;=0.01,0,G238)</f>
        <v/>
      </c>
      <c r="D239" s="48">
        <f>IF(C239&lt;=0.01,0,IFERROR(-PMT(Calculadora!$C$7/12,Calculadora!$C$8,Calculadora!$C$6),0))</f>
        <v/>
      </c>
      <c r="E239" s="49">
        <f>IF(C239&lt;=0.01,0,ROUND(C239*Calculadora!$C$7/12,2))</f>
        <v/>
      </c>
      <c r="F239" s="48">
        <f>IF(C239&lt;=0.01,0,D239-E239)</f>
        <v/>
      </c>
      <c r="G239" s="48">
        <f>IF(C239&lt;=0.01,0,MAX(ROUND(C239-F239,2),0))</f>
        <v/>
      </c>
      <c r="H239" s="50">
        <f>IFERROR(IF(Calculadora!$C$6&gt;0,1-(G239/Calculadora!$C$6),0),0)</f>
        <v/>
      </c>
    </row>
    <row r="240" ht="18" customHeight="1">
      <c r="A240" s="46" t="n">
        <v>236</v>
      </c>
      <c r="B240" s="47">
        <f>IFERROR(IF(C240&lt;=0.01,"",EDATE(B239,1)),"")</f>
        <v/>
      </c>
      <c r="C240" s="48">
        <f>IF(G239&lt;=0.01,0,G239)</f>
        <v/>
      </c>
      <c r="D240" s="48">
        <f>IF(C240&lt;=0.01,0,IFERROR(-PMT(Calculadora!$C$7/12,Calculadora!$C$8,Calculadora!$C$6),0))</f>
        <v/>
      </c>
      <c r="E240" s="49">
        <f>IF(C240&lt;=0.01,0,ROUND(C240*Calculadora!$C$7/12,2))</f>
        <v/>
      </c>
      <c r="F240" s="48">
        <f>IF(C240&lt;=0.01,0,D240-E240)</f>
        <v/>
      </c>
      <c r="G240" s="48">
        <f>IF(C240&lt;=0.01,0,MAX(ROUND(C240-F240,2),0))</f>
        <v/>
      </c>
      <c r="H240" s="50">
        <f>IFERROR(IF(Calculadora!$C$6&gt;0,1-(G240/Calculadora!$C$6),0),0)</f>
        <v/>
      </c>
    </row>
    <row r="241" ht="18" customHeight="1">
      <c r="A241" s="46" t="n">
        <v>237</v>
      </c>
      <c r="B241" s="47">
        <f>IFERROR(IF(C241&lt;=0.01,"",EDATE(B240,1)),"")</f>
        <v/>
      </c>
      <c r="C241" s="48">
        <f>IF(G240&lt;=0.01,0,G240)</f>
        <v/>
      </c>
      <c r="D241" s="48">
        <f>IF(C241&lt;=0.01,0,IFERROR(-PMT(Calculadora!$C$7/12,Calculadora!$C$8,Calculadora!$C$6),0))</f>
        <v/>
      </c>
      <c r="E241" s="49">
        <f>IF(C241&lt;=0.01,0,ROUND(C241*Calculadora!$C$7/12,2))</f>
        <v/>
      </c>
      <c r="F241" s="48">
        <f>IF(C241&lt;=0.01,0,D241-E241)</f>
        <v/>
      </c>
      <c r="G241" s="48">
        <f>IF(C241&lt;=0.01,0,MAX(ROUND(C241-F241,2),0))</f>
        <v/>
      </c>
      <c r="H241" s="50">
        <f>IFERROR(IF(Calculadora!$C$6&gt;0,1-(G241/Calculadora!$C$6),0),0)</f>
        <v/>
      </c>
    </row>
    <row r="242" ht="18" customHeight="1">
      <c r="A242" s="46" t="n">
        <v>238</v>
      </c>
      <c r="B242" s="47">
        <f>IFERROR(IF(C242&lt;=0.01,"",EDATE(B241,1)),"")</f>
        <v/>
      </c>
      <c r="C242" s="48">
        <f>IF(G241&lt;=0.01,0,G241)</f>
        <v/>
      </c>
      <c r="D242" s="48">
        <f>IF(C242&lt;=0.01,0,IFERROR(-PMT(Calculadora!$C$7/12,Calculadora!$C$8,Calculadora!$C$6),0))</f>
        <v/>
      </c>
      <c r="E242" s="49">
        <f>IF(C242&lt;=0.01,0,ROUND(C242*Calculadora!$C$7/12,2))</f>
        <v/>
      </c>
      <c r="F242" s="48">
        <f>IF(C242&lt;=0.01,0,D242-E242)</f>
        <v/>
      </c>
      <c r="G242" s="48">
        <f>IF(C242&lt;=0.01,0,MAX(ROUND(C242-F242,2),0))</f>
        <v/>
      </c>
      <c r="H242" s="50">
        <f>IFERROR(IF(Calculadora!$C$6&gt;0,1-(G242/Calculadora!$C$6),0),0)</f>
        <v/>
      </c>
    </row>
    <row r="243" ht="18" customHeight="1">
      <c r="A243" s="46" t="n">
        <v>239</v>
      </c>
      <c r="B243" s="47">
        <f>IFERROR(IF(C243&lt;=0.01,"",EDATE(B242,1)),"")</f>
        <v/>
      </c>
      <c r="C243" s="48">
        <f>IF(G242&lt;=0.01,0,G242)</f>
        <v/>
      </c>
      <c r="D243" s="48">
        <f>IF(C243&lt;=0.01,0,IFERROR(-PMT(Calculadora!$C$7/12,Calculadora!$C$8,Calculadora!$C$6),0))</f>
        <v/>
      </c>
      <c r="E243" s="49">
        <f>IF(C243&lt;=0.01,0,ROUND(C243*Calculadora!$C$7/12,2))</f>
        <v/>
      </c>
      <c r="F243" s="48">
        <f>IF(C243&lt;=0.01,0,D243-E243)</f>
        <v/>
      </c>
      <c r="G243" s="48">
        <f>IF(C243&lt;=0.01,0,MAX(ROUND(C243-F243,2),0))</f>
        <v/>
      </c>
      <c r="H243" s="50">
        <f>IFERROR(IF(Calculadora!$C$6&gt;0,1-(G243/Calculadora!$C$6),0),0)</f>
        <v/>
      </c>
    </row>
    <row r="244" ht="18" customHeight="1">
      <c r="A244" s="46" t="n">
        <v>240</v>
      </c>
      <c r="B244" s="47">
        <f>IFERROR(IF(C244&lt;=0.01,"",EDATE(B243,1)),"")</f>
        <v/>
      </c>
      <c r="C244" s="48">
        <f>IF(G243&lt;=0.01,0,G243)</f>
        <v/>
      </c>
      <c r="D244" s="48">
        <f>IF(C244&lt;=0.01,0,IFERROR(-PMT(Calculadora!$C$7/12,Calculadora!$C$8,Calculadora!$C$6),0))</f>
        <v/>
      </c>
      <c r="E244" s="49">
        <f>IF(C244&lt;=0.01,0,ROUND(C244*Calculadora!$C$7/12,2))</f>
        <v/>
      </c>
      <c r="F244" s="48">
        <f>IF(C244&lt;=0.01,0,D244-E244)</f>
        <v/>
      </c>
      <c r="G244" s="48">
        <f>IF(C244&lt;=0.01,0,MAX(ROUND(C244-F244,2),0))</f>
        <v/>
      </c>
      <c r="H244" s="50">
        <f>IFERROR(IF(Calculadora!$C$6&gt;0,1-(G244/Calculadora!$C$6),0),0)</f>
        <v/>
      </c>
    </row>
    <row r="245" ht="18" customHeight="1">
      <c r="A245" s="46" t="n">
        <v>241</v>
      </c>
      <c r="B245" s="47">
        <f>IFERROR(IF(C245&lt;=0.01,"",EDATE(B244,1)),"")</f>
        <v/>
      </c>
      <c r="C245" s="48">
        <f>IF(G244&lt;=0.01,0,G244)</f>
        <v/>
      </c>
      <c r="D245" s="48">
        <f>IF(C245&lt;=0.01,0,IFERROR(-PMT(Calculadora!$C$7/12,Calculadora!$C$8,Calculadora!$C$6),0))</f>
        <v/>
      </c>
      <c r="E245" s="49">
        <f>IF(C245&lt;=0.01,0,ROUND(C245*Calculadora!$C$7/12,2))</f>
        <v/>
      </c>
      <c r="F245" s="48">
        <f>IF(C245&lt;=0.01,0,D245-E245)</f>
        <v/>
      </c>
      <c r="G245" s="48">
        <f>IF(C245&lt;=0.01,0,MAX(ROUND(C245-F245,2),0))</f>
        <v/>
      </c>
      <c r="H245" s="50">
        <f>IFERROR(IF(Calculadora!$C$6&gt;0,1-(G245/Calculadora!$C$6),0),0)</f>
        <v/>
      </c>
    </row>
    <row r="246" ht="18" customHeight="1">
      <c r="A246" s="46" t="n">
        <v>242</v>
      </c>
      <c r="B246" s="47">
        <f>IFERROR(IF(C246&lt;=0.01,"",EDATE(B245,1)),"")</f>
        <v/>
      </c>
      <c r="C246" s="48">
        <f>IF(G245&lt;=0.01,0,G245)</f>
        <v/>
      </c>
      <c r="D246" s="48">
        <f>IF(C246&lt;=0.01,0,IFERROR(-PMT(Calculadora!$C$7/12,Calculadora!$C$8,Calculadora!$C$6),0))</f>
        <v/>
      </c>
      <c r="E246" s="49">
        <f>IF(C246&lt;=0.01,0,ROUND(C246*Calculadora!$C$7/12,2))</f>
        <v/>
      </c>
      <c r="F246" s="48">
        <f>IF(C246&lt;=0.01,0,D246-E246)</f>
        <v/>
      </c>
      <c r="G246" s="48">
        <f>IF(C246&lt;=0.01,0,MAX(ROUND(C246-F246,2),0))</f>
        <v/>
      </c>
      <c r="H246" s="50">
        <f>IFERROR(IF(Calculadora!$C$6&gt;0,1-(G246/Calculadora!$C$6),0),0)</f>
        <v/>
      </c>
    </row>
    <row r="247" ht="18" customHeight="1">
      <c r="A247" s="46" t="n">
        <v>243</v>
      </c>
      <c r="B247" s="47">
        <f>IFERROR(IF(C247&lt;=0.01,"",EDATE(B246,1)),"")</f>
        <v/>
      </c>
      <c r="C247" s="48">
        <f>IF(G246&lt;=0.01,0,G246)</f>
        <v/>
      </c>
      <c r="D247" s="48">
        <f>IF(C247&lt;=0.01,0,IFERROR(-PMT(Calculadora!$C$7/12,Calculadora!$C$8,Calculadora!$C$6),0))</f>
        <v/>
      </c>
      <c r="E247" s="49">
        <f>IF(C247&lt;=0.01,0,ROUND(C247*Calculadora!$C$7/12,2))</f>
        <v/>
      </c>
      <c r="F247" s="48">
        <f>IF(C247&lt;=0.01,0,D247-E247)</f>
        <v/>
      </c>
      <c r="G247" s="48">
        <f>IF(C247&lt;=0.01,0,MAX(ROUND(C247-F247,2),0))</f>
        <v/>
      </c>
      <c r="H247" s="50">
        <f>IFERROR(IF(Calculadora!$C$6&gt;0,1-(G247/Calculadora!$C$6),0),0)</f>
        <v/>
      </c>
    </row>
    <row r="248" ht="18" customHeight="1">
      <c r="A248" s="46" t="n">
        <v>244</v>
      </c>
      <c r="B248" s="47">
        <f>IFERROR(IF(C248&lt;=0.01,"",EDATE(B247,1)),"")</f>
        <v/>
      </c>
      <c r="C248" s="48">
        <f>IF(G247&lt;=0.01,0,G247)</f>
        <v/>
      </c>
      <c r="D248" s="48">
        <f>IF(C248&lt;=0.01,0,IFERROR(-PMT(Calculadora!$C$7/12,Calculadora!$C$8,Calculadora!$C$6),0))</f>
        <v/>
      </c>
      <c r="E248" s="49">
        <f>IF(C248&lt;=0.01,0,ROUND(C248*Calculadora!$C$7/12,2))</f>
        <v/>
      </c>
      <c r="F248" s="48">
        <f>IF(C248&lt;=0.01,0,D248-E248)</f>
        <v/>
      </c>
      <c r="G248" s="48">
        <f>IF(C248&lt;=0.01,0,MAX(ROUND(C248-F248,2),0))</f>
        <v/>
      </c>
      <c r="H248" s="50">
        <f>IFERROR(IF(Calculadora!$C$6&gt;0,1-(G248/Calculadora!$C$6),0),0)</f>
        <v/>
      </c>
    </row>
    <row r="249" ht="18" customHeight="1">
      <c r="A249" s="46" t="n">
        <v>245</v>
      </c>
      <c r="B249" s="47">
        <f>IFERROR(IF(C249&lt;=0.01,"",EDATE(B248,1)),"")</f>
        <v/>
      </c>
      <c r="C249" s="48">
        <f>IF(G248&lt;=0.01,0,G248)</f>
        <v/>
      </c>
      <c r="D249" s="48">
        <f>IF(C249&lt;=0.01,0,IFERROR(-PMT(Calculadora!$C$7/12,Calculadora!$C$8,Calculadora!$C$6),0))</f>
        <v/>
      </c>
      <c r="E249" s="49">
        <f>IF(C249&lt;=0.01,0,ROUND(C249*Calculadora!$C$7/12,2))</f>
        <v/>
      </c>
      <c r="F249" s="48">
        <f>IF(C249&lt;=0.01,0,D249-E249)</f>
        <v/>
      </c>
      <c r="G249" s="48">
        <f>IF(C249&lt;=0.01,0,MAX(ROUND(C249-F249,2),0))</f>
        <v/>
      </c>
      <c r="H249" s="50">
        <f>IFERROR(IF(Calculadora!$C$6&gt;0,1-(G249/Calculadora!$C$6),0),0)</f>
        <v/>
      </c>
    </row>
    <row r="250" ht="18" customHeight="1">
      <c r="A250" s="46" t="n">
        <v>246</v>
      </c>
      <c r="B250" s="47">
        <f>IFERROR(IF(C250&lt;=0.01,"",EDATE(B249,1)),"")</f>
        <v/>
      </c>
      <c r="C250" s="48">
        <f>IF(G249&lt;=0.01,0,G249)</f>
        <v/>
      </c>
      <c r="D250" s="48">
        <f>IF(C250&lt;=0.01,0,IFERROR(-PMT(Calculadora!$C$7/12,Calculadora!$C$8,Calculadora!$C$6),0))</f>
        <v/>
      </c>
      <c r="E250" s="49">
        <f>IF(C250&lt;=0.01,0,ROUND(C250*Calculadora!$C$7/12,2))</f>
        <v/>
      </c>
      <c r="F250" s="48">
        <f>IF(C250&lt;=0.01,0,D250-E250)</f>
        <v/>
      </c>
      <c r="G250" s="48">
        <f>IF(C250&lt;=0.01,0,MAX(ROUND(C250-F250,2),0))</f>
        <v/>
      </c>
      <c r="H250" s="50">
        <f>IFERROR(IF(Calculadora!$C$6&gt;0,1-(G250/Calculadora!$C$6),0),0)</f>
        <v/>
      </c>
    </row>
    <row r="251" ht="18" customHeight="1">
      <c r="A251" s="46" t="n">
        <v>247</v>
      </c>
      <c r="B251" s="47">
        <f>IFERROR(IF(C251&lt;=0.01,"",EDATE(B250,1)),"")</f>
        <v/>
      </c>
      <c r="C251" s="48">
        <f>IF(G250&lt;=0.01,0,G250)</f>
        <v/>
      </c>
      <c r="D251" s="48">
        <f>IF(C251&lt;=0.01,0,IFERROR(-PMT(Calculadora!$C$7/12,Calculadora!$C$8,Calculadora!$C$6),0))</f>
        <v/>
      </c>
      <c r="E251" s="49">
        <f>IF(C251&lt;=0.01,0,ROUND(C251*Calculadora!$C$7/12,2))</f>
        <v/>
      </c>
      <c r="F251" s="48">
        <f>IF(C251&lt;=0.01,0,D251-E251)</f>
        <v/>
      </c>
      <c r="G251" s="48">
        <f>IF(C251&lt;=0.01,0,MAX(ROUND(C251-F251,2),0))</f>
        <v/>
      </c>
      <c r="H251" s="50">
        <f>IFERROR(IF(Calculadora!$C$6&gt;0,1-(G251/Calculadora!$C$6),0),0)</f>
        <v/>
      </c>
    </row>
    <row r="252" ht="18" customHeight="1">
      <c r="A252" s="46" t="n">
        <v>248</v>
      </c>
      <c r="B252" s="47">
        <f>IFERROR(IF(C252&lt;=0.01,"",EDATE(B251,1)),"")</f>
        <v/>
      </c>
      <c r="C252" s="48">
        <f>IF(G251&lt;=0.01,0,G251)</f>
        <v/>
      </c>
      <c r="D252" s="48">
        <f>IF(C252&lt;=0.01,0,IFERROR(-PMT(Calculadora!$C$7/12,Calculadora!$C$8,Calculadora!$C$6),0))</f>
        <v/>
      </c>
      <c r="E252" s="49">
        <f>IF(C252&lt;=0.01,0,ROUND(C252*Calculadora!$C$7/12,2))</f>
        <v/>
      </c>
      <c r="F252" s="48">
        <f>IF(C252&lt;=0.01,0,D252-E252)</f>
        <v/>
      </c>
      <c r="G252" s="48">
        <f>IF(C252&lt;=0.01,0,MAX(ROUND(C252-F252,2),0))</f>
        <v/>
      </c>
      <c r="H252" s="50">
        <f>IFERROR(IF(Calculadora!$C$6&gt;0,1-(G252/Calculadora!$C$6),0),0)</f>
        <v/>
      </c>
    </row>
    <row r="253" ht="18" customHeight="1">
      <c r="A253" s="46" t="n">
        <v>249</v>
      </c>
      <c r="B253" s="47">
        <f>IFERROR(IF(C253&lt;=0.01,"",EDATE(B252,1)),"")</f>
        <v/>
      </c>
      <c r="C253" s="48">
        <f>IF(G252&lt;=0.01,0,G252)</f>
        <v/>
      </c>
      <c r="D253" s="48">
        <f>IF(C253&lt;=0.01,0,IFERROR(-PMT(Calculadora!$C$7/12,Calculadora!$C$8,Calculadora!$C$6),0))</f>
        <v/>
      </c>
      <c r="E253" s="49">
        <f>IF(C253&lt;=0.01,0,ROUND(C253*Calculadora!$C$7/12,2))</f>
        <v/>
      </c>
      <c r="F253" s="48">
        <f>IF(C253&lt;=0.01,0,D253-E253)</f>
        <v/>
      </c>
      <c r="G253" s="48">
        <f>IF(C253&lt;=0.01,0,MAX(ROUND(C253-F253,2),0))</f>
        <v/>
      </c>
      <c r="H253" s="50">
        <f>IFERROR(IF(Calculadora!$C$6&gt;0,1-(G253/Calculadora!$C$6),0),0)</f>
        <v/>
      </c>
    </row>
    <row r="254" ht="18" customHeight="1">
      <c r="A254" s="46" t="n">
        <v>250</v>
      </c>
      <c r="B254" s="47">
        <f>IFERROR(IF(C254&lt;=0.01,"",EDATE(B253,1)),"")</f>
        <v/>
      </c>
      <c r="C254" s="48">
        <f>IF(G253&lt;=0.01,0,G253)</f>
        <v/>
      </c>
      <c r="D254" s="48">
        <f>IF(C254&lt;=0.01,0,IFERROR(-PMT(Calculadora!$C$7/12,Calculadora!$C$8,Calculadora!$C$6),0))</f>
        <v/>
      </c>
      <c r="E254" s="49">
        <f>IF(C254&lt;=0.01,0,ROUND(C254*Calculadora!$C$7/12,2))</f>
        <v/>
      </c>
      <c r="F254" s="48">
        <f>IF(C254&lt;=0.01,0,D254-E254)</f>
        <v/>
      </c>
      <c r="G254" s="48">
        <f>IF(C254&lt;=0.01,0,MAX(ROUND(C254-F254,2),0))</f>
        <v/>
      </c>
      <c r="H254" s="50">
        <f>IFERROR(IF(Calculadora!$C$6&gt;0,1-(G254/Calculadora!$C$6),0),0)</f>
        <v/>
      </c>
    </row>
    <row r="255" ht="18" customHeight="1">
      <c r="A255" s="46" t="n">
        <v>251</v>
      </c>
      <c r="B255" s="47">
        <f>IFERROR(IF(C255&lt;=0.01,"",EDATE(B254,1)),"")</f>
        <v/>
      </c>
      <c r="C255" s="48">
        <f>IF(G254&lt;=0.01,0,G254)</f>
        <v/>
      </c>
      <c r="D255" s="48">
        <f>IF(C255&lt;=0.01,0,IFERROR(-PMT(Calculadora!$C$7/12,Calculadora!$C$8,Calculadora!$C$6),0))</f>
        <v/>
      </c>
      <c r="E255" s="49">
        <f>IF(C255&lt;=0.01,0,ROUND(C255*Calculadora!$C$7/12,2))</f>
        <v/>
      </c>
      <c r="F255" s="48">
        <f>IF(C255&lt;=0.01,0,D255-E255)</f>
        <v/>
      </c>
      <c r="G255" s="48">
        <f>IF(C255&lt;=0.01,0,MAX(ROUND(C255-F255,2),0))</f>
        <v/>
      </c>
      <c r="H255" s="50">
        <f>IFERROR(IF(Calculadora!$C$6&gt;0,1-(G255/Calculadora!$C$6),0),0)</f>
        <v/>
      </c>
    </row>
    <row r="256" ht="18" customHeight="1">
      <c r="A256" s="46" t="n">
        <v>252</v>
      </c>
      <c r="B256" s="47">
        <f>IFERROR(IF(C256&lt;=0.01,"",EDATE(B255,1)),"")</f>
        <v/>
      </c>
      <c r="C256" s="48">
        <f>IF(G255&lt;=0.01,0,G255)</f>
        <v/>
      </c>
      <c r="D256" s="48">
        <f>IF(C256&lt;=0.01,0,IFERROR(-PMT(Calculadora!$C$7/12,Calculadora!$C$8,Calculadora!$C$6),0))</f>
        <v/>
      </c>
      <c r="E256" s="49">
        <f>IF(C256&lt;=0.01,0,ROUND(C256*Calculadora!$C$7/12,2))</f>
        <v/>
      </c>
      <c r="F256" s="48">
        <f>IF(C256&lt;=0.01,0,D256-E256)</f>
        <v/>
      </c>
      <c r="G256" s="48">
        <f>IF(C256&lt;=0.01,0,MAX(ROUND(C256-F256,2),0))</f>
        <v/>
      </c>
      <c r="H256" s="50">
        <f>IFERROR(IF(Calculadora!$C$6&gt;0,1-(G256/Calculadora!$C$6),0),0)</f>
        <v/>
      </c>
    </row>
    <row r="257" ht="18" customHeight="1">
      <c r="A257" s="46" t="n">
        <v>253</v>
      </c>
      <c r="B257" s="47">
        <f>IFERROR(IF(C257&lt;=0.01,"",EDATE(B256,1)),"")</f>
        <v/>
      </c>
      <c r="C257" s="48">
        <f>IF(G256&lt;=0.01,0,G256)</f>
        <v/>
      </c>
      <c r="D257" s="48">
        <f>IF(C257&lt;=0.01,0,IFERROR(-PMT(Calculadora!$C$7/12,Calculadora!$C$8,Calculadora!$C$6),0))</f>
        <v/>
      </c>
      <c r="E257" s="49">
        <f>IF(C257&lt;=0.01,0,ROUND(C257*Calculadora!$C$7/12,2))</f>
        <v/>
      </c>
      <c r="F257" s="48">
        <f>IF(C257&lt;=0.01,0,D257-E257)</f>
        <v/>
      </c>
      <c r="G257" s="48">
        <f>IF(C257&lt;=0.01,0,MAX(ROUND(C257-F257,2),0))</f>
        <v/>
      </c>
      <c r="H257" s="50">
        <f>IFERROR(IF(Calculadora!$C$6&gt;0,1-(G257/Calculadora!$C$6),0),0)</f>
        <v/>
      </c>
    </row>
    <row r="258" ht="18" customHeight="1">
      <c r="A258" s="46" t="n">
        <v>254</v>
      </c>
      <c r="B258" s="47">
        <f>IFERROR(IF(C258&lt;=0.01,"",EDATE(B257,1)),"")</f>
        <v/>
      </c>
      <c r="C258" s="48">
        <f>IF(G257&lt;=0.01,0,G257)</f>
        <v/>
      </c>
      <c r="D258" s="48">
        <f>IF(C258&lt;=0.01,0,IFERROR(-PMT(Calculadora!$C$7/12,Calculadora!$C$8,Calculadora!$C$6),0))</f>
        <v/>
      </c>
      <c r="E258" s="49">
        <f>IF(C258&lt;=0.01,0,ROUND(C258*Calculadora!$C$7/12,2))</f>
        <v/>
      </c>
      <c r="F258" s="48">
        <f>IF(C258&lt;=0.01,0,D258-E258)</f>
        <v/>
      </c>
      <c r="G258" s="48">
        <f>IF(C258&lt;=0.01,0,MAX(ROUND(C258-F258,2),0))</f>
        <v/>
      </c>
      <c r="H258" s="50">
        <f>IFERROR(IF(Calculadora!$C$6&gt;0,1-(G258/Calculadora!$C$6),0),0)</f>
        <v/>
      </c>
    </row>
    <row r="259" ht="18" customHeight="1">
      <c r="A259" s="46" t="n">
        <v>255</v>
      </c>
      <c r="B259" s="47">
        <f>IFERROR(IF(C259&lt;=0.01,"",EDATE(B258,1)),"")</f>
        <v/>
      </c>
      <c r="C259" s="48">
        <f>IF(G258&lt;=0.01,0,G258)</f>
        <v/>
      </c>
      <c r="D259" s="48">
        <f>IF(C259&lt;=0.01,0,IFERROR(-PMT(Calculadora!$C$7/12,Calculadora!$C$8,Calculadora!$C$6),0))</f>
        <v/>
      </c>
      <c r="E259" s="49">
        <f>IF(C259&lt;=0.01,0,ROUND(C259*Calculadora!$C$7/12,2))</f>
        <v/>
      </c>
      <c r="F259" s="48">
        <f>IF(C259&lt;=0.01,0,D259-E259)</f>
        <v/>
      </c>
      <c r="G259" s="48">
        <f>IF(C259&lt;=0.01,0,MAX(ROUND(C259-F259,2),0))</f>
        <v/>
      </c>
      <c r="H259" s="50">
        <f>IFERROR(IF(Calculadora!$C$6&gt;0,1-(G259/Calculadora!$C$6),0),0)</f>
        <v/>
      </c>
    </row>
    <row r="260" ht="18" customHeight="1">
      <c r="A260" s="46" t="n">
        <v>256</v>
      </c>
      <c r="B260" s="47">
        <f>IFERROR(IF(C260&lt;=0.01,"",EDATE(B259,1)),"")</f>
        <v/>
      </c>
      <c r="C260" s="48">
        <f>IF(G259&lt;=0.01,0,G259)</f>
        <v/>
      </c>
      <c r="D260" s="48">
        <f>IF(C260&lt;=0.01,0,IFERROR(-PMT(Calculadora!$C$7/12,Calculadora!$C$8,Calculadora!$C$6),0))</f>
        <v/>
      </c>
      <c r="E260" s="49">
        <f>IF(C260&lt;=0.01,0,ROUND(C260*Calculadora!$C$7/12,2))</f>
        <v/>
      </c>
      <c r="F260" s="48">
        <f>IF(C260&lt;=0.01,0,D260-E260)</f>
        <v/>
      </c>
      <c r="G260" s="48">
        <f>IF(C260&lt;=0.01,0,MAX(ROUND(C260-F260,2),0))</f>
        <v/>
      </c>
      <c r="H260" s="50">
        <f>IFERROR(IF(Calculadora!$C$6&gt;0,1-(G260/Calculadora!$C$6),0),0)</f>
        <v/>
      </c>
    </row>
    <row r="261" ht="18" customHeight="1">
      <c r="A261" s="46" t="n">
        <v>257</v>
      </c>
      <c r="B261" s="47">
        <f>IFERROR(IF(C261&lt;=0.01,"",EDATE(B260,1)),"")</f>
        <v/>
      </c>
      <c r="C261" s="48">
        <f>IF(G260&lt;=0.01,0,G260)</f>
        <v/>
      </c>
      <c r="D261" s="48">
        <f>IF(C261&lt;=0.01,0,IFERROR(-PMT(Calculadora!$C$7/12,Calculadora!$C$8,Calculadora!$C$6),0))</f>
        <v/>
      </c>
      <c r="E261" s="49">
        <f>IF(C261&lt;=0.01,0,ROUND(C261*Calculadora!$C$7/12,2))</f>
        <v/>
      </c>
      <c r="F261" s="48">
        <f>IF(C261&lt;=0.01,0,D261-E261)</f>
        <v/>
      </c>
      <c r="G261" s="48">
        <f>IF(C261&lt;=0.01,0,MAX(ROUND(C261-F261,2),0))</f>
        <v/>
      </c>
      <c r="H261" s="50">
        <f>IFERROR(IF(Calculadora!$C$6&gt;0,1-(G261/Calculadora!$C$6),0),0)</f>
        <v/>
      </c>
    </row>
    <row r="262" ht="18" customHeight="1">
      <c r="A262" s="46" t="n">
        <v>258</v>
      </c>
      <c r="B262" s="47">
        <f>IFERROR(IF(C262&lt;=0.01,"",EDATE(B261,1)),"")</f>
        <v/>
      </c>
      <c r="C262" s="48">
        <f>IF(G261&lt;=0.01,0,G261)</f>
        <v/>
      </c>
      <c r="D262" s="48">
        <f>IF(C262&lt;=0.01,0,IFERROR(-PMT(Calculadora!$C$7/12,Calculadora!$C$8,Calculadora!$C$6),0))</f>
        <v/>
      </c>
      <c r="E262" s="49">
        <f>IF(C262&lt;=0.01,0,ROUND(C262*Calculadora!$C$7/12,2))</f>
        <v/>
      </c>
      <c r="F262" s="48">
        <f>IF(C262&lt;=0.01,0,D262-E262)</f>
        <v/>
      </c>
      <c r="G262" s="48">
        <f>IF(C262&lt;=0.01,0,MAX(ROUND(C262-F262,2),0))</f>
        <v/>
      </c>
      <c r="H262" s="50">
        <f>IFERROR(IF(Calculadora!$C$6&gt;0,1-(G262/Calculadora!$C$6),0),0)</f>
        <v/>
      </c>
    </row>
    <row r="263" ht="18" customHeight="1">
      <c r="A263" s="46" t="n">
        <v>259</v>
      </c>
      <c r="B263" s="47">
        <f>IFERROR(IF(C263&lt;=0.01,"",EDATE(B262,1)),"")</f>
        <v/>
      </c>
      <c r="C263" s="48">
        <f>IF(G262&lt;=0.01,0,G262)</f>
        <v/>
      </c>
      <c r="D263" s="48">
        <f>IF(C263&lt;=0.01,0,IFERROR(-PMT(Calculadora!$C$7/12,Calculadora!$C$8,Calculadora!$C$6),0))</f>
        <v/>
      </c>
      <c r="E263" s="49">
        <f>IF(C263&lt;=0.01,0,ROUND(C263*Calculadora!$C$7/12,2))</f>
        <v/>
      </c>
      <c r="F263" s="48">
        <f>IF(C263&lt;=0.01,0,D263-E263)</f>
        <v/>
      </c>
      <c r="G263" s="48">
        <f>IF(C263&lt;=0.01,0,MAX(ROUND(C263-F263,2),0))</f>
        <v/>
      </c>
      <c r="H263" s="50">
        <f>IFERROR(IF(Calculadora!$C$6&gt;0,1-(G263/Calculadora!$C$6),0),0)</f>
        <v/>
      </c>
    </row>
    <row r="264" ht="18" customHeight="1">
      <c r="A264" s="46" t="n">
        <v>260</v>
      </c>
      <c r="B264" s="47">
        <f>IFERROR(IF(C264&lt;=0.01,"",EDATE(B263,1)),"")</f>
        <v/>
      </c>
      <c r="C264" s="48">
        <f>IF(G263&lt;=0.01,0,G263)</f>
        <v/>
      </c>
      <c r="D264" s="48">
        <f>IF(C264&lt;=0.01,0,IFERROR(-PMT(Calculadora!$C$7/12,Calculadora!$C$8,Calculadora!$C$6),0))</f>
        <v/>
      </c>
      <c r="E264" s="49">
        <f>IF(C264&lt;=0.01,0,ROUND(C264*Calculadora!$C$7/12,2))</f>
        <v/>
      </c>
      <c r="F264" s="48">
        <f>IF(C264&lt;=0.01,0,D264-E264)</f>
        <v/>
      </c>
      <c r="G264" s="48">
        <f>IF(C264&lt;=0.01,0,MAX(ROUND(C264-F264,2),0))</f>
        <v/>
      </c>
      <c r="H264" s="50">
        <f>IFERROR(IF(Calculadora!$C$6&gt;0,1-(G264/Calculadora!$C$6),0),0)</f>
        <v/>
      </c>
    </row>
    <row r="265" ht="18" customHeight="1">
      <c r="A265" s="46" t="n">
        <v>261</v>
      </c>
      <c r="B265" s="47">
        <f>IFERROR(IF(C265&lt;=0.01,"",EDATE(B264,1)),"")</f>
        <v/>
      </c>
      <c r="C265" s="48">
        <f>IF(G264&lt;=0.01,0,G264)</f>
        <v/>
      </c>
      <c r="D265" s="48">
        <f>IF(C265&lt;=0.01,0,IFERROR(-PMT(Calculadora!$C$7/12,Calculadora!$C$8,Calculadora!$C$6),0))</f>
        <v/>
      </c>
      <c r="E265" s="49">
        <f>IF(C265&lt;=0.01,0,ROUND(C265*Calculadora!$C$7/12,2))</f>
        <v/>
      </c>
      <c r="F265" s="48">
        <f>IF(C265&lt;=0.01,0,D265-E265)</f>
        <v/>
      </c>
      <c r="G265" s="48">
        <f>IF(C265&lt;=0.01,0,MAX(ROUND(C265-F265,2),0))</f>
        <v/>
      </c>
      <c r="H265" s="50">
        <f>IFERROR(IF(Calculadora!$C$6&gt;0,1-(G265/Calculadora!$C$6),0),0)</f>
        <v/>
      </c>
    </row>
    <row r="266" ht="18" customHeight="1">
      <c r="A266" s="46" t="n">
        <v>262</v>
      </c>
      <c r="B266" s="47">
        <f>IFERROR(IF(C266&lt;=0.01,"",EDATE(B265,1)),"")</f>
        <v/>
      </c>
      <c r="C266" s="48">
        <f>IF(G265&lt;=0.01,0,G265)</f>
        <v/>
      </c>
      <c r="D266" s="48">
        <f>IF(C266&lt;=0.01,0,IFERROR(-PMT(Calculadora!$C$7/12,Calculadora!$C$8,Calculadora!$C$6),0))</f>
        <v/>
      </c>
      <c r="E266" s="49">
        <f>IF(C266&lt;=0.01,0,ROUND(C266*Calculadora!$C$7/12,2))</f>
        <v/>
      </c>
      <c r="F266" s="48">
        <f>IF(C266&lt;=0.01,0,D266-E266)</f>
        <v/>
      </c>
      <c r="G266" s="48">
        <f>IF(C266&lt;=0.01,0,MAX(ROUND(C266-F266,2),0))</f>
        <v/>
      </c>
      <c r="H266" s="50">
        <f>IFERROR(IF(Calculadora!$C$6&gt;0,1-(G266/Calculadora!$C$6),0),0)</f>
        <v/>
      </c>
    </row>
    <row r="267" ht="18" customHeight="1">
      <c r="A267" s="46" t="n">
        <v>263</v>
      </c>
      <c r="B267" s="47">
        <f>IFERROR(IF(C267&lt;=0.01,"",EDATE(B266,1)),"")</f>
        <v/>
      </c>
      <c r="C267" s="48">
        <f>IF(G266&lt;=0.01,0,G266)</f>
        <v/>
      </c>
      <c r="D267" s="48">
        <f>IF(C267&lt;=0.01,0,IFERROR(-PMT(Calculadora!$C$7/12,Calculadora!$C$8,Calculadora!$C$6),0))</f>
        <v/>
      </c>
      <c r="E267" s="49">
        <f>IF(C267&lt;=0.01,0,ROUND(C267*Calculadora!$C$7/12,2))</f>
        <v/>
      </c>
      <c r="F267" s="48">
        <f>IF(C267&lt;=0.01,0,D267-E267)</f>
        <v/>
      </c>
      <c r="G267" s="48">
        <f>IF(C267&lt;=0.01,0,MAX(ROUND(C267-F267,2),0))</f>
        <v/>
      </c>
      <c r="H267" s="50">
        <f>IFERROR(IF(Calculadora!$C$6&gt;0,1-(G267/Calculadora!$C$6),0),0)</f>
        <v/>
      </c>
    </row>
    <row r="268" ht="18" customHeight="1">
      <c r="A268" s="46" t="n">
        <v>264</v>
      </c>
      <c r="B268" s="47">
        <f>IFERROR(IF(C268&lt;=0.01,"",EDATE(B267,1)),"")</f>
        <v/>
      </c>
      <c r="C268" s="48">
        <f>IF(G267&lt;=0.01,0,G267)</f>
        <v/>
      </c>
      <c r="D268" s="48">
        <f>IF(C268&lt;=0.01,0,IFERROR(-PMT(Calculadora!$C$7/12,Calculadora!$C$8,Calculadora!$C$6),0))</f>
        <v/>
      </c>
      <c r="E268" s="49">
        <f>IF(C268&lt;=0.01,0,ROUND(C268*Calculadora!$C$7/12,2))</f>
        <v/>
      </c>
      <c r="F268" s="48">
        <f>IF(C268&lt;=0.01,0,D268-E268)</f>
        <v/>
      </c>
      <c r="G268" s="48">
        <f>IF(C268&lt;=0.01,0,MAX(ROUND(C268-F268,2),0))</f>
        <v/>
      </c>
      <c r="H268" s="50">
        <f>IFERROR(IF(Calculadora!$C$6&gt;0,1-(G268/Calculadora!$C$6),0),0)</f>
        <v/>
      </c>
    </row>
    <row r="269" ht="18" customHeight="1">
      <c r="A269" s="46" t="n">
        <v>265</v>
      </c>
      <c r="B269" s="47">
        <f>IFERROR(IF(C269&lt;=0.01,"",EDATE(B268,1)),"")</f>
        <v/>
      </c>
      <c r="C269" s="48">
        <f>IF(G268&lt;=0.01,0,G268)</f>
        <v/>
      </c>
      <c r="D269" s="48">
        <f>IF(C269&lt;=0.01,0,IFERROR(-PMT(Calculadora!$C$7/12,Calculadora!$C$8,Calculadora!$C$6),0))</f>
        <v/>
      </c>
      <c r="E269" s="49">
        <f>IF(C269&lt;=0.01,0,ROUND(C269*Calculadora!$C$7/12,2))</f>
        <v/>
      </c>
      <c r="F269" s="48">
        <f>IF(C269&lt;=0.01,0,D269-E269)</f>
        <v/>
      </c>
      <c r="G269" s="48">
        <f>IF(C269&lt;=0.01,0,MAX(ROUND(C269-F269,2),0))</f>
        <v/>
      </c>
      <c r="H269" s="50">
        <f>IFERROR(IF(Calculadora!$C$6&gt;0,1-(G269/Calculadora!$C$6),0),0)</f>
        <v/>
      </c>
    </row>
    <row r="270" ht="18" customHeight="1">
      <c r="A270" s="46" t="n">
        <v>266</v>
      </c>
      <c r="B270" s="47">
        <f>IFERROR(IF(C270&lt;=0.01,"",EDATE(B269,1)),"")</f>
        <v/>
      </c>
      <c r="C270" s="48">
        <f>IF(G269&lt;=0.01,0,G269)</f>
        <v/>
      </c>
      <c r="D270" s="48">
        <f>IF(C270&lt;=0.01,0,IFERROR(-PMT(Calculadora!$C$7/12,Calculadora!$C$8,Calculadora!$C$6),0))</f>
        <v/>
      </c>
      <c r="E270" s="49">
        <f>IF(C270&lt;=0.01,0,ROUND(C270*Calculadora!$C$7/12,2))</f>
        <v/>
      </c>
      <c r="F270" s="48">
        <f>IF(C270&lt;=0.01,0,D270-E270)</f>
        <v/>
      </c>
      <c r="G270" s="48">
        <f>IF(C270&lt;=0.01,0,MAX(ROUND(C270-F270,2),0))</f>
        <v/>
      </c>
      <c r="H270" s="50">
        <f>IFERROR(IF(Calculadora!$C$6&gt;0,1-(G270/Calculadora!$C$6),0),0)</f>
        <v/>
      </c>
    </row>
    <row r="271" ht="18" customHeight="1">
      <c r="A271" s="46" t="n">
        <v>267</v>
      </c>
      <c r="B271" s="47">
        <f>IFERROR(IF(C271&lt;=0.01,"",EDATE(B270,1)),"")</f>
        <v/>
      </c>
      <c r="C271" s="48">
        <f>IF(G270&lt;=0.01,0,G270)</f>
        <v/>
      </c>
      <c r="D271" s="48">
        <f>IF(C271&lt;=0.01,0,IFERROR(-PMT(Calculadora!$C$7/12,Calculadora!$C$8,Calculadora!$C$6),0))</f>
        <v/>
      </c>
      <c r="E271" s="49">
        <f>IF(C271&lt;=0.01,0,ROUND(C271*Calculadora!$C$7/12,2))</f>
        <v/>
      </c>
      <c r="F271" s="48">
        <f>IF(C271&lt;=0.01,0,D271-E271)</f>
        <v/>
      </c>
      <c r="G271" s="48">
        <f>IF(C271&lt;=0.01,0,MAX(ROUND(C271-F271,2),0))</f>
        <v/>
      </c>
      <c r="H271" s="50">
        <f>IFERROR(IF(Calculadora!$C$6&gt;0,1-(G271/Calculadora!$C$6),0),0)</f>
        <v/>
      </c>
    </row>
    <row r="272" ht="18" customHeight="1">
      <c r="A272" s="46" t="n">
        <v>268</v>
      </c>
      <c r="B272" s="47">
        <f>IFERROR(IF(C272&lt;=0.01,"",EDATE(B271,1)),"")</f>
        <v/>
      </c>
      <c r="C272" s="48">
        <f>IF(G271&lt;=0.01,0,G271)</f>
        <v/>
      </c>
      <c r="D272" s="48">
        <f>IF(C272&lt;=0.01,0,IFERROR(-PMT(Calculadora!$C$7/12,Calculadora!$C$8,Calculadora!$C$6),0))</f>
        <v/>
      </c>
      <c r="E272" s="49">
        <f>IF(C272&lt;=0.01,0,ROUND(C272*Calculadora!$C$7/12,2))</f>
        <v/>
      </c>
      <c r="F272" s="48">
        <f>IF(C272&lt;=0.01,0,D272-E272)</f>
        <v/>
      </c>
      <c r="G272" s="48">
        <f>IF(C272&lt;=0.01,0,MAX(ROUND(C272-F272,2),0))</f>
        <v/>
      </c>
      <c r="H272" s="50">
        <f>IFERROR(IF(Calculadora!$C$6&gt;0,1-(G272/Calculadora!$C$6),0),0)</f>
        <v/>
      </c>
    </row>
    <row r="273" ht="18" customHeight="1">
      <c r="A273" s="46" t="n">
        <v>269</v>
      </c>
      <c r="B273" s="47">
        <f>IFERROR(IF(C273&lt;=0.01,"",EDATE(B272,1)),"")</f>
        <v/>
      </c>
      <c r="C273" s="48">
        <f>IF(G272&lt;=0.01,0,G272)</f>
        <v/>
      </c>
      <c r="D273" s="48">
        <f>IF(C273&lt;=0.01,0,IFERROR(-PMT(Calculadora!$C$7/12,Calculadora!$C$8,Calculadora!$C$6),0))</f>
        <v/>
      </c>
      <c r="E273" s="49">
        <f>IF(C273&lt;=0.01,0,ROUND(C273*Calculadora!$C$7/12,2))</f>
        <v/>
      </c>
      <c r="F273" s="48">
        <f>IF(C273&lt;=0.01,0,D273-E273)</f>
        <v/>
      </c>
      <c r="G273" s="48">
        <f>IF(C273&lt;=0.01,0,MAX(ROUND(C273-F273,2),0))</f>
        <v/>
      </c>
      <c r="H273" s="50">
        <f>IFERROR(IF(Calculadora!$C$6&gt;0,1-(G273/Calculadora!$C$6),0),0)</f>
        <v/>
      </c>
    </row>
    <row r="274" ht="18" customHeight="1">
      <c r="A274" s="46" t="n">
        <v>270</v>
      </c>
      <c r="B274" s="47">
        <f>IFERROR(IF(C274&lt;=0.01,"",EDATE(B273,1)),"")</f>
        <v/>
      </c>
      <c r="C274" s="48">
        <f>IF(G273&lt;=0.01,0,G273)</f>
        <v/>
      </c>
      <c r="D274" s="48">
        <f>IF(C274&lt;=0.01,0,IFERROR(-PMT(Calculadora!$C$7/12,Calculadora!$C$8,Calculadora!$C$6),0))</f>
        <v/>
      </c>
      <c r="E274" s="49">
        <f>IF(C274&lt;=0.01,0,ROUND(C274*Calculadora!$C$7/12,2))</f>
        <v/>
      </c>
      <c r="F274" s="48">
        <f>IF(C274&lt;=0.01,0,D274-E274)</f>
        <v/>
      </c>
      <c r="G274" s="48">
        <f>IF(C274&lt;=0.01,0,MAX(ROUND(C274-F274,2),0))</f>
        <v/>
      </c>
      <c r="H274" s="50">
        <f>IFERROR(IF(Calculadora!$C$6&gt;0,1-(G274/Calculadora!$C$6),0),0)</f>
        <v/>
      </c>
    </row>
    <row r="275" ht="18" customHeight="1">
      <c r="A275" s="46" t="n">
        <v>271</v>
      </c>
      <c r="B275" s="47">
        <f>IFERROR(IF(C275&lt;=0.01,"",EDATE(B274,1)),"")</f>
        <v/>
      </c>
      <c r="C275" s="48">
        <f>IF(G274&lt;=0.01,0,G274)</f>
        <v/>
      </c>
      <c r="D275" s="48">
        <f>IF(C275&lt;=0.01,0,IFERROR(-PMT(Calculadora!$C$7/12,Calculadora!$C$8,Calculadora!$C$6),0))</f>
        <v/>
      </c>
      <c r="E275" s="49">
        <f>IF(C275&lt;=0.01,0,ROUND(C275*Calculadora!$C$7/12,2))</f>
        <v/>
      </c>
      <c r="F275" s="48">
        <f>IF(C275&lt;=0.01,0,D275-E275)</f>
        <v/>
      </c>
      <c r="G275" s="48">
        <f>IF(C275&lt;=0.01,0,MAX(ROUND(C275-F275,2),0))</f>
        <v/>
      </c>
      <c r="H275" s="50">
        <f>IFERROR(IF(Calculadora!$C$6&gt;0,1-(G275/Calculadora!$C$6),0),0)</f>
        <v/>
      </c>
    </row>
    <row r="276" ht="18" customHeight="1">
      <c r="A276" s="46" t="n">
        <v>272</v>
      </c>
      <c r="B276" s="47">
        <f>IFERROR(IF(C276&lt;=0.01,"",EDATE(B275,1)),"")</f>
        <v/>
      </c>
      <c r="C276" s="48">
        <f>IF(G275&lt;=0.01,0,G275)</f>
        <v/>
      </c>
      <c r="D276" s="48">
        <f>IF(C276&lt;=0.01,0,IFERROR(-PMT(Calculadora!$C$7/12,Calculadora!$C$8,Calculadora!$C$6),0))</f>
        <v/>
      </c>
      <c r="E276" s="49">
        <f>IF(C276&lt;=0.01,0,ROUND(C276*Calculadora!$C$7/12,2))</f>
        <v/>
      </c>
      <c r="F276" s="48">
        <f>IF(C276&lt;=0.01,0,D276-E276)</f>
        <v/>
      </c>
      <c r="G276" s="48">
        <f>IF(C276&lt;=0.01,0,MAX(ROUND(C276-F276,2),0))</f>
        <v/>
      </c>
      <c r="H276" s="50">
        <f>IFERROR(IF(Calculadora!$C$6&gt;0,1-(G276/Calculadora!$C$6),0),0)</f>
        <v/>
      </c>
    </row>
    <row r="277" ht="18" customHeight="1">
      <c r="A277" s="46" t="n">
        <v>273</v>
      </c>
      <c r="B277" s="47">
        <f>IFERROR(IF(C277&lt;=0.01,"",EDATE(B276,1)),"")</f>
        <v/>
      </c>
      <c r="C277" s="48">
        <f>IF(G276&lt;=0.01,0,G276)</f>
        <v/>
      </c>
      <c r="D277" s="48">
        <f>IF(C277&lt;=0.01,0,IFERROR(-PMT(Calculadora!$C$7/12,Calculadora!$C$8,Calculadora!$C$6),0))</f>
        <v/>
      </c>
      <c r="E277" s="49">
        <f>IF(C277&lt;=0.01,0,ROUND(C277*Calculadora!$C$7/12,2))</f>
        <v/>
      </c>
      <c r="F277" s="48">
        <f>IF(C277&lt;=0.01,0,D277-E277)</f>
        <v/>
      </c>
      <c r="G277" s="48">
        <f>IF(C277&lt;=0.01,0,MAX(ROUND(C277-F277,2),0))</f>
        <v/>
      </c>
      <c r="H277" s="50">
        <f>IFERROR(IF(Calculadora!$C$6&gt;0,1-(G277/Calculadora!$C$6),0),0)</f>
        <v/>
      </c>
    </row>
    <row r="278" ht="18" customHeight="1">
      <c r="A278" s="46" t="n">
        <v>274</v>
      </c>
      <c r="B278" s="47">
        <f>IFERROR(IF(C278&lt;=0.01,"",EDATE(B277,1)),"")</f>
        <v/>
      </c>
      <c r="C278" s="48">
        <f>IF(G277&lt;=0.01,0,G277)</f>
        <v/>
      </c>
      <c r="D278" s="48">
        <f>IF(C278&lt;=0.01,0,IFERROR(-PMT(Calculadora!$C$7/12,Calculadora!$C$8,Calculadora!$C$6),0))</f>
        <v/>
      </c>
      <c r="E278" s="49">
        <f>IF(C278&lt;=0.01,0,ROUND(C278*Calculadora!$C$7/12,2))</f>
        <v/>
      </c>
      <c r="F278" s="48">
        <f>IF(C278&lt;=0.01,0,D278-E278)</f>
        <v/>
      </c>
      <c r="G278" s="48">
        <f>IF(C278&lt;=0.01,0,MAX(ROUND(C278-F278,2),0))</f>
        <v/>
      </c>
      <c r="H278" s="50">
        <f>IFERROR(IF(Calculadora!$C$6&gt;0,1-(G278/Calculadora!$C$6),0),0)</f>
        <v/>
      </c>
    </row>
    <row r="279" ht="18" customHeight="1">
      <c r="A279" s="46" t="n">
        <v>275</v>
      </c>
      <c r="B279" s="47">
        <f>IFERROR(IF(C279&lt;=0.01,"",EDATE(B278,1)),"")</f>
        <v/>
      </c>
      <c r="C279" s="48">
        <f>IF(G278&lt;=0.01,0,G278)</f>
        <v/>
      </c>
      <c r="D279" s="48">
        <f>IF(C279&lt;=0.01,0,IFERROR(-PMT(Calculadora!$C$7/12,Calculadora!$C$8,Calculadora!$C$6),0))</f>
        <v/>
      </c>
      <c r="E279" s="49">
        <f>IF(C279&lt;=0.01,0,ROUND(C279*Calculadora!$C$7/12,2))</f>
        <v/>
      </c>
      <c r="F279" s="48">
        <f>IF(C279&lt;=0.01,0,D279-E279)</f>
        <v/>
      </c>
      <c r="G279" s="48">
        <f>IF(C279&lt;=0.01,0,MAX(ROUND(C279-F279,2),0))</f>
        <v/>
      </c>
      <c r="H279" s="50">
        <f>IFERROR(IF(Calculadora!$C$6&gt;0,1-(G279/Calculadora!$C$6),0),0)</f>
        <v/>
      </c>
    </row>
    <row r="280" ht="18" customHeight="1">
      <c r="A280" s="46" t="n">
        <v>276</v>
      </c>
      <c r="B280" s="47">
        <f>IFERROR(IF(C280&lt;=0.01,"",EDATE(B279,1)),"")</f>
        <v/>
      </c>
      <c r="C280" s="48">
        <f>IF(G279&lt;=0.01,0,G279)</f>
        <v/>
      </c>
      <c r="D280" s="48">
        <f>IF(C280&lt;=0.01,0,IFERROR(-PMT(Calculadora!$C$7/12,Calculadora!$C$8,Calculadora!$C$6),0))</f>
        <v/>
      </c>
      <c r="E280" s="49">
        <f>IF(C280&lt;=0.01,0,ROUND(C280*Calculadora!$C$7/12,2))</f>
        <v/>
      </c>
      <c r="F280" s="48">
        <f>IF(C280&lt;=0.01,0,D280-E280)</f>
        <v/>
      </c>
      <c r="G280" s="48">
        <f>IF(C280&lt;=0.01,0,MAX(ROUND(C280-F280,2),0))</f>
        <v/>
      </c>
      <c r="H280" s="50">
        <f>IFERROR(IF(Calculadora!$C$6&gt;0,1-(G280/Calculadora!$C$6),0),0)</f>
        <v/>
      </c>
    </row>
    <row r="281" ht="18" customHeight="1">
      <c r="A281" s="46" t="n">
        <v>277</v>
      </c>
      <c r="B281" s="47">
        <f>IFERROR(IF(C281&lt;=0.01,"",EDATE(B280,1)),"")</f>
        <v/>
      </c>
      <c r="C281" s="48">
        <f>IF(G280&lt;=0.01,0,G280)</f>
        <v/>
      </c>
      <c r="D281" s="48">
        <f>IF(C281&lt;=0.01,0,IFERROR(-PMT(Calculadora!$C$7/12,Calculadora!$C$8,Calculadora!$C$6),0))</f>
        <v/>
      </c>
      <c r="E281" s="49">
        <f>IF(C281&lt;=0.01,0,ROUND(C281*Calculadora!$C$7/12,2))</f>
        <v/>
      </c>
      <c r="F281" s="48">
        <f>IF(C281&lt;=0.01,0,D281-E281)</f>
        <v/>
      </c>
      <c r="G281" s="48">
        <f>IF(C281&lt;=0.01,0,MAX(ROUND(C281-F281,2),0))</f>
        <v/>
      </c>
      <c r="H281" s="50">
        <f>IFERROR(IF(Calculadora!$C$6&gt;0,1-(G281/Calculadora!$C$6),0),0)</f>
        <v/>
      </c>
    </row>
    <row r="282" ht="18" customHeight="1">
      <c r="A282" s="46" t="n">
        <v>278</v>
      </c>
      <c r="B282" s="47">
        <f>IFERROR(IF(C282&lt;=0.01,"",EDATE(B281,1)),"")</f>
        <v/>
      </c>
      <c r="C282" s="48">
        <f>IF(G281&lt;=0.01,0,G281)</f>
        <v/>
      </c>
      <c r="D282" s="48">
        <f>IF(C282&lt;=0.01,0,IFERROR(-PMT(Calculadora!$C$7/12,Calculadora!$C$8,Calculadora!$C$6),0))</f>
        <v/>
      </c>
      <c r="E282" s="49">
        <f>IF(C282&lt;=0.01,0,ROUND(C282*Calculadora!$C$7/12,2))</f>
        <v/>
      </c>
      <c r="F282" s="48">
        <f>IF(C282&lt;=0.01,0,D282-E282)</f>
        <v/>
      </c>
      <c r="G282" s="48">
        <f>IF(C282&lt;=0.01,0,MAX(ROUND(C282-F282,2),0))</f>
        <v/>
      </c>
      <c r="H282" s="50">
        <f>IFERROR(IF(Calculadora!$C$6&gt;0,1-(G282/Calculadora!$C$6),0),0)</f>
        <v/>
      </c>
    </row>
    <row r="283" ht="18" customHeight="1">
      <c r="A283" s="46" t="n">
        <v>279</v>
      </c>
      <c r="B283" s="47">
        <f>IFERROR(IF(C283&lt;=0.01,"",EDATE(B282,1)),"")</f>
        <v/>
      </c>
      <c r="C283" s="48">
        <f>IF(G282&lt;=0.01,0,G282)</f>
        <v/>
      </c>
      <c r="D283" s="48">
        <f>IF(C283&lt;=0.01,0,IFERROR(-PMT(Calculadora!$C$7/12,Calculadora!$C$8,Calculadora!$C$6),0))</f>
        <v/>
      </c>
      <c r="E283" s="49">
        <f>IF(C283&lt;=0.01,0,ROUND(C283*Calculadora!$C$7/12,2))</f>
        <v/>
      </c>
      <c r="F283" s="48">
        <f>IF(C283&lt;=0.01,0,D283-E283)</f>
        <v/>
      </c>
      <c r="G283" s="48">
        <f>IF(C283&lt;=0.01,0,MAX(ROUND(C283-F283,2),0))</f>
        <v/>
      </c>
      <c r="H283" s="50">
        <f>IFERROR(IF(Calculadora!$C$6&gt;0,1-(G283/Calculadora!$C$6),0),0)</f>
        <v/>
      </c>
    </row>
    <row r="284" ht="18" customHeight="1">
      <c r="A284" s="46" t="n">
        <v>280</v>
      </c>
      <c r="B284" s="47">
        <f>IFERROR(IF(C284&lt;=0.01,"",EDATE(B283,1)),"")</f>
        <v/>
      </c>
      <c r="C284" s="48">
        <f>IF(G283&lt;=0.01,0,G283)</f>
        <v/>
      </c>
      <c r="D284" s="48">
        <f>IF(C284&lt;=0.01,0,IFERROR(-PMT(Calculadora!$C$7/12,Calculadora!$C$8,Calculadora!$C$6),0))</f>
        <v/>
      </c>
      <c r="E284" s="49">
        <f>IF(C284&lt;=0.01,0,ROUND(C284*Calculadora!$C$7/12,2))</f>
        <v/>
      </c>
      <c r="F284" s="48">
        <f>IF(C284&lt;=0.01,0,D284-E284)</f>
        <v/>
      </c>
      <c r="G284" s="48">
        <f>IF(C284&lt;=0.01,0,MAX(ROUND(C284-F284,2),0))</f>
        <v/>
      </c>
      <c r="H284" s="50">
        <f>IFERROR(IF(Calculadora!$C$6&gt;0,1-(G284/Calculadora!$C$6),0),0)</f>
        <v/>
      </c>
    </row>
    <row r="285" ht="18" customHeight="1">
      <c r="A285" s="46" t="n">
        <v>281</v>
      </c>
      <c r="B285" s="47">
        <f>IFERROR(IF(C285&lt;=0.01,"",EDATE(B284,1)),"")</f>
        <v/>
      </c>
      <c r="C285" s="48">
        <f>IF(G284&lt;=0.01,0,G284)</f>
        <v/>
      </c>
      <c r="D285" s="48">
        <f>IF(C285&lt;=0.01,0,IFERROR(-PMT(Calculadora!$C$7/12,Calculadora!$C$8,Calculadora!$C$6),0))</f>
        <v/>
      </c>
      <c r="E285" s="49">
        <f>IF(C285&lt;=0.01,0,ROUND(C285*Calculadora!$C$7/12,2))</f>
        <v/>
      </c>
      <c r="F285" s="48">
        <f>IF(C285&lt;=0.01,0,D285-E285)</f>
        <v/>
      </c>
      <c r="G285" s="48">
        <f>IF(C285&lt;=0.01,0,MAX(ROUND(C285-F285,2),0))</f>
        <v/>
      </c>
      <c r="H285" s="50">
        <f>IFERROR(IF(Calculadora!$C$6&gt;0,1-(G285/Calculadora!$C$6),0),0)</f>
        <v/>
      </c>
    </row>
    <row r="286" ht="18" customHeight="1">
      <c r="A286" s="46" t="n">
        <v>282</v>
      </c>
      <c r="B286" s="47">
        <f>IFERROR(IF(C286&lt;=0.01,"",EDATE(B285,1)),"")</f>
        <v/>
      </c>
      <c r="C286" s="48">
        <f>IF(G285&lt;=0.01,0,G285)</f>
        <v/>
      </c>
      <c r="D286" s="48">
        <f>IF(C286&lt;=0.01,0,IFERROR(-PMT(Calculadora!$C$7/12,Calculadora!$C$8,Calculadora!$C$6),0))</f>
        <v/>
      </c>
      <c r="E286" s="49">
        <f>IF(C286&lt;=0.01,0,ROUND(C286*Calculadora!$C$7/12,2))</f>
        <v/>
      </c>
      <c r="F286" s="48">
        <f>IF(C286&lt;=0.01,0,D286-E286)</f>
        <v/>
      </c>
      <c r="G286" s="48">
        <f>IF(C286&lt;=0.01,0,MAX(ROUND(C286-F286,2),0))</f>
        <v/>
      </c>
      <c r="H286" s="50">
        <f>IFERROR(IF(Calculadora!$C$6&gt;0,1-(G286/Calculadora!$C$6),0),0)</f>
        <v/>
      </c>
    </row>
    <row r="287" ht="18" customHeight="1">
      <c r="A287" s="46" t="n">
        <v>283</v>
      </c>
      <c r="B287" s="47">
        <f>IFERROR(IF(C287&lt;=0.01,"",EDATE(B286,1)),"")</f>
        <v/>
      </c>
      <c r="C287" s="48">
        <f>IF(G286&lt;=0.01,0,G286)</f>
        <v/>
      </c>
      <c r="D287" s="48">
        <f>IF(C287&lt;=0.01,0,IFERROR(-PMT(Calculadora!$C$7/12,Calculadora!$C$8,Calculadora!$C$6),0))</f>
        <v/>
      </c>
      <c r="E287" s="49">
        <f>IF(C287&lt;=0.01,0,ROUND(C287*Calculadora!$C$7/12,2))</f>
        <v/>
      </c>
      <c r="F287" s="48">
        <f>IF(C287&lt;=0.01,0,D287-E287)</f>
        <v/>
      </c>
      <c r="G287" s="48">
        <f>IF(C287&lt;=0.01,0,MAX(ROUND(C287-F287,2),0))</f>
        <v/>
      </c>
      <c r="H287" s="50">
        <f>IFERROR(IF(Calculadora!$C$6&gt;0,1-(G287/Calculadora!$C$6),0),0)</f>
        <v/>
      </c>
    </row>
    <row r="288" ht="18" customHeight="1">
      <c r="A288" s="46" t="n">
        <v>284</v>
      </c>
      <c r="B288" s="47">
        <f>IFERROR(IF(C288&lt;=0.01,"",EDATE(B287,1)),"")</f>
        <v/>
      </c>
      <c r="C288" s="48">
        <f>IF(G287&lt;=0.01,0,G287)</f>
        <v/>
      </c>
      <c r="D288" s="48">
        <f>IF(C288&lt;=0.01,0,IFERROR(-PMT(Calculadora!$C$7/12,Calculadora!$C$8,Calculadora!$C$6),0))</f>
        <v/>
      </c>
      <c r="E288" s="49">
        <f>IF(C288&lt;=0.01,0,ROUND(C288*Calculadora!$C$7/12,2))</f>
        <v/>
      </c>
      <c r="F288" s="48">
        <f>IF(C288&lt;=0.01,0,D288-E288)</f>
        <v/>
      </c>
      <c r="G288" s="48">
        <f>IF(C288&lt;=0.01,0,MAX(ROUND(C288-F288,2),0))</f>
        <v/>
      </c>
      <c r="H288" s="50">
        <f>IFERROR(IF(Calculadora!$C$6&gt;0,1-(G288/Calculadora!$C$6),0),0)</f>
        <v/>
      </c>
    </row>
    <row r="289" ht="18" customHeight="1">
      <c r="A289" s="46" t="n">
        <v>285</v>
      </c>
      <c r="B289" s="47">
        <f>IFERROR(IF(C289&lt;=0.01,"",EDATE(B288,1)),"")</f>
        <v/>
      </c>
      <c r="C289" s="48">
        <f>IF(G288&lt;=0.01,0,G288)</f>
        <v/>
      </c>
      <c r="D289" s="48">
        <f>IF(C289&lt;=0.01,0,IFERROR(-PMT(Calculadora!$C$7/12,Calculadora!$C$8,Calculadora!$C$6),0))</f>
        <v/>
      </c>
      <c r="E289" s="49">
        <f>IF(C289&lt;=0.01,0,ROUND(C289*Calculadora!$C$7/12,2))</f>
        <v/>
      </c>
      <c r="F289" s="48">
        <f>IF(C289&lt;=0.01,0,D289-E289)</f>
        <v/>
      </c>
      <c r="G289" s="48">
        <f>IF(C289&lt;=0.01,0,MAX(ROUND(C289-F289,2),0))</f>
        <v/>
      </c>
      <c r="H289" s="50">
        <f>IFERROR(IF(Calculadora!$C$6&gt;0,1-(G289/Calculadora!$C$6),0),0)</f>
        <v/>
      </c>
    </row>
    <row r="290" ht="18" customHeight="1">
      <c r="A290" s="46" t="n">
        <v>286</v>
      </c>
      <c r="B290" s="47">
        <f>IFERROR(IF(C290&lt;=0.01,"",EDATE(B289,1)),"")</f>
        <v/>
      </c>
      <c r="C290" s="48">
        <f>IF(G289&lt;=0.01,0,G289)</f>
        <v/>
      </c>
      <c r="D290" s="48">
        <f>IF(C290&lt;=0.01,0,IFERROR(-PMT(Calculadora!$C$7/12,Calculadora!$C$8,Calculadora!$C$6),0))</f>
        <v/>
      </c>
      <c r="E290" s="49">
        <f>IF(C290&lt;=0.01,0,ROUND(C290*Calculadora!$C$7/12,2))</f>
        <v/>
      </c>
      <c r="F290" s="48">
        <f>IF(C290&lt;=0.01,0,D290-E290)</f>
        <v/>
      </c>
      <c r="G290" s="48">
        <f>IF(C290&lt;=0.01,0,MAX(ROUND(C290-F290,2),0))</f>
        <v/>
      </c>
      <c r="H290" s="50">
        <f>IFERROR(IF(Calculadora!$C$6&gt;0,1-(G290/Calculadora!$C$6),0),0)</f>
        <v/>
      </c>
    </row>
    <row r="291" ht="18" customHeight="1">
      <c r="A291" s="46" t="n">
        <v>287</v>
      </c>
      <c r="B291" s="47">
        <f>IFERROR(IF(C291&lt;=0.01,"",EDATE(B290,1)),"")</f>
        <v/>
      </c>
      <c r="C291" s="48">
        <f>IF(G290&lt;=0.01,0,G290)</f>
        <v/>
      </c>
      <c r="D291" s="48">
        <f>IF(C291&lt;=0.01,0,IFERROR(-PMT(Calculadora!$C$7/12,Calculadora!$C$8,Calculadora!$C$6),0))</f>
        <v/>
      </c>
      <c r="E291" s="49">
        <f>IF(C291&lt;=0.01,0,ROUND(C291*Calculadora!$C$7/12,2))</f>
        <v/>
      </c>
      <c r="F291" s="48">
        <f>IF(C291&lt;=0.01,0,D291-E291)</f>
        <v/>
      </c>
      <c r="G291" s="48">
        <f>IF(C291&lt;=0.01,0,MAX(ROUND(C291-F291,2),0))</f>
        <v/>
      </c>
      <c r="H291" s="50">
        <f>IFERROR(IF(Calculadora!$C$6&gt;0,1-(G291/Calculadora!$C$6),0),0)</f>
        <v/>
      </c>
    </row>
    <row r="292" ht="18" customHeight="1">
      <c r="A292" s="46" t="n">
        <v>288</v>
      </c>
      <c r="B292" s="47">
        <f>IFERROR(IF(C292&lt;=0.01,"",EDATE(B291,1)),"")</f>
        <v/>
      </c>
      <c r="C292" s="48">
        <f>IF(G291&lt;=0.01,0,G291)</f>
        <v/>
      </c>
      <c r="D292" s="48">
        <f>IF(C292&lt;=0.01,0,IFERROR(-PMT(Calculadora!$C$7/12,Calculadora!$C$8,Calculadora!$C$6),0))</f>
        <v/>
      </c>
      <c r="E292" s="49">
        <f>IF(C292&lt;=0.01,0,ROUND(C292*Calculadora!$C$7/12,2))</f>
        <v/>
      </c>
      <c r="F292" s="48">
        <f>IF(C292&lt;=0.01,0,D292-E292)</f>
        <v/>
      </c>
      <c r="G292" s="48">
        <f>IF(C292&lt;=0.01,0,MAX(ROUND(C292-F292,2),0))</f>
        <v/>
      </c>
      <c r="H292" s="50">
        <f>IFERROR(IF(Calculadora!$C$6&gt;0,1-(G292/Calculadora!$C$6),0),0)</f>
        <v/>
      </c>
    </row>
    <row r="293" ht="18" customHeight="1">
      <c r="A293" s="46" t="n">
        <v>289</v>
      </c>
      <c r="B293" s="47">
        <f>IFERROR(IF(C293&lt;=0.01,"",EDATE(B292,1)),"")</f>
        <v/>
      </c>
      <c r="C293" s="48">
        <f>IF(G292&lt;=0.01,0,G292)</f>
        <v/>
      </c>
      <c r="D293" s="48">
        <f>IF(C293&lt;=0.01,0,IFERROR(-PMT(Calculadora!$C$7/12,Calculadora!$C$8,Calculadora!$C$6),0))</f>
        <v/>
      </c>
      <c r="E293" s="49">
        <f>IF(C293&lt;=0.01,0,ROUND(C293*Calculadora!$C$7/12,2))</f>
        <v/>
      </c>
      <c r="F293" s="48">
        <f>IF(C293&lt;=0.01,0,D293-E293)</f>
        <v/>
      </c>
      <c r="G293" s="48">
        <f>IF(C293&lt;=0.01,0,MAX(ROUND(C293-F293,2),0))</f>
        <v/>
      </c>
      <c r="H293" s="50">
        <f>IFERROR(IF(Calculadora!$C$6&gt;0,1-(G293/Calculadora!$C$6),0),0)</f>
        <v/>
      </c>
    </row>
    <row r="294" ht="18" customHeight="1">
      <c r="A294" s="46" t="n">
        <v>290</v>
      </c>
      <c r="B294" s="47">
        <f>IFERROR(IF(C294&lt;=0.01,"",EDATE(B293,1)),"")</f>
        <v/>
      </c>
      <c r="C294" s="48">
        <f>IF(G293&lt;=0.01,0,G293)</f>
        <v/>
      </c>
      <c r="D294" s="48">
        <f>IF(C294&lt;=0.01,0,IFERROR(-PMT(Calculadora!$C$7/12,Calculadora!$C$8,Calculadora!$C$6),0))</f>
        <v/>
      </c>
      <c r="E294" s="49">
        <f>IF(C294&lt;=0.01,0,ROUND(C294*Calculadora!$C$7/12,2))</f>
        <v/>
      </c>
      <c r="F294" s="48">
        <f>IF(C294&lt;=0.01,0,D294-E294)</f>
        <v/>
      </c>
      <c r="G294" s="48">
        <f>IF(C294&lt;=0.01,0,MAX(ROUND(C294-F294,2),0))</f>
        <v/>
      </c>
      <c r="H294" s="50">
        <f>IFERROR(IF(Calculadora!$C$6&gt;0,1-(G294/Calculadora!$C$6),0),0)</f>
        <v/>
      </c>
    </row>
    <row r="295" ht="18" customHeight="1">
      <c r="A295" s="46" t="n">
        <v>291</v>
      </c>
      <c r="B295" s="47">
        <f>IFERROR(IF(C295&lt;=0.01,"",EDATE(B294,1)),"")</f>
        <v/>
      </c>
      <c r="C295" s="48">
        <f>IF(G294&lt;=0.01,0,G294)</f>
        <v/>
      </c>
      <c r="D295" s="48">
        <f>IF(C295&lt;=0.01,0,IFERROR(-PMT(Calculadora!$C$7/12,Calculadora!$C$8,Calculadora!$C$6),0))</f>
        <v/>
      </c>
      <c r="E295" s="49">
        <f>IF(C295&lt;=0.01,0,ROUND(C295*Calculadora!$C$7/12,2))</f>
        <v/>
      </c>
      <c r="F295" s="48">
        <f>IF(C295&lt;=0.01,0,D295-E295)</f>
        <v/>
      </c>
      <c r="G295" s="48">
        <f>IF(C295&lt;=0.01,0,MAX(ROUND(C295-F295,2),0))</f>
        <v/>
      </c>
      <c r="H295" s="50">
        <f>IFERROR(IF(Calculadora!$C$6&gt;0,1-(G295/Calculadora!$C$6),0),0)</f>
        <v/>
      </c>
    </row>
    <row r="296" ht="18" customHeight="1">
      <c r="A296" s="46" t="n">
        <v>292</v>
      </c>
      <c r="B296" s="47">
        <f>IFERROR(IF(C296&lt;=0.01,"",EDATE(B295,1)),"")</f>
        <v/>
      </c>
      <c r="C296" s="48">
        <f>IF(G295&lt;=0.01,0,G295)</f>
        <v/>
      </c>
      <c r="D296" s="48">
        <f>IF(C296&lt;=0.01,0,IFERROR(-PMT(Calculadora!$C$7/12,Calculadora!$C$8,Calculadora!$C$6),0))</f>
        <v/>
      </c>
      <c r="E296" s="49">
        <f>IF(C296&lt;=0.01,0,ROUND(C296*Calculadora!$C$7/12,2))</f>
        <v/>
      </c>
      <c r="F296" s="48">
        <f>IF(C296&lt;=0.01,0,D296-E296)</f>
        <v/>
      </c>
      <c r="G296" s="48">
        <f>IF(C296&lt;=0.01,0,MAX(ROUND(C296-F296,2),0))</f>
        <v/>
      </c>
      <c r="H296" s="50">
        <f>IFERROR(IF(Calculadora!$C$6&gt;0,1-(G296/Calculadora!$C$6),0),0)</f>
        <v/>
      </c>
    </row>
    <row r="297" ht="18" customHeight="1">
      <c r="A297" s="46" t="n">
        <v>293</v>
      </c>
      <c r="B297" s="47">
        <f>IFERROR(IF(C297&lt;=0.01,"",EDATE(B296,1)),"")</f>
        <v/>
      </c>
      <c r="C297" s="48">
        <f>IF(G296&lt;=0.01,0,G296)</f>
        <v/>
      </c>
      <c r="D297" s="48">
        <f>IF(C297&lt;=0.01,0,IFERROR(-PMT(Calculadora!$C$7/12,Calculadora!$C$8,Calculadora!$C$6),0))</f>
        <v/>
      </c>
      <c r="E297" s="49">
        <f>IF(C297&lt;=0.01,0,ROUND(C297*Calculadora!$C$7/12,2))</f>
        <v/>
      </c>
      <c r="F297" s="48">
        <f>IF(C297&lt;=0.01,0,D297-E297)</f>
        <v/>
      </c>
      <c r="G297" s="48">
        <f>IF(C297&lt;=0.01,0,MAX(ROUND(C297-F297,2),0))</f>
        <v/>
      </c>
      <c r="H297" s="50">
        <f>IFERROR(IF(Calculadora!$C$6&gt;0,1-(G297/Calculadora!$C$6),0),0)</f>
        <v/>
      </c>
    </row>
    <row r="298" ht="18" customHeight="1">
      <c r="A298" s="46" t="n">
        <v>294</v>
      </c>
      <c r="B298" s="47">
        <f>IFERROR(IF(C298&lt;=0.01,"",EDATE(B297,1)),"")</f>
        <v/>
      </c>
      <c r="C298" s="48">
        <f>IF(G297&lt;=0.01,0,G297)</f>
        <v/>
      </c>
      <c r="D298" s="48">
        <f>IF(C298&lt;=0.01,0,IFERROR(-PMT(Calculadora!$C$7/12,Calculadora!$C$8,Calculadora!$C$6),0))</f>
        <v/>
      </c>
      <c r="E298" s="49">
        <f>IF(C298&lt;=0.01,0,ROUND(C298*Calculadora!$C$7/12,2))</f>
        <v/>
      </c>
      <c r="F298" s="48">
        <f>IF(C298&lt;=0.01,0,D298-E298)</f>
        <v/>
      </c>
      <c r="G298" s="48">
        <f>IF(C298&lt;=0.01,0,MAX(ROUND(C298-F298,2),0))</f>
        <v/>
      </c>
      <c r="H298" s="50">
        <f>IFERROR(IF(Calculadora!$C$6&gt;0,1-(G298/Calculadora!$C$6),0),0)</f>
        <v/>
      </c>
    </row>
    <row r="299" ht="18" customHeight="1">
      <c r="A299" s="46" t="n">
        <v>295</v>
      </c>
      <c r="B299" s="47">
        <f>IFERROR(IF(C299&lt;=0.01,"",EDATE(B298,1)),"")</f>
        <v/>
      </c>
      <c r="C299" s="48">
        <f>IF(G298&lt;=0.01,0,G298)</f>
        <v/>
      </c>
      <c r="D299" s="48">
        <f>IF(C299&lt;=0.01,0,IFERROR(-PMT(Calculadora!$C$7/12,Calculadora!$C$8,Calculadora!$C$6),0))</f>
        <v/>
      </c>
      <c r="E299" s="49">
        <f>IF(C299&lt;=0.01,0,ROUND(C299*Calculadora!$C$7/12,2))</f>
        <v/>
      </c>
      <c r="F299" s="48">
        <f>IF(C299&lt;=0.01,0,D299-E299)</f>
        <v/>
      </c>
      <c r="G299" s="48">
        <f>IF(C299&lt;=0.01,0,MAX(ROUND(C299-F299,2),0))</f>
        <v/>
      </c>
      <c r="H299" s="50">
        <f>IFERROR(IF(Calculadora!$C$6&gt;0,1-(G299/Calculadora!$C$6),0),0)</f>
        <v/>
      </c>
    </row>
    <row r="300" ht="18" customHeight="1">
      <c r="A300" s="46" t="n">
        <v>296</v>
      </c>
      <c r="B300" s="47">
        <f>IFERROR(IF(C300&lt;=0.01,"",EDATE(B299,1)),"")</f>
        <v/>
      </c>
      <c r="C300" s="48">
        <f>IF(G299&lt;=0.01,0,G299)</f>
        <v/>
      </c>
      <c r="D300" s="48">
        <f>IF(C300&lt;=0.01,0,IFERROR(-PMT(Calculadora!$C$7/12,Calculadora!$C$8,Calculadora!$C$6),0))</f>
        <v/>
      </c>
      <c r="E300" s="49">
        <f>IF(C300&lt;=0.01,0,ROUND(C300*Calculadora!$C$7/12,2))</f>
        <v/>
      </c>
      <c r="F300" s="48">
        <f>IF(C300&lt;=0.01,0,D300-E300)</f>
        <v/>
      </c>
      <c r="G300" s="48">
        <f>IF(C300&lt;=0.01,0,MAX(ROUND(C300-F300,2),0))</f>
        <v/>
      </c>
      <c r="H300" s="50">
        <f>IFERROR(IF(Calculadora!$C$6&gt;0,1-(G300/Calculadora!$C$6),0),0)</f>
        <v/>
      </c>
    </row>
    <row r="301" ht="18" customHeight="1">
      <c r="A301" s="46" t="n">
        <v>297</v>
      </c>
      <c r="B301" s="47">
        <f>IFERROR(IF(C301&lt;=0.01,"",EDATE(B300,1)),"")</f>
        <v/>
      </c>
      <c r="C301" s="48">
        <f>IF(G300&lt;=0.01,0,G300)</f>
        <v/>
      </c>
      <c r="D301" s="48">
        <f>IF(C301&lt;=0.01,0,IFERROR(-PMT(Calculadora!$C$7/12,Calculadora!$C$8,Calculadora!$C$6),0))</f>
        <v/>
      </c>
      <c r="E301" s="49">
        <f>IF(C301&lt;=0.01,0,ROUND(C301*Calculadora!$C$7/12,2))</f>
        <v/>
      </c>
      <c r="F301" s="48">
        <f>IF(C301&lt;=0.01,0,D301-E301)</f>
        <v/>
      </c>
      <c r="G301" s="48">
        <f>IF(C301&lt;=0.01,0,MAX(ROUND(C301-F301,2),0))</f>
        <v/>
      </c>
      <c r="H301" s="50">
        <f>IFERROR(IF(Calculadora!$C$6&gt;0,1-(G301/Calculadora!$C$6),0),0)</f>
        <v/>
      </c>
    </row>
    <row r="302" ht="18" customHeight="1">
      <c r="A302" s="46" t="n">
        <v>298</v>
      </c>
      <c r="B302" s="47">
        <f>IFERROR(IF(C302&lt;=0.01,"",EDATE(B301,1)),"")</f>
        <v/>
      </c>
      <c r="C302" s="48">
        <f>IF(G301&lt;=0.01,0,G301)</f>
        <v/>
      </c>
      <c r="D302" s="48">
        <f>IF(C302&lt;=0.01,0,IFERROR(-PMT(Calculadora!$C$7/12,Calculadora!$C$8,Calculadora!$C$6),0))</f>
        <v/>
      </c>
      <c r="E302" s="49">
        <f>IF(C302&lt;=0.01,0,ROUND(C302*Calculadora!$C$7/12,2))</f>
        <v/>
      </c>
      <c r="F302" s="48">
        <f>IF(C302&lt;=0.01,0,D302-E302)</f>
        <v/>
      </c>
      <c r="G302" s="48">
        <f>IF(C302&lt;=0.01,0,MAX(ROUND(C302-F302,2),0))</f>
        <v/>
      </c>
      <c r="H302" s="50">
        <f>IFERROR(IF(Calculadora!$C$6&gt;0,1-(G302/Calculadora!$C$6),0),0)</f>
        <v/>
      </c>
    </row>
    <row r="303" ht="18" customHeight="1">
      <c r="A303" s="46" t="n">
        <v>299</v>
      </c>
      <c r="B303" s="47">
        <f>IFERROR(IF(C303&lt;=0.01,"",EDATE(B302,1)),"")</f>
        <v/>
      </c>
      <c r="C303" s="48">
        <f>IF(G302&lt;=0.01,0,G302)</f>
        <v/>
      </c>
      <c r="D303" s="48">
        <f>IF(C303&lt;=0.01,0,IFERROR(-PMT(Calculadora!$C$7/12,Calculadora!$C$8,Calculadora!$C$6),0))</f>
        <v/>
      </c>
      <c r="E303" s="49">
        <f>IF(C303&lt;=0.01,0,ROUND(C303*Calculadora!$C$7/12,2))</f>
        <v/>
      </c>
      <c r="F303" s="48">
        <f>IF(C303&lt;=0.01,0,D303-E303)</f>
        <v/>
      </c>
      <c r="G303" s="48">
        <f>IF(C303&lt;=0.01,0,MAX(ROUND(C303-F303,2),0))</f>
        <v/>
      </c>
      <c r="H303" s="50">
        <f>IFERROR(IF(Calculadora!$C$6&gt;0,1-(G303/Calculadora!$C$6),0),0)</f>
        <v/>
      </c>
    </row>
    <row r="304" ht="18" customHeight="1">
      <c r="A304" s="46" t="n">
        <v>300</v>
      </c>
      <c r="B304" s="47">
        <f>IFERROR(IF(C304&lt;=0.01,"",EDATE(B303,1)),"")</f>
        <v/>
      </c>
      <c r="C304" s="48">
        <f>IF(G303&lt;=0.01,0,G303)</f>
        <v/>
      </c>
      <c r="D304" s="48">
        <f>IF(C304&lt;=0.01,0,IFERROR(-PMT(Calculadora!$C$7/12,Calculadora!$C$8,Calculadora!$C$6),0))</f>
        <v/>
      </c>
      <c r="E304" s="49">
        <f>IF(C304&lt;=0.01,0,ROUND(C304*Calculadora!$C$7/12,2))</f>
        <v/>
      </c>
      <c r="F304" s="48">
        <f>IF(C304&lt;=0.01,0,D304-E304)</f>
        <v/>
      </c>
      <c r="G304" s="48">
        <f>IF(C304&lt;=0.01,0,MAX(ROUND(C304-F304,2),0))</f>
        <v/>
      </c>
      <c r="H304" s="50">
        <f>IFERROR(IF(Calculadora!$C$6&gt;0,1-(G304/Calculadora!$C$6),0),0)</f>
        <v/>
      </c>
    </row>
    <row r="305" ht="18" customHeight="1">
      <c r="A305" s="46" t="n">
        <v>301</v>
      </c>
      <c r="B305" s="47">
        <f>IFERROR(IF(C305&lt;=0.01,"",EDATE(B304,1)),"")</f>
        <v/>
      </c>
      <c r="C305" s="48">
        <f>IF(G304&lt;=0.01,0,G304)</f>
        <v/>
      </c>
      <c r="D305" s="48">
        <f>IF(C305&lt;=0.01,0,IFERROR(-PMT(Calculadora!$C$7/12,Calculadora!$C$8,Calculadora!$C$6),0))</f>
        <v/>
      </c>
      <c r="E305" s="49">
        <f>IF(C305&lt;=0.01,0,ROUND(C305*Calculadora!$C$7/12,2))</f>
        <v/>
      </c>
      <c r="F305" s="48">
        <f>IF(C305&lt;=0.01,0,D305-E305)</f>
        <v/>
      </c>
      <c r="G305" s="48">
        <f>IF(C305&lt;=0.01,0,MAX(ROUND(C305-F305,2),0))</f>
        <v/>
      </c>
      <c r="H305" s="50">
        <f>IFERROR(IF(Calculadora!$C$6&gt;0,1-(G305/Calculadora!$C$6),0),0)</f>
        <v/>
      </c>
    </row>
    <row r="306" ht="18" customHeight="1">
      <c r="A306" s="46" t="n">
        <v>302</v>
      </c>
      <c r="B306" s="47">
        <f>IFERROR(IF(C306&lt;=0.01,"",EDATE(B305,1)),"")</f>
        <v/>
      </c>
      <c r="C306" s="48">
        <f>IF(G305&lt;=0.01,0,G305)</f>
        <v/>
      </c>
      <c r="D306" s="48">
        <f>IF(C306&lt;=0.01,0,IFERROR(-PMT(Calculadora!$C$7/12,Calculadora!$C$8,Calculadora!$C$6),0))</f>
        <v/>
      </c>
      <c r="E306" s="49">
        <f>IF(C306&lt;=0.01,0,ROUND(C306*Calculadora!$C$7/12,2))</f>
        <v/>
      </c>
      <c r="F306" s="48">
        <f>IF(C306&lt;=0.01,0,D306-E306)</f>
        <v/>
      </c>
      <c r="G306" s="48">
        <f>IF(C306&lt;=0.01,0,MAX(ROUND(C306-F306,2),0))</f>
        <v/>
      </c>
      <c r="H306" s="50">
        <f>IFERROR(IF(Calculadora!$C$6&gt;0,1-(G306/Calculadora!$C$6),0),0)</f>
        <v/>
      </c>
    </row>
    <row r="307" ht="18" customHeight="1">
      <c r="A307" s="46" t="n">
        <v>303</v>
      </c>
      <c r="B307" s="47">
        <f>IFERROR(IF(C307&lt;=0.01,"",EDATE(B306,1)),"")</f>
        <v/>
      </c>
      <c r="C307" s="48">
        <f>IF(G306&lt;=0.01,0,G306)</f>
        <v/>
      </c>
      <c r="D307" s="48">
        <f>IF(C307&lt;=0.01,0,IFERROR(-PMT(Calculadora!$C$7/12,Calculadora!$C$8,Calculadora!$C$6),0))</f>
        <v/>
      </c>
      <c r="E307" s="49">
        <f>IF(C307&lt;=0.01,0,ROUND(C307*Calculadora!$C$7/12,2))</f>
        <v/>
      </c>
      <c r="F307" s="48">
        <f>IF(C307&lt;=0.01,0,D307-E307)</f>
        <v/>
      </c>
      <c r="G307" s="48">
        <f>IF(C307&lt;=0.01,0,MAX(ROUND(C307-F307,2),0))</f>
        <v/>
      </c>
      <c r="H307" s="50">
        <f>IFERROR(IF(Calculadora!$C$6&gt;0,1-(G307/Calculadora!$C$6),0),0)</f>
        <v/>
      </c>
    </row>
    <row r="308" ht="18" customHeight="1">
      <c r="A308" s="46" t="n">
        <v>304</v>
      </c>
      <c r="B308" s="47">
        <f>IFERROR(IF(C308&lt;=0.01,"",EDATE(B307,1)),"")</f>
        <v/>
      </c>
      <c r="C308" s="48">
        <f>IF(G307&lt;=0.01,0,G307)</f>
        <v/>
      </c>
      <c r="D308" s="48">
        <f>IF(C308&lt;=0.01,0,IFERROR(-PMT(Calculadora!$C$7/12,Calculadora!$C$8,Calculadora!$C$6),0))</f>
        <v/>
      </c>
      <c r="E308" s="49">
        <f>IF(C308&lt;=0.01,0,ROUND(C308*Calculadora!$C$7/12,2))</f>
        <v/>
      </c>
      <c r="F308" s="48">
        <f>IF(C308&lt;=0.01,0,D308-E308)</f>
        <v/>
      </c>
      <c r="G308" s="48">
        <f>IF(C308&lt;=0.01,0,MAX(ROUND(C308-F308,2),0))</f>
        <v/>
      </c>
      <c r="H308" s="50">
        <f>IFERROR(IF(Calculadora!$C$6&gt;0,1-(G308/Calculadora!$C$6),0),0)</f>
        <v/>
      </c>
    </row>
    <row r="309" ht="18" customHeight="1">
      <c r="A309" s="46" t="n">
        <v>305</v>
      </c>
      <c r="B309" s="47">
        <f>IFERROR(IF(C309&lt;=0.01,"",EDATE(B308,1)),"")</f>
        <v/>
      </c>
      <c r="C309" s="48">
        <f>IF(G308&lt;=0.01,0,G308)</f>
        <v/>
      </c>
      <c r="D309" s="48">
        <f>IF(C309&lt;=0.01,0,IFERROR(-PMT(Calculadora!$C$7/12,Calculadora!$C$8,Calculadora!$C$6),0))</f>
        <v/>
      </c>
      <c r="E309" s="49">
        <f>IF(C309&lt;=0.01,0,ROUND(C309*Calculadora!$C$7/12,2))</f>
        <v/>
      </c>
      <c r="F309" s="48">
        <f>IF(C309&lt;=0.01,0,D309-E309)</f>
        <v/>
      </c>
      <c r="G309" s="48">
        <f>IF(C309&lt;=0.01,0,MAX(ROUND(C309-F309,2),0))</f>
        <v/>
      </c>
      <c r="H309" s="50">
        <f>IFERROR(IF(Calculadora!$C$6&gt;0,1-(G309/Calculadora!$C$6),0),0)</f>
        <v/>
      </c>
    </row>
    <row r="310" ht="18" customHeight="1">
      <c r="A310" s="46" t="n">
        <v>306</v>
      </c>
      <c r="B310" s="47">
        <f>IFERROR(IF(C310&lt;=0.01,"",EDATE(B309,1)),"")</f>
        <v/>
      </c>
      <c r="C310" s="48">
        <f>IF(G309&lt;=0.01,0,G309)</f>
        <v/>
      </c>
      <c r="D310" s="48">
        <f>IF(C310&lt;=0.01,0,IFERROR(-PMT(Calculadora!$C$7/12,Calculadora!$C$8,Calculadora!$C$6),0))</f>
        <v/>
      </c>
      <c r="E310" s="49">
        <f>IF(C310&lt;=0.01,0,ROUND(C310*Calculadora!$C$7/12,2))</f>
        <v/>
      </c>
      <c r="F310" s="48">
        <f>IF(C310&lt;=0.01,0,D310-E310)</f>
        <v/>
      </c>
      <c r="G310" s="48">
        <f>IF(C310&lt;=0.01,0,MAX(ROUND(C310-F310,2),0))</f>
        <v/>
      </c>
      <c r="H310" s="50">
        <f>IFERROR(IF(Calculadora!$C$6&gt;0,1-(G310/Calculadora!$C$6),0),0)</f>
        <v/>
      </c>
    </row>
    <row r="311" ht="18" customHeight="1">
      <c r="A311" s="46" t="n">
        <v>307</v>
      </c>
      <c r="B311" s="47">
        <f>IFERROR(IF(C311&lt;=0.01,"",EDATE(B310,1)),"")</f>
        <v/>
      </c>
      <c r="C311" s="48">
        <f>IF(G310&lt;=0.01,0,G310)</f>
        <v/>
      </c>
      <c r="D311" s="48">
        <f>IF(C311&lt;=0.01,0,IFERROR(-PMT(Calculadora!$C$7/12,Calculadora!$C$8,Calculadora!$C$6),0))</f>
        <v/>
      </c>
      <c r="E311" s="49">
        <f>IF(C311&lt;=0.01,0,ROUND(C311*Calculadora!$C$7/12,2))</f>
        <v/>
      </c>
      <c r="F311" s="48">
        <f>IF(C311&lt;=0.01,0,D311-E311)</f>
        <v/>
      </c>
      <c r="G311" s="48">
        <f>IF(C311&lt;=0.01,0,MAX(ROUND(C311-F311,2),0))</f>
        <v/>
      </c>
      <c r="H311" s="50">
        <f>IFERROR(IF(Calculadora!$C$6&gt;0,1-(G311/Calculadora!$C$6),0),0)</f>
        <v/>
      </c>
    </row>
    <row r="312" ht="18" customHeight="1">
      <c r="A312" s="46" t="n">
        <v>308</v>
      </c>
      <c r="B312" s="47">
        <f>IFERROR(IF(C312&lt;=0.01,"",EDATE(B311,1)),"")</f>
        <v/>
      </c>
      <c r="C312" s="48">
        <f>IF(G311&lt;=0.01,0,G311)</f>
        <v/>
      </c>
      <c r="D312" s="48">
        <f>IF(C312&lt;=0.01,0,IFERROR(-PMT(Calculadora!$C$7/12,Calculadora!$C$8,Calculadora!$C$6),0))</f>
        <v/>
      </c>
      <c r="E312" s="49">
        <f>IF(C312&lt;=0.01,0,ROUND(C312*Calculadora!$C$7/12,2))</f>
        <v/>
      </c>
      <c r="F312" s="48">
        <f>IF(C312&lt;=0.01,0,D312-E312)</f>
        <v/>
      </c>
      <c r="G312" s="48">
        <f>IF(C312&lt;=0.01,0,MAX(ROUND(C312-F312,2),0))</f>
        <v/>
      </c>
      <c r="H312" s="50">
        <f>IFERROR(IF(Calculadora!$C$6&gt;0,1-(G312/Calculadora!$C$6),0),0)</f>
        <v/>
      </c>
    </row>
    <row r="313" ht="18" customHeight="1">
      <c r="A313" s="46" t="n">
        <v>309</v>
      </c>
      <c r="B313" s="47">
        <f>IFERROR(IF(C313&lt;=0.01,"",EDATE(B312,1)),"")</f>
        <v/>
      </c>
      <c r="C313" s="48">
        <f>IF(G312&lt;=0.01,0,G312)</f>
        <v/>
      </c>
      <c r="D313" s="48">
        <f>IF(C313&lt;=0.01,0,IFERROR(-PMT(Calculadora!$C$7/12,Calculadora!$C$8,Calculadora!$C$6),0))</f>
        <v/>
      </c>
      <c r="E313" s="49">
        <f>IF(C313&lt;=0.01,0,ROUND(C313*Calculadora!$C$7/12,2))</f>
        <v/>
      </c>
      <c r="F313" s="48">
        <f>IF(C313&lt;=0.01,0,D313-E313)</f>
        <v/>
      </c>
      <c r="G313" s="48">
        <f>IF(C313&lt;=0.01,0,MAX(ROUND(C313-F313,2),0))</f>
        <v/>
      </c>
      <c r="H313" s="50">
        <f>IFERROR(IF(Calculadora!$C$6&gt;0,1-(G313/Calculadora!$C$6),0),0)</f>
        <v/>
      </c>
    </row>
    <row r="314" ht="18" customHeight="1">
      <c r="A314" s="46" t="n">
        <v>310</v>
      </c>
      <c r="B314" s="47">
        <f>IFERROR(IF(C314&lt;=0.01,"",EDATE(B313,1)),"")</f>
        <v/>
      </c>
      <c r="C314" s="48">
        <f>IF(G313&lt;=0.01,0,G313)</f>
        <v/>
      </c>
      <c r="D314" s="48">
        <f>IF(C314&lt;=0.01,0,IFERROR(-PMT(Calculadora!$C$7/12,Calculadora!$C$8,Calculadora!$C$6),0))</f>
        <v/>
      </c>
      <c r="E314" s="49">
        <f>IF(C314&lt;=0.01,0,ROUND(C314*Calculadora!$C$7/12,2))</f>
        <v/>
      </c>
      <c r="F314" s="48">
        <f>IF(C314&lt;=0.01,0,D314-E314)</f>
        <v/>
      </c>
      <c r="G314" s="48">
        <f>IF(C314&lt;=0.01,0,MAX(ROUND(C314-F314,2),0))</f>
        <v/>
      </c>
      <c r="H314" s="50">
        <f>IFERROR(IF(Calculadora!$C$6&gt;0,1-(G314/Calculadora!$C$6),0),0)</f>
        <v/>
      </c>
    </row>
    <row r="315" ht="18" customHeight="1">
      <c r="A315" s="46" t="n">
        <v>311</v>
      </c>
      <c r="B315" s="47">
        <f>IFERROR(IF(C315&lt;=0.01,"",EDATE(B314,1)),"")</f>
        <v/>
      </c>
      <c r="C315" s="48">
        <f>IF(G314&lt;=0.01,0,G314)</f>
        <v/>
      </c>
      <c r="D315" s="48">
        <f>IF(C315&lt;=0.01,0,IFERROR(-PMT(Calculadora!$C$7/12,Calculadora!$C$8,Calculadora!$C$6),0))</f>
        <v/>
      </c>
      <c r="E315" s="49">
        <f>IF(C315&lt;=0.01,0,ROUND(C315*Calculadora!$C$7/12,2))</f>
        <v/>
      </c>
      <c r="F315" s="48">
        <f>IF(C315&lt;=0.01,0,D315-E315)</f>
        <v/>
      </c>
      <c r="G315" s="48">
        <f>IF(C315&lt;=0.01,0,MAX(ROUND(C315-F315,2),0))</f>
        <v/>
      </c>
      <c r="H315" s="50">
        <f>IFERROR(IF(Calculadora!$C$6&gt;0,1-(G315/Calculadora!$C$6),0),0)</f>
        <v/>
      </c>
    </row>
    <row r="316" ht="18" customHeight="1">
      <c r="A316" s="46" t="n">
        <v>312</v>
      </c>
      <c r="B316" s="47">
        <f>IFERROR(IF(C316&lt;=0.01,"",EDATE(B315,1)),"")</f>
        <v/>
      </c>
      <c r="C316" s="48">
        <f>IF(G315&lt;=0.01,0,G315)</f>
        <v/>
      </c>
      <c r="D316" s="48">
        <f>IF(C316&lt;=0.01,0,IFERROR(-PMT(Calculadora!$C$7/12,Calculadora!$C$8,Calculadora!$C$6),0))</f>
        <v/>
      </c>
      <c r="E316" s="49">
        <f>IF(C316&lt;=0.01,0,ROUND(C316*Calculadora!$C$7/12,2))</f>
        <v/>
      </c>
      <c r="F316" s="48">
        <f>IF(C316&lt;=0.01,0,D316-E316)</f>
        <v/>
      </c>
      <c r="G316" s="48">
        <f>IF(C316&lt;=0.01,0,MAX(ROUND(C316-F316,2),0))</f>
        <v/>
      </c>
      <c r="H316" s="50">
        <f>IFERROR(IF(Calculadora!$C$6&gt;0,1-(G316/Calculadora!$C$6),0),0)</f>
        <v/>
      </c>
    </row>
    <row r="317" ht="18" customHeight="1">
      <c r="A317" s="46" t="n">
        <v>313</v>
      </c>
      <c r="B317" s="47">
        <f>IFERROR(IF(C317&lt;=0.01,"",EDATE(B316,1)),"")</f>
        <v/>
      </c>
      <c r="C317" s="48">
        <f>IF(G316&lt;=0.01,0,G316)</f>
        <v/>
      </c>
      <c r="D317" s="48">
        <f>IF(C317&lt;=0.01,0,IFERROR(-PMT(Calculadora!$C$7/12,Calculadora!$C$8,Calculadora!$C$6),0))</f>
        <v/>
      </c>
      <c r="E317" s="49">
        <f>IF(C317&lt;=0.01,0,ROUND(C317*Calculadora!$C$7/12,2))</f>
        <v/>
      </c>
      <c r="F317" s="48">
        <f>IF(C317&lt;=0.01,0,D317-E317)</f>
        <v/>
      </c>
      <c r="G317" s="48">
        <f>IF(C317&lt;=0.01,0,MAX(ROUND(C317-F317,2),0))</f>
        <v/>
      </c>
      <c r="H317" s="50">
        <f>IFERROR(IF(Calculadora!$C$6&gt;0,1-(G317/Calculadora!$C$6),0),0)</f>
        <v/>
      </c>
    </row>
    <row r="318" ht="18" customHeight="1">
      <c r="A318" s="46" t="n">
        <v>314</v>
      </c>
      <c r="B318" s="47">
        <f>IFERROR(IF(C318&lt;=0.01,"",EDATE(B317,1)),"")</f>
        <v/>
      </c>
      <c r="C318" s="48">
        <f>IF(G317&lt;=0.01,0,G317)</f>
        <v/>
      </c>
      <c r="D318" s="48">
        <f>IF(C318&lt;=0.01,0,IFERROR(-PMT(Calculadora!$C$7/12,Calculadora!$C$8,Calculadora!$C$6),0))</f>
        <v/>
      </c>
      <c r="E318" s="49">
        <f>IF(C318&lt;=0.01,0,ROUND(C318*Calculadora!$C$7/12,2))</f>
        <v/>
      </c>
      <c r="F318" s="48">
        <f>IF(C318&lt;=0.01,0,D318-E318)</f>
        <v/>
      </c>
      <c r="G318" s="48">
        <f>IF(C318&lt;=0.01,0,MAX(ROUND(C318-F318,2),0))</f>
        <v/>
      </c>
      <c r="H318" s="50">
        <f>IFERROR(IF(Calculadora!$C$6&gt;0,1-(G318/Calculadora!$C$6),0),0)</f>
        <v/>
      </c>
    </row>
    <row r="319" ht="18" customHeight="1">
      <c r="A319" s="46" t="n">
        <v>315</v>
      </c>
      <c r="B319" s="47">
        <f>IFERROR(IF(C319&lt;=0.01,"",EDATE(B318,1)),"")</f>
        <v/>
      </c>
      <c r="C319" s="48">
        <f>IF(G318&lt;=0.01,0,G318)</f>
        <v/>
      </c>
      <c r="D319" s="48">
        <f>IF(C319&lt;=0.01,0,IFERROR(-PMT(Calculadora!$C$7/12,Calculadora!$C$8,Calculadora!$C$6),0))</f>
        <v/>
      </c>
      <c r="E319" s="49">
        <f>IF(C319&lt;=0.01,0,ROUND(C319*Calculadora!$C$7/12,2))</f>
        <v/>
      </c>
      <c r="F319" s="48">
        <f>IF(C319&lt;=0.01,0,D319-E319)</f>
        <v/>
      </c>
      <c r="G319" s="48">
        <f>IF(C319&lt;=0.01,0,MAX(ROUND(C319-F319,2),0))</f>
        <v/>
      </c>
      <c r="H319" s="50">
        <f>IFERROR(IF(Calculadora!$C$6&gt;0,1-(G319/Calculadora!$C$6),0),0)</f>
        <v/>
      </c>
    </row>
    <row r="320" ht="18" customHeight="1">
      <c r="A320" s="46" t="n">
        <v>316</v>
      </c>
      <c r="B320" s="47">
        <f>IFERROR(IF(C320&lt;=0.01,"",EDATE(B319,1)),"")</f>
        <v/>
      </c>
      <c r="C320" s="48">
        <f>IF(G319&lt;=0.01,0,G319)</f>
        <v/>
      </c>
      <c r="D320" s="48">
        <f>IF(C320&lt;=0.01,0,IFERROR(-PMT(Calculadora!$C$7/12,Calculadora!$C$8,Calculadora!$C$6),0))</f>
        <v/>
      </c>
      <c r="E320" s="49">
        <f>IF(C320&lt;=0.01,0,ROUND(C320*Calculadora!$C$7/12,2))</f>
        <v/>
      </c>
      <c r="F320" s="48">
        <f>IF(C320&lt;=0.01,0,D320-E320)</f>
        <v/>
      </c>
      <c r="G320" s="48">
        <f>IF(C320&lt;=0.01,0,MAX(ROUND(C320-F320,2),0))</f>
        <v/>
      </c>
      <c r="H320" s="50">
        <f>IFERROR(IF(Calculadora!$C$6&gt;0,1-(G320/Calculadora!$C$6),0),0)</f>
        <v/>
      </c>
    </row>
    <row r="321" ht="18" customHeight="1">
      <c r="A321" s="46" t="n">
        <v>317</v>
      </c>
      <c r="B321" s="47">
        <f>IFERROR(IF(C321&lt;=0.01,"",EDATE(B320,1)),"")</f>
        <v/>
      </c>
      <c r="C321" s="48">
        <f>IF(G320&lt;=0.01,0,G320)</f>
        <v/>
      </c>
      <c r="D321" s="48">
        <f>IF(C321&lt;=0.01,0,IFERROR(-PMT(Calculadora!$C$7/12,Calculadora!$C$8,Calculadora!$C$6),0))</f>
        <v/>
      </c>
      <c r="E321" s="49">
        <f>IF(C321&lt;=0.01,0,ROUND(C321*Calculadora!$C$7/12,2))</f>
        <v/>
      </c>
      <c r="F321" s="48">
        <f>IF(C321&lt;=0.01,0,D321-E321)</f>
        <v/>
      </c>
      <c r="G321" s="48">
        <f>IF(C321&lt;=0.01,0,MAX(ROUND(C321-F321,2),0))</f>
        <v/>
      </c>
      <c r="H321" s="50">
        <f>IFERROR(IF(Calculadora!$C$6&gt;0,1-(G321/Calculadora!$C$6),0),0)</f>
        <v/>
      </c>
    </row>
    <row r="322" ht="18" customHeight="1">
      <c r="A322" s="46" t="n">
        <v>318</v>
      </c>
      <c r="B322" s="47">
        <f>IFERROR(IF(C322&lt;=0.01,"",EDATE(B321,1)),"")</f>
        <v/>
      </c>
      <c r="C322" s="48">
        <f>IF(G321&lt;=0.01,0,G321)</f>
        <v/>
      </c>
      <c r="D322" s="48">
        <f>IF(C322&lt;=0.01,0,IFERROR(-PMT(Calculadora!$C$7/12,Calculadora!$C$8,Calculadora!$C$6),0))</f>
        <v/>
      </c>
      <c r="E322" s="49">
        <f>IF(C322&lt;=0.01,0,ROUND(C322*Calculadora!$C$7/12,2))</f>
        <v/>
      </c>
      <c r="F322" s="48">
        <f>IF(C322&lt;=0.01,0,D322-E322)</f>
        <v/>
      </c>
      <c r="G322" s="48">
        <f>IF(C322&lt;=0.01,0,MAX(ROUND(C322-F322,2),0))</f>
        <v/>
      </c>
      <c r="H322" s="50">
        <f>IFERROR(IF(Calculadora!$C$6&gt;0,1-(G322/Calculadora!$C$6),0),0)</f>
        <v/>
      </c>
    </row>
    <row r="323" ht="18" customHeight="1">
      <c r="A323" s="46" t="n">
        <v>319</v>
      </c>
      <c r="B323" s="47">
        <f>IFERROR(IF(C323&lt;=0.01,"",EDATE(B322,1)),"")</f>
        <v/>
      </c>
      <c r="C323" s="48">
        <f>IF(G322&lt;=0.01,0,G322)</f>
        <v/>
      </c>
      <c r="D323" s="48">
        <f>IF(C323&lt;=0.01,0,IFERROR(-PMT(Calculadora!$C$7/12,Calculadora!$C$8,Calculadora!$C$6),0))</f>
        <v/>
      </c>
      <c r="E323" s="49">
        <f>IF(C323&lt;=0.01,0,ROUND(C323*Calculadora!$C$7/12,2))</f>
        <v/>
      </c>
      <c r="F323" s="48">
        <f>IF(C323&lt;=0.01,0,D323-E323)</f>
        <v/>
      </c>
      <c r="G323" s="48">
        <f>IF(C323&lt;=0.01,0,MAX(ROUND(C323-F323,2),0))</f>
        <v/>
      </c>
      <c r="H323" s="50">
        <f>IFERROR(IF(Calculadora!$C$6&gt;0,1-(G323/Calculadora!$C$6),0),0)</f>
        <v/>
      </c>
    </row>
    <row r="324" ht="18" customHeight="1">
      <c r="A324" s="46" t="n">
        <v>320</v>
      </c>
      <c r="B324" s="47">
        <f>IFERROR(IF(C324&lt;=0.01,"",EDATE(B323,1)),"")</f>
        <v/>
      </c>
      <c r="C324" s="48">
        <f>IF(G323&lt;=0.01,0,G323)</f>
        <v/>
      </c>
      <c r="D324" s="48">
        <f>IF(C324&lt;=0.01,0,IFERROR(-PMT(Calculadora!$C$7/12,Calculadora!$C$8,Calculadora!$C$6),0))</f>
        <v/>
      </c>
      <c r="E324" s="49">
        <f>IF(C324&lt;=0.01,0,ROUND(C324*Calculadora!$C$7/12,2))</f>
        <v/>
      </c>
      <c r="F324" s="48">
        <f>IF(C324&lt;=0.01,0,D324-E324)</f>
        <v/>
      </c>
      <c r="G324" s="48">
        <f>IF(C324&lt;=0.01,0,MAX(ROUND(C324-F324,2),0))</f>
        <v/>
      </c>
      <c r="H324" s="50">
        <f>IFERROR(IF(Calculadora!$C$6&gt;0,1-(G324/Calculadora!$C$6),0),0)</f>
        <v/>
      </c>
    </row>
    <row r="325" ht="18" customHeight="1">
      <c r="A325" s="46" t="n">
        <v>321</v>
      </c>
      <c r="B325" s="47">
        <f>IFERROR(IF(C325&lt;=0.01,"",EDATE(B324,1)),"")</f>
        <v/>
      </c>
      <c r="C325" s="48">
        <f>IF(G324&lt;=0.01,0,G324)</f>
        <v/>
      </c>
      <c r="D325" s="48">
        <f>IF(C325&lt;=0.01,0,IFERROR(-PMT(Calculadora!$C$7/12,Calculadora!$C$8,Calculadora!$C$6),0))</f>
        <v/>
      </c>
      <c r="E325" s="49">
        <f>IF(C325&lt;=0.01,0,ROUND(C325*Calculadora!$C$7/12,2))</f>
        <v/>
      </c>
      <c r="F325" s="48">
        <f>IF(C325&lt;=0.01,0,D325-E325)</f>
        <v/>
      </c>
      <c r="G325" s="48">
        <f>IF(C325&lt;=0.01,0,MAX(ROUND(C325-F325,2),0))</f>
        <v/>
      </c>
      <c r="H325" s="50">
        <f>IFERROR(IF(Calculadora!$C$6&gt;0,1-(G325/Calculadora!$C$6),0),0)</f>
        <v/>
      </c>
    </row>
    <row r="326" ht="18" customHeight="1">
      <c r="A326" s="46" t="n">
        <v>322</v>
      </c>
      <c r="B326" s="47">
        <f>IFERROR(IF(C326&lt;=0.01,"",EDATE(B325,1)),"")</f>
        <v/>
      </c>
      <c r="C326" s="48">
        <f>IF(G325&lt;=0.01,0,G325)</f>
        <v/>
      </c>
      <c r="D326" s="48">
        <f>IF(C326&lt;=0.01,0,IFERROR(-PMT(Calculadora!$C$7/12,Calculadora!$C$8,Calculadora!$C$6),0))</f>
        <v/>
      </c>
      <c r="E326" s="49">
        <f>IF(C326&lt;=0.01,0,ROUND(C326*Calculadora!$C$7/12,2))</f>
        <v/>
      </c>
      <c r="F326" s="48">
        <f>IF(C326&lt;=0.01,0,D326-E326)</f>
        <v/>
      </c>
      <c r="G326" s="48">
        <f>IF(C326&lt;=0.01,0,MAX(ROUND(C326-F326,2),0))</f>
        <v/>
      </c>
      <c r="H326" s="50">
        <f>IFERROR(IF(Calculadora!$C$6&gt;0,1-(G326/Calculadora!$C$6),0),0)</f>
        <v/>
      </c>
    </row>
    <row r="327" ht="18" customHeight="1">
      <c r="A327" s="46" t="n">
        <v>323</v>
      </c>
      <c r="B327" s="47">
        <f>IFERROR(IF(C327&lt;=0.01,"",EDATE(B326,1)),"")</f>
        <v/>
      </c>
      <c r="C327" s="48">
        <f>IF(G326&lt;=0.01,0,G326)</f>
        <v/>
      </c>
      <c r="D327" s="48">
        <f>IF(C327&lt;=0.01,0,IFERROR(-PMT(Calculadora!$C$7/12,Calculadora!$C$8,Calculadora!$C$6),0))</f>
        <v/>
      </c>
      <c r="E327" s="49">
        <f>IF(C327&lt;=0.01,0,ROUND(C327*Calculadora!$C$7/12,2))</f>
        <v/>
      </c>
      <c r="F327" s="48">
        <f>IF(C327&lt;=0.01,0,D327-E327)</f>
        <v/>
      </c>
      <c r="G327" s="48">
        <f>IF(C327&lt;=0.01,0,MAX(ROUND(C327-F327,2),0))</f>
        <v/>
      </c>
      <c r="H327" s="50">
        <f>IFERROR(IF(Calculadora!$C$6&gt;0,1-(G327/Calculadora!$C$6),0),0)</f>
        <v/>
      </c>
    </row>
    <row r="328" ht="18" customHeight="1">
      <c r="A328" s="46" t="n">
        <v>324</v>
      </c>
      <c r="B328" s="47">
        <f>IFERROR(IF(C328&lt;=0.01,"",EDATE(B327,1)),"")</f>
        <v/>
      </c>
      <c r="C328" s="48">
        <f>IF(G327&lt;=0.01,0,G327)</f>
        <v/>
      </c>
      <c r="D328" s="48">
        <f>IF(C328&lt;=0.01,0,IFERROR(-PMT(Calculadora!$C$7/12,Calculadora!$C$8,Calculadora!$C$6),0))</f>
        <v/>
      </c>
      <c r="E328" s="49">
        <f>IF(C328&lt;=0.01,0,ROUND(C328*Calculadora!$C$7/12,2))</f>
        <v/>
      </c>
      <c r="F328" s="48">
        <f>IF(C328&lt;=0.01,0,D328-E328)</f>
        <v/>
      </c>
      <c r="G328" s="48">
        <f>IF(C328&lt;=0.01,0,MAX(ROUND(C328-F328,2),0))</f>
        <v/>
      </c>
      <c r="H328" s="50">
        <f>IFERROR(IF(Calculadora!$C$6&gt;0,1-(G328/Calculadora!$C$6),0),0)</f>
        <v/>
      </c>
    </row>
    <row r="329" ht="18" customHeight="1">
      <c r="A329" s="46" t="n">
        <v>325</v>
      </c>
      <c r="B329" s="47">
        <f>IFERROR(IF(C329&lt;=0.01,"",EDATE(B328,1)),"")</f>
        <v/>
      </c>
      <c r="C329" s="48">
        <f>IF(G328&lt;=0.01,0,G328)</f>
        <v/>
      </c>
      <c r="D329" s="48">
        <f>IF(C329&lt;=0.01,0,IFERROR(-PMT(Calculadora!$C$7/12,Calculadora!$C$8,Calculadora!$C$6),0))</f>
        <v/>
      </c>
      <c r="E329" s="49">
        <f>IF(C329&lt;=0.01,0,ROUND(C329*Calculadora!$C$7/12,2))</f>
        <v/>
      </c>
      <c r="F329" s="48">
        <f>IF(C329&lt;=0.01,0,D329-E329)</f>
        <v/>
      </c>
      <c r="G329" s="48">
        <f>IF(C329&lt;=0.01,0,MAX(ROUND(C329-F329,2),0))</f>
        <v/>
      </c>
      <c r="H329" s="50">
        <f>IFERROR(IF(Calculadora!$C$6&gt;0,1-(G329/Calculadora!$C$6),0),0)</f>
        <v/>
      </c>
    </row>
    <row r="330" ht="18" customHeight="1">
      <c r="A330" s="46" t="n">
        <v>326</v>
      </c>
      <c r="B330" s="47">
        <f>IFERROR(IF(C330&lt;=0.01,"",EDATE(B329,1)),"")</f>
        <v/>
      </c>
      <c r="C330" s="48">
        <f>IF(G329&lt;=0.01,0,G329)</f>
        <v/>
      </c>
      <c r="D330" s="48">
        <f>IF(C330&lt;=0.01,0,IFERROR(-PMT(Calculadora!$C$7/12,Calculadora!$C$8,Calculadora!$C$6),0))</f>
        <v/>
      </c>
      <c r="E330" s="49">
        <f>IF(C330&lt;=0.01,0,ROUND(C330*Calculadora!$C$7/12,2))</f>
        <v/>
      </c>
      <c r="F330" s="48">
        <f>IF(C330&lt;=0.01,0,D330-E330)</f>
        <v/>
      </c>
      <c r="G330" s="48">
        <f>IF(C330&lt;=0.01,0,MAX(ROUND(C330-F330,2),0))</f>
        <v/>
      </c>
      <c r="H330" s="50">
        <f>IFERROR(IF(Calculadora!$C$6&gt;0,1-(G330/Calculadora!$C$6),0),0)</f>
        <v/>
      </c>
    </row>
    <row r="331" ht="18" customHeight="1">
      <c r="A331" s="46" t="n">
        <v>327</v>
      </c>
      <c r="B331" s="47">
        <f>IFERROR(IF(C331&lt;=0.01,"",EDATE(B330,1)),"")</f>
        <v/>
      </c>
      <c r="C331" s="48">
        <f>IF(G330&lt;=0.01,0,G330)</f>
        <v/>
      </c>
      <c r="D331" s="48">
        <f>IF(C331&lt;=0.01,0,IFERROR(-PMT(Calculadora!$C$7/12,Calculadora!$C$8,Calculadora!$C$6),0))</f>
        <v/>
      </c>
      <c r="E331" s="49">
        <f>IF(C331&lt;=0.01,0,ROUND(C331*Calculadora!$C$7/12,2))</f>
        <v/>
      </c>
      <c r="F331" s="48">
        <f>IF(C331&lt;=0.01,0,D331-E331)</f>
        <v/>
      </c>
      <c r="G331" s="48">
        <f>IF(C331&lt;=0.01,0,MAX(ROUND(C331-F331,2),0))</f>
        <v/>
      </c>
      <c r="H331" s="50">
        <f>IFERROR(IF(Calculadora!$C$6&gt;0,1-(G331/Calculadora!$C$6),0),0)</f>
        <v/>
      </c>
    </row>
    <row r="332" ht="18" customHeight="1">
      <c r="A332" s="46" t="n">
        <v>328</v>
      </c>
      <c r="B332" s="47">
        <f>IFERROR(IF(C332&lt;=0.01,"",EDATE(B331,1)),"")</f>
        <v/>
      </c>
      <c r="C332" s="48">
        <f>IF(G331&lt;=0.01,0,G331)</f>
        <v/>
      </c>
      <c r="D332" s="48">
        <f>IF(C332&lt;=0.01,0,IFERROR(-PMT(Calculadora!$C$7/12,Calculadora!$C$8,Calculadora!$C$6),0))</f>
        <v/>
      </c>
      <c r="E332" s="49">
        <f>IF(C332&lt;=0.01,0,ROUND(C332*Calculadora!$C$7/12,2))</f>
        <v/>
      </c>
      <c r="F332" s="48">
        <f>IF(C332&lt;=0.01,0,D332-E332)</f>
        <v/>
      </c>
      <c r="G332" s="48">
        <f>IF(C332&lt;=0.01,0,MAX(ROUND(C332-F332,2),0))</f>
        <v/>
      </c>
      <c r="H332" s="50">
        <f>IFERROR(IF(Calculadora!$C$6&gt;0,1-(G332/Calculadora!$C$6),0),0)</f>
        <v/>
      </c>
    </row>
    <row r="333" ht="18" customHeight="1">
      <c r="A333" s="46" t="n">
        <v>329</v>
      </c>
      <c r="B333" s="47">
        <f>IFERROR(IF(C333&lt;=0.01,"",EDATE(B332,1)),"")</f>
        <v/>
      </c>
      <c r="C333" s="48">
        <f>IF(G332&lt;=0.01,0,G332)</f>
        <v/>
      </c>
      <c r="D333" s="48">
        <f>IF(C333&lt;=0.01,0,IFERROR(-PMT(Calculadora!$C$7/12,Calculadora!$C$8,Calculadora!$C$6),0))</f>
        <v/>
      </c>
      <c r="E333" s="49">
        <f>IF(C333&lt;=0.01,0,ROUND(C333*Calculadora!$C$7/12,2))</f>
        <v/>
      </c>
      <c r="F333" s="48">
        <f>IF(C333&lt;=0.01,0,D333-E333)</f>
        <v/>
      </c>
      <c r="G333" s="48">
        <f>IF(C333&lt;=0.01,0,MAX(ROUND(C333-F333,2),0))</f>
        <v/>
      </c>
      <c r="H333" s="50">
        <f>IFERROR(IF(Calculadora!$C$6&gt;0,1-(G333/Calculadora!$C$6),0),0)</f>
        <v/>
      </c>
    </row>
    <row r="334" ht="18" customHeight="1">
      <c r="A334" s="46" t="n">
        <v>330</v>
      </c>
      <c r="B334" s="47">
        <f>IFERROR(IF(C334&lt;=0.01,"",EDATE(B333,1)),"")</f>
        <v/>
      </c>
      <c r="C334" s="48">
        <f>IF(G333&lt;=0.01,0,G333)</f>
        <v/>
      </c>
      <c r="D334" s="48">
        <f>IF(C334&lt;=0.01,0,IFERROR(-PMT(Calculadora!$C$7/12,Calculadora!$C$8,Calculadora!$C$6),0))</f>
        <v/>
      </c>
      <c r="E334" s="49">
        <f>IF(C334&lt;=0.01,0,ROUND(C334*Calculadora!$C$7/12,2))</f>
        <v/>
      </c>
      <c r="F334" s="48">
        <f>IF(C334&lt;=0.01,0,D334-E334)</f>
        <v/>
      </c>
      <c r="G334" s="48">
        <f>IF(C334&lt;=0.01,0,MAX(ROUND(C334-F334,2),0))</f>
        <v/>
      </c>
      <c r="H334" s="50">
        <f>IFERROR(IF(Calculadora!$C$6&gt;0,1-(G334/Calculadora!$C$6),0),0)</f>
        <v/>
      </c>
    </row>
    <row r="335" ht="18" customHeight="1">
      <c r="A335" s="46" t="n">
        <v>331</v>
      </c>
      <c r="B335" s="47">
        <f>IFERROR(IF(C335&lt;=0.01,"",EDATE(B334,1)),"")</f>
        <v/>
      </c>
      <c r="C335" s="48">
        <f>IF(G334&lt;=0.01,0,G334)</f>
        <v/>
      </c>
      <c r="D335" s="48">
        <f>IF(C335&lt;=0.01,0,IFERROR(-PMT(Calculadora!$C$7/12,Calculadora!$C$8,Calculadora!$C$6),0))</f>
        <v/>
      </c>
      <c r="E335" s="49">
        <f>IF(C335&lt;=0.01,0,ROUND(C335*Calculadora!$C$7/12,2))</f>
        <v/>
      </c>
      <c r="F335" s="48">
        <f>IF(C335&lt;=0.01,0,D335-E335)</f>
        <v/>
      </c>
      <c r="G335" s="48">
        <f>IF(C335&lt;=0.01,0,MAX(ROUND(C335-F335,2),0))</f>
        <v/>
      </c>
      <c r="H335" s="50">
        <f>IFERROR(IF(Calculadora!$C$6&gt;0,1-(G335/Calculadora!$C$6),0),0)</f>
        <v/>
      </c>
    </row>
    <row r="336" ht="18" customHeight="1">
      <c r="A336" s="46" t="n">
        <v>332</v>
      </c>
      <c r="B336" s="47">
        <f>IFERROR(IF(C336&lt;=0.01,"",EDATE(B335,1)),"")</f>
        <v/>
      </c>
      <c r="C336" s="48">
        <f>IF(G335&lt;=0.01,0,G335)</f>
        <v/>
      </c>
      <c r="D336" s="48">
        <f>IF(C336&lt;=0.01,0,IFERROR(-PMT(Calculadora!$C$7/12,Calculadora!$C$8,Calculadora!$C$6),0))</f>
        <v/>
      </c>
      <c r="E336" s="49">
        <f>IF(C336&lt;=0.01,0,ROUND(C336*Calculadora!$C$7/12,2))</f>
        <v/>
      </c>
      <c r="F336" s="48">
        <f>IF(C336&lt;=0.01,0,D336-E336)</f>
        <v/>
      </c>
      <c r="G336" s="48">
        <f>IF(C336&lt;=0.01,0,MAX(ROUND(C336-F336,2),0))</f>
        <v/>
      </c>
      <c r="H336" s="50">
        <f>IFERROR(IF(Calculadora!$C$6&gt;0,1-(G336/Calculadora!$C$6),0),0)</f>
        <v/>
      </c>
    </row>
    <row r="337" ht="18" customHeight="1">
      <c r="A337" s="46" t="n">
        <v>333</v>
      </c>
      <c r="B337" s="47">
        <f>IFERROR(IF(C337&lt;=0.01,"",EDATE(B336,1)),"")</f>
        <v/>
      </c>
      <c r="C337" s="48">
        <f>IF(G336&lt;=0.01,0,G336)</f>
        <v/>
      </c>
      <c r="D337" s="48">
        <f>IF(C337&lt;=0.01,0,IFERROR(-PMT(Calculadora!$C$7/12,Calculadora!$C$8,Calculadora!$C$6),0))</f>
        <v/>
      </c>
      <c r="E337" s="49">
        <f>IF(C337&lt;=0.01,0,ROUND(C337*Calculadora!$C$7/12,2))</f>
        <v/>
      </c>
      <c r="F337" s="48">
        <f>IF(C337&lt;=0.01,0,D337-E337)</f>
        <v/>
      </c>
      <c r="G337" s="48">
        <f>IF(C337&lt;=0.01,0,MAX(ROUND(C337-F337,2),0))</f>
        <v/>
      </c>
      <c r="H337" s="50">
        <f>IFERROR(IF(Calculadora!$C$6&gt;0,1-(G337/Calculadora!$C$6),0),0)</f>
        <v/>
      </c>
    </row>
    <row r="338" ht="18" customHeight="1">
      <c r="A338" s="46" t="n">
        <v>334</v>
      </c>
      <c r="B338" s="47">
        <f>IFERROR(IF(C338&lt;=0.01,"",EDATE(B337,1)),"")</f>
        <v/>
      </c>
      <c r="C338" s="48">
        <f>IF(G337&lt;=0.01,0,G337)</f>
        <v/>
      </c>
      <c r="D338" s="48">
        <f>IF(C338&lt;=0.01,0,IFERROR(-PMT(Calculadora!$C$7/12,Calculadora!$C$8,Calculadora!$C$6),0))</f>
        <v/>
      </c>
      <c r="E338" s="49">
        <f>IF(C338&lt;=0.01,0,ROUND(C338*Calculadora!$C$7/12,2))</f>
        <v/>
      </c>
      <c r="F338" s="48">
        <f>IF(C338&lt;=0.01,0,D338-E338)</f>
        <v/>
      </c>
      <c r="G338" s="48">
        <f>IF(C338&lt;=0.01,0,MAX(ROUND(C338-F338,2),0))</f>
        <v/>
      </c>
      <c r="H338" s="50">
        <f>IFERROR(IF(Calculadora!$C$6&gt;0,1-(G338/Calculadora!$C$6),0),0)</f>
        <v/>
      </c>
    </row>
    <row r="339" ht="18" customHeight="1">
      <c r="A339" s="46" t="n">
        <v>335</v>
      </c>
      <c r="B339" s="47">
        <f>IFERROR(IF(C339&lt;=0.01,"",EDATE(B338,1)),"")</f>
        <v/>
      </c>
      <c r="C339" s="48">
        <f>IF(G338&lt;=0.01,0,G338)</f>
        <v/>
      </c>
      <c r="D339" s="48">
        <f>IF(C339&lt;=0.01,0,IFERROR(-PMT(Calculadora!$C$7/12,Calculadora!$C$8,Calculadora!$C$6),0))</f>
        <v/>
      </c>
      <c r="E339" s="49">
        <f>IF(C339&lt;=0.01,0,ROUND(C339*Calculadora!$C$7/12,2))</f>
        <v/>
      </c>
      <c r="F339" s="48">
        <f>IF(C339&lt;=0.01,0,D339-E339)</f>
        <v/>
      </c>
      <c r="G339" s="48">
        <f>IF(C339&lt;=0.01,0,MAX(ROUND(C339-F339,2),0))</f>
        <v/>
      </c>
      <c r="H339" s="50">
        <f>IFERROR(IF(Calculadora!$C$6&gt;0,1-(G339/Calculadora!$C$6),0),0)</f>
        <v/>
      </c>
    </row>
    <row r="340" ht="18" customHeight="1">
      <c r="A340" s="46" t="n">
        <v>336</v>
      </c>
      <c r="B340" s="47">
        <f>IFERROR(IF(C340&lt;=0.01,"",EDATE(B339,1)),"")</f>
        <v/>
      </c>
      <c r="C340" s="48">
        <f>IF(G339&lt;=0.01,0,G339)</f>
        <v/>
      </c>
      <c r="D340" s="48">
        <f>IF(C340&lt;=0.01,0,IFERROR(-PMT(Calculadora!$C$7/12,Calculadora!$C$8,Calculadora!$C$6),0))</f>
        <v/>
      </c>
      <c r="E340" s="49">
        <f>IF(C340&lt;=0.01,0,ROUND(C340*Calculadora!$C$7/12,2))</f>
        <v/>
      </c>
      <c r="F340" s="48">
        <f>IF(C340&lt;=0.01,0,D340-E340)</f>
        <v/>
      </c>
      <c r="G340" s="48">
        <f>IF(C340&lt;=0.01,0,MAX(ROUND(C340-F340,2),0))</f>
        <v/>
      </c>
      <c r="H340" s="50">
        <f>IFERROR(IF(Calculadora!$C$6&gt;0,1-(G340/Calculadora!$C$6),0),0)</f>
        <v/>
      </c>
    </row>
    <row r="341" ht="18" customHeight="1">
      <c r="A341" s="46" t="n">
        <v>337</v>
      </c>
      <c r="B341" s="47">
        <f>IFERROR(IF(C341&lt;=0.01,"",EDATE(B340,1)),"")</f>
        <v/>
      </c>
      <c r="C341" s="48">
        <f>IF(G340&lt;=0.01,0,G340)</f>
        <v/>
      </c>
      <c r="D341" s="48">
        <f>IF(C341&lt;=0.01,0,IFERROR(-PMT(Calculadora!$C$7/12,Calculadora!$C$8,Calculadora!$C$6),0))</f>
        <v/>
      </c>
      <c r="E341" s="49">
        <f>IF(C341&lt;=0.01,0,ROUND(C341*Calculadora!$C$7/12,2))</f>
        <v/>
      </c>
      <c r="F341" s="48">
        <f>IF(C341&lt;=0.01,0,D341-E341)</f>
        <v/>
      </c>
      <c r="G341" s="48">
        <f>IF(C341&lt;=0.01,0,MAX(ROUND(C341-F341,2),0))</f>
        <v/>
      </c>
      <c r="H341" s="50">
        <f>IFERROR(IF(Calculadora!$C$6&gt;0,1-(G341/Calculadora!$C$6),0),0)</f>
        <v/>
      </c>
    </row>
    <row r="342" ht="18" customHeight="1">
      <c r="A342" s="46" t="n">
        <v>338</v>
      </c>
      <c r="B342" s="47">
        <f>IFERROR(IF(C342&lt;=0.01,"",EDATE(B341,1)),"")</f>
        <v/>
      </c>
      <c r="C342" s="48">
        <f>IF(G341&lt;=0.01,0,G341)</f>
        <v/>
      </c>
      <c r="D342" s="48">
        <f>IF(C342&lt;=0.01,0,IFERROR(-PMT(Calculadora!$C$7/12,Calculadora!$C$8,Calculadora!$C$6),0))</f>
        <v/>
      </c>
      <c r="E342" s="49">
        <f>IF(C342&lt;=0.01,0,ROUND(C342*Calculadora!$C$7/12,2))</f>
        <v/>
      </c>
      <c r="F342" s="48">
        <f>IF(C342&lt;=0.01,0,D342-E342)</f>
        <v/>
      </c>
      <c r="G342" s="48">
        <f>IF(C342&lt;=0.01,0,MAX(ROUND(C342-F342,2),0))</f>
        <v/>
      </c>
      <c r="H342" s="50">
        <f>IFERROR(IF(Calculadora!$C$6&gt;0,1-(G342/Calculadora!$C$6),0),0)</f>
        <v/>
      </c>
    </row>
    <row r="343" ht="18" customHeight="1">
      <c r="A343" s="46" t="n">
        <v>339</v>
      </c>
      <c r="B343" s="47">
        <f>IFERROR(IF(C343&lt;=0.01,"",EDATE(B342,1)),"")</f>
        <v/>
      </c>
      <c r="C343" s="48">
        <f>IF(G342&lt;=0.01,0,G342)</f>
        <v/>
      </c>
      <c r="D343" s="48">
        <f>IF(C343&lt;=0.01,0,IFERROR(-PMT(Calculadora!$C$7/12,Calculadora!$C$8,Calculadora!$C$6),0))</f>
        <v/>
      </c>
      <c r="E343" s="49">
        <f>IF(C343&lt;=0.01,0,ROUND(C343*Calculadora!$C$7/12,2))</f>
        <v/>
      </c>
      <c r="F343" s="48">
        <f>IF(C343&lt;=0.01,0,D343-E343)</f>
        <v/>
      </c>
      <c r="G343" s="48">
        <f>IF(C343&lt;=0.01,0,MAX(ROUND(C343-F343,2),0))</f>
        <v/>
      </c>
      <c r="H343" s="50">
        <f>IFERROR(IF(Calculadora!$C$6&gt;0,1-(G343/Calculadora!$C$6),0),0)</f>
        <v/>
      </c>
    </row>
    <row r="344" ht="18" customHeight="1">
      <c r="A344" s="46" t="n">
        <v>340</v>
      </c>
      <c r="B344" s="47">
        <f>IFERROR(IF(C344&lt;=0.01,"",EDATE(B343,1)),"")</f>
        <v/>
      </c>
      <c r="C344" s="48">
        <f>IF(G343&lt;=0.01,0,G343)</f>
        <v/>
      </c>
      <c r="D344" s="48">
        <f>IF(C344&lt;=0.01,0,IFERROR(-PMT(Calculadora!$C$7/12,Calculadora!$C$8,Calculadora!$C$6),0))</f>
        <v/>
      </c>
      <c r="E344" s="49">
        <f>IF(C344&lt;=0.01,0,ROUND(C344*Calculadora!$C$7/12,2))</f>
        <v/>
      </c>
      <c r="F344" s="48">
        <f>IF(C344&lt;=0.01,0,D344-E344)</f>
        <v/>
      </c>
      <c r="G344" s="48">
        <f>IF(C344&lt;=0.01,0,MAX(ROUND(C344-F344,2),0))</f>
        <v/>
      </c>
      <c r="H344" s="50">
        <f>IFERROR(IF(Calculadora!$C$6&gt;0,1-(G344/Calculadora!$C$6),0),0)</f>
        <v/>
      </c>
    </row>
    <row r="345" ht="18" customHeight="1">
      <c r="A345" s="46" t="n">
        <v>341</v>
      </c>
      <c r="B345" s="47">
        <f>IFERROR(IF(C345&lt;=0.01,"",EDATE(B344,1)),"")</f>
        <v/>
      </c>
      <c r="C345" s="48">
        <f>IF(G344&lt;=0.01,0,G344)</f>
        <v/>
      </c>
      <c r="D345" s="48">
        <f>IF(C345&lt;=0.01,0,IFERROR(-PMT(Calculadora!$C$7/12,Calculadora!$C$8,Calculadora!$C$6),0))</f>
        <v/>
      </c>
      <c r="E345" s="49">
        <f>IF(C345&lt;=0.01,0,ROUND(C345*Calculadora!$C$7/12,2))</f>
        <v/>
      </c>
      <c r="F345" s="48">
        <f>IF(C345&lt;=0.01,0,D345-E345)</f>
        <v/>
      </c>
      <c r="G345" s="48">
        <f>IF(C345&lt;=0.01,0,MAX(ROUND(C345-F345,2),0))</f>
        <v/>
      </c>
      <c r="H345" s="50">
        <f>IFERROR(IF(Calculadora!$C$6&gt;0,1-(G345/Calculadora!$C$6),0),0)</f>
        <v/>
      </c>
    </row>
    <row r="346" ht="18" customHeight="1">
      <c r="A346" s="46" t="n">
        <v>342</v>
      </c>
      <c r="B346" s="47">
        <f>IFERROR(IF(C346&lt;=0.01,"",EDATE(B345,1)),"")</f>
        <v/>
      </c>
      <c r="C346" s="48">
        <f>IF(G345&lt;=0.01,0,G345)</f>
        <v/>
      </c>
      <c r="D346" s="48">
        <f>IF(C346&lt;=0.01,0,IFERROR(-PMT(Calculadora!$C$7/12,Calculadora!$C$8,Calculadora!$C$6),0))</f>
        <v/>
      </c>
      <c r="E346" s="49">
        <f>IF(C346&lt;=0.01,0,ROUND(C346*Calculadora!$C$7/12,2))</f>
        <v/>
      </c>
      <c r="F346" s="48">
        <f>IF(C346&lt;=0.01,0,D346-E346)</f>
        <v/>
      </c>
      <c r="G346" s="48">
        <f>IF(C346&lt;=0.01,0,MAX(ROUND(C346-F346,2),0))</f>
        <v/>
      </c>
      <c r="H346" s="50">
        <f>IFERROR(IF(Calculadora!$C$6&gt;0,1-(G346/Calculadora!$C$6),0),0)</f>
        <v/>
      </c>
    </row>
    <row r="347" ht="18" customHeight="1">
      <c r="A347" s="46" t="n">
        <v>343</v>
      </c>
      <c r="B347" s="47">
        <f>IFERROR(IF(C347&lt;=0.01,"",EDATE(B346,1)),"")</f>
        <v/>
      </c>
      <c r="C347" s="48">
        <f>IF(G346&lt;=0.01,0,G346)</f>
        <v/>
      </c>
      <c r="D347" s="48">
        <f>IF(C347&lt;=0.01,0,IFERROR(-PMT(Calculadora!$C$7/12,Calculadora!$C$8,Calculadora!$C$6),0))</f>
        <v/>
      </c>
      <c r="E347" s="49">
        <f>IF(C347&lt;=0.01,0,ROUND(C347*Calculadora!$C$7/12,2))</f>
        <v/>
      </c>
      <c r="F347" s="48">
        <f>IF(C347&lt;=0.01,0,D347-E347)</f>
        <v/>
      </c>
      <c r="G347" s="48">
        <f>IF(C347&lt;=0.01,0,MAX(ROUND(C347-F347,2),0))</f>
        <v/>
      </c>
      <c r="H347" s="50">
        <f>IFERROR(IF(Calculadora!$C$6&gt;0,1-(G347/Calculadora!$C$6),0),0)</f>
        <v/>
      </c>
    </row>
    <row r="348" ht="18" customHeight="1">
      <c r="A348" s="46" t="n">
        <v>344</v>
      </c>
      <c r="B348" s="47">
        <f>IFERROR(IF(C348&lt;=0.01,"",EDATE(B347,1)),"")</f>
        <v/>
      </c>
      <c r="C348" s="48">
        <f>IF(G347&lt;=0.01,0,G347)</f>
        <v/>
      </c>
      <c r="D348" s="48">
        <f>IF(C348&lt;=0.01,0,IFERROR(-PMT(Calculadora!$C$7/12,Calculadora!$C$8,Calculadora!$C$6),0))</f>
        <v/>
      </c>
      <c r="E348" s="49">
        <f>IF(C348&lt;=0.01,0,ROUND(C348*Calculadora!$C$7/12,2))</f>
        <v/>
      </c>
      <c r="F348" s="48">
        <f>IF(C348&lt;=0.01,0,D348-E348)</f>
        <v/>
      </c>
      <c r="G348" s="48">
        <f>IF(C348&lt;=0.01,0,MAX(ROUND(C348-F348,2),0))</f>
        <v/>
      </c>
      <c r="H348" s="50">
        <f>IFERROR(IF(Calculadora!$C$6&gt;0,1-(G348/Calculadora!$C$6),0),0)</f>
        <v/>
      </c>
    </row>
    <row r="349" ht="18" customHeight="1">
      <c r="A349" s="46" t="n">
        <v>345</v>
      </c>
      <c r="B349" s="47">
        <f>IFERROR(IF(C349&lt;=0.01,"",EDATE(B348,1)),"")</f>
        <v/>
      </c>
      <c r="C349" s="48">
        <f>IF(G348&lt;=0.01,0,G348)</f>
        <v/>
      </c>
      <c r="D349" s="48">
        <f>IF(C349&lt;=0.01,0,IFERROR(-PMT(Calculadora!$C$7/12,Calculadora!$C$8,Calculadora!$C$6),0))</f>
        <v/>
      </c>
      <c r="E349" s="49">
        <f>IF(C349&lt;=0.01,0,ROUND(C349*Calculadora!$C$7/12,2))</f>
        <v/>
      </c>
      <c r="F349" s="48">
        <f>IF(C349&lt;=0.01,0,D349-E349)</f>
        <v/>
      </c>
      <c r="G349" s="48">
        <f>IF(C349&lt;=0.01,0,MAX(ROUND(C349-F349,2),0))</f>
        <v/>
      </c>
      <c r="H349" s="50">
        <f>IFERROR(IF(Calculadora!$C$6&gt;0,1-(G349/Calculadora!$C$6),0),0)</f>
        <v/>
      </c>
    </row>
    <row r="350" ht="18" customHeight="1">
      <c r="A350" s="46" t="n">
        <v>346</v>
      </c>
      <c r="B350" s="47">
        <f>IFERROR(IF(C350&lt;=0.01,"",EDATE(B349,1)),"")</f>
        <v/>
      </c>
      <c r="C350" s="48">
        <f>IF(G349&lt;=0.01,0,G349)</f>
        <v/>
      </c>
      <c r="D350" s="48">
        <f>IF(C350&lt;=0.01,0,IFERROR(-PMT(Calculadora!$C$7/12,Calculadora!$C$8,Calculadora!$C$6),0))</f>
        <v/>
      </c>
      <c r="E350" s="49">
        <f>IF(C350&lt;=0.01,0,ROUND(C350*Calculadora!$C$7/12,2))</f>
        <v/>
      </c>
      <c r="F350" s="48">
        <f>IF(C350&lt;=0.01,0,D350-E350)</f>
        <v/>
      </c>
      <c r="G350" s="48">
        <f>IF(C350&lt;=0.01,0,MAX(ROUND(C350-F350,2),0))</f>
        <v/>
      </c>
      <c r="H350" s="50">
        <f>IFERROR(IF(Calculadora!$C$6&gt;0,1-(G350/Calculadora!$C$6),0),0)</f>
        <v/>
      </c>
    </row>
    <row r="351" ht="18" customHeight="1">
      <c r="A351" s="46" t="n">
        <v>347</v>
      </c>
      <c r="B351" s="47">
        <f>IFERROR(IF(C351&lt;=0.01,"",EDATE(B350,1)),"")</f>
        <v/>
      </c>
      <c r="C351" s="48">
        <f>IF(G350&lt;=0.01,0,G350)</f>
        <v/>
      </c>
      <c r="D351" s="48">
        <f>IF(C351&lt;=0.01,0,IFERROR(-PMT(Calculadora!$C$7/12,Calculadora!$C$8,Calculadora!$C$6),0))</f>
        <v/>
      </c>
      <c r="E351" s="49">
        <f>IF(C351&lt;=0.01,0,ROUND(C351*Calculadora!$C$7/12,2))</f>
        <v/>
      </c>
      <c r="F351" s="48">
        <f>IF(C351&lt;=0.01,0,D351-E351)</f>
        <v/>
      </c>
      <c r="G351" s="48">
        <f>IF(C351&lt;=0.01,0,MAX(ROUND(C351-F351,2),0))</f>
        <v/>
      </c>
      <c r="H351" s="50">
        <f>IFERROR(IF(Calculadora!$C$6&gt;0,1-(G351/Calculadora!$C$6),0),0)</f>
        <v/>
      </c>
    </row>
    <row r="352" ht="18" customHeight="1">
      <c r="A352" s="46" t="n">
        <v>348</v>
      </c>
      <c r="B352" s="47">
        <f>IFERROR(IF(C352&lt;=0.01,"",EDATE(B351,1)),"")</f>
        <v/>
      </c>
      <c r="C352" s="48">
        <f>IF(G351&lt;=0.01,0,G351)</f>
        <v/>
      </c>
      <c r="D352" s="48">
        <f>IF(C352&lt;=0.01,0,IFERROR(-PMT(Calculadora!$C$7/12,Calculadora!$C$8,Calculadora!$C$6),0))</f>
        <v/>
      </c>
      <c r="E352" s="49">
        <f>IF(C352&lt;=0.01,0,ROUND(C352*Calculadora!$C$7/12,2))</f>
        <v/>
      </c>
      <c r="F352" s="48">
        <f>IF(C352&lt;=0.01,0,D352-E352)</f>
        <v/>
      </c>
      <c r="G352" s="48">
        <f>IF(C352&lt;=0.01,0,MAX(ROUND(C352-F352,2),0))</f>
        <v/>
      </c>
      <c r="H352" s="50">
        <f>IFERROR(IF(Calculadora!$C$6&gt;0,1-(G352/Calculadora!$C$6),0),0)</f>
        <v/>
      </c>
    </row>
    <row r="353" ht="18" customHeight="1">
      <c r="A353" s="46" t="n">
        <v>349</v>
      </c>
      <c r="B353" s="47">
        <f>IFERROR(IF(C353&lt;=0.01,"",EDATE(B352,1)),"")</f>
        <v/>
      </c>
      <c r="C353" s="48">
        <f>IF(G352&lt;=0.01,0,G352)</f>
        <v/>
      </c>
      <c r="D353" s="48">
        <f>IF(C353&lt;=0.01,0,IFERROR(-PMT(Calculadora!$C$7/12,Calculadora!$C$8,Calculadora!$C$6),0))</f>
        <v/>
      </c>
      <c r="E353" s="49">
        <f>IF(C353&lt;=0.01,0,ROUND(C353*Calculadora!$C$7/12,2))</f>
        <v/>
      </c>
      <c r="F353" s="48">
        <f>IF(C353&lt;=0.01,0,D353-E353)</f>
        <v/>
      </c>
      <c r="G353" s="48">
        <f>IF(C353&lt;=0.01,0,MAX(ROUND(C353-F353,2),0))</f>
        <v/>
      </c>
      <c r="H353" s="50">
        <f>IFERROR(IF(Calculadora!$C$6&gt;0,1-(G353/Calculadora!$C$6),0),0)</f>
        <v/>
      </c>
    </row>
    <row r="354" ht="18" customHeight="1">
      <c r="A354" s="46" t="n">
        <v>350</v>
      </c>
      <c r="B354" s="47">
        <f>IFERROR(IF(C354&lt;=0.01,"",EDATE(B353,1)),"")</f>
        <v/>
      </c>
      <c r="C354" s="48">
        <f>IF(G353&lt;=0.01,0,G353)</f>
        <v/>
      </c>
      <c r="D354" s="48">
        <f>IF(C354&lt;=0.01,0,IFERROR(-PMT(Calculadora!$C$7/12,Calculadora!$C$8,Calculadora!$C$6),0))</f>
        <v/>
      </c>
      <c r="E354" s="49">
        <f>IF(C354&lt;=0.01,0,ROUND(C354*Calculadora!$C$7/12,2))</f>
        <v/>
      </c>
      <c r="F354" s="48">
        <f>IF(C354&lt;=0.01,0,D354-E354)</f>
        <v/>
      </c>
      <c r="G354" s="48">
        <f>IF(C354&lt;=0.01,0,MAX(ROUND(C354-F354,2),0))</f>
        <v/>
      </c>
      <c r="H354" s="50">
        <f>IFERROR(IF(Calculadora!$C$6&gt;0,1-(G354/Calculadora!$C$6),0),0)</f>
        <v/>
      </c>
    </row>
    <row r="355" ht="18" customHeight="1">
      <c r="A355" s="46" t="n">
        <v>351</v>
      </c>
      <c r="B355" s="47">
        <f>IFERROR(IF(C355&lt;=0.01,"",EDATE(B354,1)),"")</f>
        <v/>
      </c>
      <c r="C355" s="48">
        <f>IF(G354&lt;=0.01,0,G354)</f>
        <v/>
      </c>
      <c r="D355" s="48">
        <f>IF(C355&lt;=0.01,0,IFERROR(-PMT(Calculadora!$C$7/12,Calculadora!$C$8,Calculadora!$C$6),0))</f>
        <v/>
      </c>
      <c r="E355" s="49">
        <f>IF(C355&lt;=0.01,0,ROUND(C355*Calculadora!$C$7/12,2))</f>
        <v/>
      </c>
      <c r="F355" s="48">
        <f>IF(C355&lt;=0.01,0,D355-E355)</f>
        <v/>
      </c>
      <c r="G355" s="48">
        <f>IF(C355&lt;=0.01,0,MAX(ROUND(C355-F355,2),0))</f>
        <v/>
      </c>
      <c r="H355" s="50">
        <f>IFERROR(IF(Calculadora!$C$6&gt;0,1-(G355/Calculadora!$C$6),0),0)</f>
        <v/>
      </c>
    </row>
    <row r="356" ht="18" customHeight="1">
      <c r="A356" s="46" t="n">
        <v>352</v>
      </c>
      <c r="B356" s="47">
        <f>IFERROR(IF(C356&lt;=0.01,"",EDATE(B355,1)),"")</f>
        <v/>
      </c>
      <c r="C356" s="48">
        <f>IF(G355&lt;=0.01,0,G355)</f>
        <v/>
      </c>
      <c r="D356" s="48">
        <f>IF(C356&lt;=0.01,0,IFERROR(-PMT(Calculadora!$C$7/12,Calculadora!$C$8,Calculadora!$C$6),0))</f>
        <v/>
      </c>
      <c r="E356" s="49">
        <f>IF(C356&lt;=0.01,0,ROUND(C356*Calculadora!$C$7/12,2))</f>
        <v/>
      </c>
      <c r="F356" s="48">
        <f>IF(C356&lt;=0.01,0,D356-E356)</f>
        <v/>
      </c>
      <c r="G356" s="48">
        <f>IF(C356&lt;=0.01,0,MAX(ROUND(C356-F356,2),0))</f>
        <v/>
      </c>
      <c r="H356" s="50">
        <f>IFERROR(IF(Calculadora!$C$6&gt;0,1-(G356/Calculadora!$C$6),0),0)</f>
        <v/>
      </c>
    </row>
    <row r="357" ht="18" customHeight="1">
      <c r="A357" s="46" t="n">
        <v>353</v>
      </c>
      <c r="B357" s="47">
        <f>IFERROR(IF(C357&lt;=0.01,"",EDATE(B356,1)),"")</f>
        <v/>
      </c>
      <c r="C357" s="48">
        <f>IF(G356&lt;=0.01,0,G356)</f>
        <v/>
      </c>
      <c r="D357" s="48">
        <f>IF(C357&lt;=0.01,0,IFERROR(-PMT(Calculadora!$C$7/12,Calculadora!$C$8,Calculadora!$C$6),0))</f>
        <v/>
      </c>
      <c r="E357" s="49">
        <f>IF(C357&lt;=0.01,0,ROUND(C357*Calculadora!$C$7/12,2))</f>
        <v/>
      </c>
      <c r="F357" s="48">
        <f>IF(C357&lt;=0.01,0,D357-E357)</f>
        <v/>
      </c>
      <c r="G357" s="48">
        <f>IF(C357&lt;=0.01,0,MAX(ROUND(C357-F357,2),0))</f>
        <v/>
      </c>
      <c r="H357" s="50">
        <f>IFERROR(IF(Calculadora!$C$6&gt;0,1-(G357/Calculadora!$C$6),0),0)</f>
        <v/>
      </c>
    </row>
    <row r="358" ht="18" customHeight="1">
      <c r="A358" s="46" t="n">
        <v>354</v>
      </c>
      <c r="B358" s="47">
        <f>IFERROR(IF(C358&lt;=0.01,"",EDATE(B357,1)),"")</f>
        <v/>
      </c>
      <c r="C358" s="48">
        <f>IF(G357&lt;=0.01,0,G357)</f>
        <v/>
      </c>
      <c r="D358" s="48">
        <f>IF(C358&lt;=0.01,0,IFERROR(-PMT(Calculadora!$C$7/12,Calculadora!$C$8,Calculadora!$C$6),0))</f>
        <v/>
      </c>
      <c r="E358" s="49">
        <f>IF(C358&lt;=0.01,0,ROUND(C358*Calculadora!$C$7/12,2))</f>
        <v/>
      </c>
      <c r="F358" s="48">
        <f>IF(C358&lt;=0.01,0,D358-E358)</f>
        <v/>
      </c>
      <c r="G358" s="48">
        <f>IF(C358&lt;=0.01,0,MAX(ROUND(C358-F358,2),0))</f>
        <v/>
      </c>
      <c r="H358" s="50">
        <f>IFERROR(IF(Calculadora!$C$6&gt;0,1-(G358/Calculadora!$C$6),0),0)</f>
        <v/>
      </c>
    </row>
    <row r="359" ht="18" customHeight="1">
      <c r="A359" s="46" t="n">
        <v>355</v>
      </c>
      <c r="B359" s="47">
        <f>IFERROR(IF(C359&lt;=0.01,"",EDATE(B358,1)),"")</f>
        <v/>
      </c>
      <c r="C359" s="48">
        <f>IF(G358&lt;=0.01,0,G358)</f>
        <v/>
      </c>
      <c r="D359" s="48">
        <f>IF(C359&lt;=0.01,0,IFERROR(-PMT(Calculadora!$C$7/12,Calculadora!$C$8,Calculadora!$C$6),0))</f>
        <v/>
      </c>
      <c r="E359" s="49">
        <f>IF(C359&lt;=0.01,0,ROUND(C359*Calculadora!$C$7/12,2))</f>
        <v/>
      </c>
      <c r="F359" s="48">
        <f>IF(C359&lt;=0.01,0,D359-E359)</f>
        <v/>
      </c>
      <c r="G359" s="48">
        <f>IF(C359&lt;=0.01,0,MAX(ROUND(C359-F359,2),0))</f>
        <v/>
      </c>
      <c r="H359" s="50">
        <f>IFERROR(IF(Calculadora!$C$6&gt;0,1-(G359/Calculadora!$C$6),0),0)</f>
        <v/>
      </c>
    </row>
    <row r="360" ht="18" customHeight="1">
      <c r="A360" s="46" t="n">
        <v>356</v>
      </c>
      <c r="B360" s="47">
        <f>IFERROR(IF(C360&lt;=0.01,"",EDATE(B359,1)),"")</f>
        <v/>
      </c>
      <c r="C360" s="48">
        <f>IF(G359&lt;=0.01,0,G359)</f>
        <v/>
      </c>
      <c r="D360" s="48">
        <f>IF(C360&lt;=0.01,0,IFERROR(-PMT(Calculadora!$C$7/12,Calculadora!$C$8,Calculadora!$C$6),0))</f>
        <v/>
      </c>
      <c r="E360" s="49">
        <f>IF(C360&lt;=0.01,0,ROUND(C360*Calculadora!$C$7/12,2))</f>
        <v/>
      </c>
      <c r="F360" s="48">
        <f>IF(C360&lt;=0.01,0,D360-E360)</f>
        <v/>
      </c>
      <c r="G360" s="48">
        <f>IF(C360&lt;=0.01,0,MAX(ROUND(C360-F360,2),0))</f>
        <v/>
      </c>
      <c r="H360" s="50">
        <f>IFERROR(IF(Calculadora!$C$6&gt;0,1-(G360/Calculadora!$C$6),0),0)</f>
        <v/>
      </c>
    </row>
    <row r="361" ht="18" customHeight="1">
      <c r="A361" s="46" t="n">
        <v>357</v>
      </c>
      <c r="B361" s="47">
        <f>IFERROR(IF(C361&lt;=0.01,"",EDATE(B360,1)),"")</f>
        <v/>
      </c>
      <c r="C361" s="48">
        <f>IF(G360&lt;=0.01,0,G360)</f>
        <v/>
      </c>
      <c r="D361" s="48">
        <f>IF(C361&lt;=0.01,0,IFERROR(-PMT(Calculadora!$C$7/12,Calculadora!$C$8,Calculadora!$C$6),0))</f>
        <v/>
      </c>
      <c r="E361" s="49">
        <f>IF(C361&lt;=0.01,0,ROUND(C361*Calculadora!$C$7/12,2))</f>
        <v/>
      </c>
      <c r="F361" s="48">
        <f>IF(C361&lt;=0.01,0,D361-E361)</f>
        <v/>
      </c>
      <c r="G361" s="48">
        <f>IF(C361&lt;=0.01,0,MAX(ROUND(C361-F361,2),0))</f>
        <v/>
      </c>
      <c r="H361" s="50">
        <f>IFERROR(IF(Calculadora!$C$6&gt;0,1-(G361/Calculadora!$C$6),0),0)</f>
        <v/>
      </c>
    </row>
    <row r="362" ht="18" customHeight="1">
      <c r="A362" s="46" t="n">
        <v>358</v>
      </c>
      <c r="B362" s="47">
        <f>IFERROR(IF(C362&lt;=0.01,"",EDATE(B361,1)),"")</f>
        <v/>
      </c>
      <c r="C362" s="48">
        <f>IF(G361&lt;=0.01,0,G361)</f>
        <v/>
      </c>
      <c r="D362" s="48">
        <f>IF(C362&lt;=0.01,0,IFERROR(-PMT(Calculadora!$C$7/12,Calculadora!$C$8,Calculadora!$C$6),0))</f>
        <v/>
      </c>
      <c r="E362" s="49">
        <f>IF(C362&lt;=0.01,0,ROUND(C362*Calculadora!$C$7/12,2))</f>
        <v/>
      </c>
      <c r="F362" s="48">
        <f>IF(C362&lt;=0.01,0,D362-E362)</f>
        <v/>
      </c>
      <c r="G362" s="48">
        <f>IF(C362&lt;=0.01,0,MAX(ROUND(C362-F362,2),0))</f>
        <v/>
      </c>
      <c r="H362" s="50">
        <f>IFERROR(IF(Calculadora!$C$6&gt;0,1-(G362/Calculadora!$C$6),0),0)</f>
        <v/>
      </c>
    </row>
    <row r="363" ht="18" customHeight="1">
      <c r="A363" s="46" t="n">
        <v>359</v>
      </c>
      <c r="B363" s="47">
        <f>IFERROR(IF(C363&lt;=0.01,"",EDATE(B362,1)),"")</f>
        <v/>
      </c>
      <c r="C363" s="48">
        <f>IF(G362&lt;=0.01,0,G362)</f>
        <v/>
      </c>
      <c r="D363" s="48">
        <f>IF(C363&lt;=0.01,0,IFERROR(-PMT(Calculadora!$C$7/12,Calculadora!$C$8,Calculadora!$C$6),0))</f>
        <v/>
      </c>
      <c r="E363" s="49">
        <f>IF(C363&lt;=0.01,0,ROUND(C363*Calculadora!$C$7/12,2))</f>
        <v/>
      </c>
      <c r="F363" s="48">
        <f>IF(C363&lt;=0.01,0,D363-E363)</f>
        <v/>
      </c>
      <c r="G363" s="48">
        <f>IF(C363&lt;=0.01,0,MAX(ROUND(C363-F363,2),0))</f>
        <v/>
      </c>
      <c r="H363" s="50">
        <f>IFERROR(IF(Calculadora!$C$6&gt;0,1-(G363/Calculadora!$C$6),0),0)</f>
        <v/>
      </c>
    </row>
    <row r="364" ht="18" customHeight="1">
      <c r="A364" s="46" t="n">
        <v>360</v>
      </c>
      <c r="B364" s="47">
        <f>IFERROR(IF(C364&lt;=0.01,"",EDATE(B363,1)),"")</f>
        <v/>
      </c>
      <c r="C364" s="48">
        <f>IF(G363&lt;=0.01,0,G363)</f>
        <v/>
      </c>
      <c r="D364" s="48">
        <f>IF(C364&lt;=0.01,0,IFERROR(-PMT(Calculadora!$C$7/12,Calculadora!$C$8,Calculadora!$C$6),0))</f>
        <v/>
      </c>
      <c r="E364" s="49">
        <f>IF(C364&lt;=0.01,0,ROUND(C364*Calculadora!$C$7/12,2))</f>
        <v/>
      </c>
      <c r="F364" s="48">
        <f>IF(C364&lt;=0.01,0,D364-E364)</f>
        <v/>
      </c>
      <c r="G364" s="48">
        <f>IF(C364&lt;=0.01,0,MAX(ROUND(C364-F364,2),0))</f>
        <v/>
      </c>
      <c r="H364" s="50">
        <f>IFERROR(IF(Calculadora!$C$6&gt;0,1-(G364/Calculadora!$C$6),0),0)</f>
        <v/>
      </c>
    </row>
    <row r="365" ht="26" customHeight="1">
      <c r="A365" s="51" t="inlineStr">
        <is>
          <t>TOTAL</t>
        </is>
      </c>
      <c r="B365" s="15" t="n"/>
      <c r="C365" s="15" t="n"/>
      <c r="D365" s="52">
        <f>SUM(D5:D364)</f>
        <v/>
      </c>
      <c r="E365" s="52">
        <f>SUM(E5:E364)</f>
        <v/>
      </c>
      <c r="F365" s="52">
        <f>SUM(F5:F364)</f>
        <v/>
      </c>
      <c r="G365" s="15" t="n"/>
      <c r="H365" s="1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">
    <mergeCell ref="A1:H1"/>
  </mergeCells>
  <conditionalFormatting sqref="G5:G364">
    <cfRule type="cellIs" priority="1" operator="lessThanOrEqual" dxfId="0">
      <formula>0.01</formula>
    </cfRule>
  </conditionalFormatting>
  <conditionalFormatting sqref="H5:H364">
    <cfRule type="dataBar" priority="2">
      <dataBar>
        <cfvo type="num" val="0"/>
        <cfvo type="num" val="1"/>
        <color rgb="002563EB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H3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</cols>
  <sheetData>
    <row r="1" ht="38" customHeight="1">
      <c r="A1" s="37" t="inlineStr">
        <is>
          <t>TABLA DE AMORTIZACION - METODO ALEMAN (Amortizacion Fija)</t>
        </is>
      </c>
      <c r="B1" s="1" t="n"/>
      <c r="C1" s="1" t="n"/>
      <c r="D1" s="1" t="n"/>
      <c r="E1" s="1" t="n"/>
      <c r="F1" s="1" t="n"/>
      <c r="G1" s="1" t="n"/>
      <c r="H1" s="1" t="n"/>
    </row>
    <row r="2" ht="24" customHeight="1">
      <c r="A2" s="38" t="inlineStr">
        <is>
          <t>Capital:</t>
        </is>
      </c>
      <c r="B2" s="39">
        <f>Calculadora!C6</f>
        <v/>
      </c>
      <c r="C2" s="38" t="inlineStr">
        <is>
          <t>Tasa:</t>
        </is>
      </c>
      <c r="D2" s="40">
        <f>Calculadora!C7</f>
        <v/>
      </c>
      <c r="E2" s="38" t="inlineStr">
        <is>
          <t>Plazo:</t>
        </is>
      </c>
      <c r="F2" s="41">
        <f>Calculadora!C8&amp;" meses"</f>
        <v/>
      </c>
    </row>
    <row r="3" ht="24" customHeight="1">
      <c r="A3" s="38" t="inlineStr">
        <is>
          <t>Total Pagado:</t>
        </is>
      </c>
      <c r="B3" s="53">
        <f>IFERROR(SUM(D5:D364),0)</f>
        <v/>
      </c>
      <c r="C3" s="38" t="inlineStr">
        <is>
          <t>Total Interes:</t>
        </is>
      </c>
      <c r="D3" s="43">
        <f>IFERROR(SUM(E5:E364),0)</f>
        <v/>
      </c>
      <c r="E3" s="38" t="inlineStr">
        <is>
          <t>Total Capital:</t>
        </is>
      </c>
      <c r="F3" s="44">
        <f>IFERROR(SUM(F5:F364),0)</f>
        <v/>
      </c>
    </row>
    <row r="4" ht="26" customHeight="1">
      <c r="A4" s="45" t="inlineStr">
        <is>
          <t>#</t>
        </is>
      </c>
      <c r="B4" s="45" t="inlineStr">
        <is>
          <t>FECHA</t>
        </is>
      </c>
      <c r="C4" s="45" t="inlineStr">
        <is>
          <t>SALDO INICIAL</t>
        </is>
      </c>
      <c r="D4" s="45" t="inlineStr">
        <is>
          <t>CUOTA</t>
        </is>
      </c>
      <c r="E4" s="45" t="inlineStr">
        <is>
          <t>INTERES</t>
        </is>
      </c>
      <c r="F4" s="45" t="inlineStr">
        <is>
          <t>CAPITAL</t>
        </is>
      </c>
      <c r="G4" s="45" t="inlineStr">
        <is>
          <t>SALDO FINAL</t>
        </is>
      </c>
      <c r="H4" s="45" t="inlineStr">
        <is>
          <t>% PAGADO</t>
        </is>
      </c>
    </row>
    <row r="5" ht="18" customHeight="1">
      <c r="A5" s="46" t="n">
        <v>1</v>
      </c>
      <c r="B5" s="47">
        <f>Calculadora!$C$9</f>
        <v/>
      </c>
      <c r="C5" s="48">
        <f>IF(Calculadora!$C$6&gt;0,Calculadora!$C$6,0)</f>
        <v/>
      </c>
      <c r="D5" s="48">
        <f>IF(C5&lt;=0.01,0,F5+E5)</f>
        <v/>
      </c>
      <c r="E5" s="49">
        <f>IF(C5&lt;=0.01,0,ROUND(C5*Calculadora!$C$7/12,2))</f>
        <v/>
      </c>
      <c r="F5" s="48">
        <f>IF(C5&lt;=0.01,0,ROUND(Calculadora!$C$6/Calculadora!$C$8,2))</f>
        <v/>
      </c>
      <c r="G5" s="48">
        <f>IF(C5&lt;=0.01,0,MAX(ROUND(C5-F5,2),0))</f>
        <v/>
      </c>
      <c r="H5" s="50">
        <f>IFERROR(IF(Calculadora!$C$6&gt;0,1-(G5/Calculadora!$C$6),0),0)</f>
        <v/>
      </c>
    </row>
    <row r="6" ht="18" customHeight="1">
      <c r="A6" s="46" t="n">
        <v>2</v>
      </c>
      <c r="B6" s="47">
        <f>IFERROR(IF(C6&lt;=0.01,"",EDATE(B5,1)),"")</f>
        <v/>
      </c>
      <c r="C6" s="48">
        <f>IF(G5&lt;=0.01,0,G5)</f>
        <v/>
      </c>
      <c r="D6" s="48">
        <f>IF(C6&lt;=0.01,0,F6+E6)</f>
        <v/>
      </c>
      <c r="E6" s="49">
        <f>IF(C6&lt;=0.01,0,ROUND(C6*Calculadora!$C$7/12,2))</f>
        <v/>
      </c>
      <c r="F6" s="48">
        <f>IF(C6&lt;=0.01,0,ROUND(Calculadora!$C$6/Calculadora!$C$8,2))</f>
        <v/>
      </c>
      <c r="G6" s="48">
        <f>IF(C6&lt;=0.01,0,MAX(ROUND(C6-F6,2),0))</f>
        <v/>
      </c>
      <c r="H6" s="50">
        <f>IFERROR(IF(Calculadora!$C$6&gt;0,1-(G6/Calculadora!$C$6),0),0)</f>
        <v/>
      </c>
    </row>
    <row r="7" ht="18" customHeight="1">
      <c r="A7" s="46" t="n">
        <v>3</v>
      </c>
      <c r="B7" s="47">
        <f>IFERROR(IF(C7&lt;=0.01,"",EDATE(B6,1)),"")</f>
        <v/>
      </c>
      <c r="C7" s="48">
        <f>IF(G6&lt;=0.01,0,G6)</f>
        <v/>
      </c>
      <c r="D7" s="48">
        <f>IF(C7&lt;=0.01,0,F7+E7)</f>
        <v/>
      </c>
      <c r="E7" s="49">
        <f>IF(C7&lt;=0.01,0,ROUND(C7*Calculadora!$C$7/12,2))</f>
        <v/>
      </c>
      <c r="F7" s="48">
        <f>IF(C7&lt;=0.01,0,ROUND(Calculadora!$C$6/Calculadora!$C$8,2))</f>
        <v/>
      </c>
      <c r="G7" s="48">
        <f>IF(C7&lt;=0.01,0,MAX(ROUND(C7-F7,2),0))</f>
        <v/>
      </c>
      <c r="H7" s="50">
        <f>IFERROR(IF(Calculadora!$C$6&gt;0,1-(G7/Calculadora!$C$6),0),0)</f>
        <v/>
      </c>
    </row>
    <row r="8" ht="18" customHeight="1">
      <c r="A8" s="46" t="n">
        <v>4</v>
      </c>
      <c r="B8" s="47">
        <f>IFERROR(IF(C8&lt;=0.01,"",EDATE(B7,1)),"")</f>
        <v/>
      </c>
      <c r="C8" s="48">
        <f>IF(G7&lt;=0.01,0,G7)</f>
        <v/>
      </c>
      <c r="D8" s="48">
        <f>IF(C8&lt;=0.01,0,F8+E8)</f>
        <v/>
      </c>
      <c r="E8" s="49">
        <f>IF(C8&lt;=0.01,0,ROUND(C8*Calculadora!$C$7/12,2))</f>
        <v/>
      </c>
      <c r="F8" s="48">
        <f>IF(C8&lt;=0.01,0,ROUND(Calculadora!$C$6/Calculadora!$C$8,2))</f>
        <v/>
      </c>
      <c r="G8" s="48">
        <f>IF(C8&lt;=0.01,0,MAX(ROUND(C8-F8,2),0))</f>
        <v/>
      </c>
      <c r="H8" s="50">
        <f>IFERROR(IF(Calculadora!$C$6&gt;0,1-(G8/Calculadora!$C$6),0),0)</f>
        <v/>
      </c>
    </row>
    <row r="9" ht="18" customHeight="1">
      <c r="A9" s="46" t="n">
        <v>5</v>
      </c>
      <c r="B9" s="47">
        <f>IFERROR(IF(C9&lt;=0.01,"",EDATE(B8,1)),"")</f>
        <v/>
      </c>
      <c r="C9" s="48">
        <f>IF(G8&lt;=0.01,0,G8)</f>
        <v/>
      </c>
      <c r="D9" s="48">
        <f>IF(C9&lt;=0.01,0,F9+E9)</f>
        <v/>
      </c>
      <c r="E9" s="49">
        <f>IF(C9&lt;=0.01,0,ROUND(C9*Calculadora!$C$7/12,2))</f>
        <v/>
      </c>
      <c r="F9" s="48">
        <f>IF(C9&lt;=0.01,0,ROUND(Calculadora!$C$6/Calculadora!$C$8,2))</f>
        <v/>
      </c>
      <c r="G9" s="48">
        <f>IF(C9&lt;=0.01,0,MAX(ROUND(C9-F9,2),0))</f>
        <v/>
      </c>
      <c r="H9" s="50">
        <f>IFERROR(IF(Calculadora!$C$6&gt;0,1-(G9/Calculadora!$C$6),0),0)</f>
        <v/>
      </c>
    </row>
    <row r="10" ht="18" customHeight="1">
      <c r="A10" s="46" t="n">
        <v>6</v>
      </c>
      <c r="B10" s="47">
        <f>IFERROR(IF(C10&lt;=0.01,"",EDATE(B9,1)),"")</f>
        <v/>
      </c>
      <c r="C10" s="48">
        <f>IF(G9&lt;=0.01,0,G9)</f>
        <v/>
      </c>
      <c r="D10" s="48">
        <f>IF(C10&lt;=0.01,0,F10+E10)</f>
        <v/>
      </c>
      <c r="E10" s="49">
        <f>IF(C10&lt;=0.01,0,ROUND(C10*Calculadora!$C$7/12,2))</f>
        <v/>
      </c>
      <c r="F10" s="48">
        <f>IF(C10&lt;=0.01,0,ROUND(Calculadora!$C$6/Calculadora!$C$8,2))</f>
        <v/>
      </c>
      <c r="G10" s="48">
        <f>IF(C10&lt;=0.01,0,MAX(ROUND(C10-F10,2),0))</f>
        <v/>
      </c>
      <c r="H10" s="50">
        <f>IFERROR(IF(Calculadora!$C$6&gt;0,1-(G10/Calculadora!$C$6),0),0)</f>
        <v/>
      </c>
    </row>
    <row r="11" ht="18" customHeight="1">
      <c r="A11" s="46" t="n">
        <v>7</v>
      </c>
      <c r="B11" s="47">
        <f>IFERROR(IF(C11&lt;=0.01,"",EDATE(B10,1)),"")</f>
        <v/>
      </c>
      <c r="C11" s="48">
        <f>IF(G10&lt;=0.01,0,G10)</f>
        <v/>
      </c>
      <c r="D11" s="48">
        <f>IF(C11&lt;=0.01,0,F11+E11)</f>
        <v/>
      </c>
      <c r="E11" s="49">
        <f>IF(C11&lt;=0.01,0,ROUND(C11*Calculadora!$C$7/12,2))</f>
        <v/>
      </c>
      <c r="F11" s="48">
        <f>IF(C11&lt;=0.01,0,ROUND(Calculadora!$C$6/Calculadora!$C$8,2))</f>
        <v/>
      </c>
      <c r="G11" s="48">
        <f>IF(C11&lt;=0.01,0,MAX(ROUND(C11-F11,2),0))</f>
        <v/>
      </c>
      <c r="H11" s="50">
        <f>IFERROR(IF(Calculadora!$C$6&gt;0,1-(G11/Calculadora!$C$6),0),0)</f>
        <v/>
      </c>
    </row>
    <row r="12" ht="18" customHeight="1">
      <c r="A12" s="46" t="n">
        <v>8</v>
      </c>
      <c r="B12" s="47">
        <f>IFERROR(IF(C12&lt;=0.01,"",EDATE(B11,1)),"")</f>
        <v/>
      </c>
      <c r="C12" s="48">
        <f>IF(G11&lt;=0.01,0,G11)</f>
        <v/>
      </c>
      <c r="D12" s="48">
        <f>IF(C12&lt;=0.01,0,F12+E12)</f>
        <v/>
      </c>
      <c r="E12" s="49">
        <f>IF(C12&lt;=0.01,0,ROUND(C12*Calculadora!$C$7/12,2))</f>
        <v/>
      </c>
      <c r="F12" s="48">
        <f>IF(C12&lt;=0.01,0,ROUND(Calculadora!$C$6/Calculadora!$C$8,2))</f>
        <v/>
      </c>
      <c r="G12" s="48">
        <f>IF(C12&lt;=0.01,0,MAX(ROUND(C12-F12,2),0))</f>
        <v/>
      </c>
      <c r="H12" s="50">
        <f>IFERROR(IF(Calculadora!$C$6&gt;0,1-(G12/Calculadora!$C$6),0),0)</f>
        <v/>
      </c>
    </row>
    <row r="13" ht="18" customHeight="1">
      <c r="A13" s="46" t="n">
        <v>9</v>
      </c>
      <c r="B13" s="47">
        <f>IFERROR(IF(C13&lt;=0.01,"",EDATE(B12,1)),"")</f>
        <v/>
      </c>
      <c r="C13" s="48">
        <f>IF(G12&lt;=0.01,0,G12)</f>
        <v/>
      </c>
      <c r="D13" s="48">
        <f>IF(C13&lt;=0.01,0,F13+E13)</f>
        <v/>
      </c>
      <c r="E13" s="49">
        <f>IF(C13&lt;=0.01,0,ROUND(C13*Calculadora!$C$7/12,2))</f>
        <v/>
      </c>
      <c r="F13" s="48">
        <f>IF(C13&lt;=0.01,0,ROUND(Calculadora!$C$6/Calculadora!$C$8,2))</f>
        <v/>
      </c>
      <c r="G13" s="48">
        <f>IF(C13&lt;=0.01,0,MAX(ROUND(C13-F13,2),0))</f>
        <v/>
      </c>
      <c r="H13" s="50">
        <f>IFERROR(IF(Calculadora!$C$6&gt;0,1-(G13/Calculadora!$C$6),0),0)</f>
        <v/>
      </c>
    </row>
    <row r="14" ht="18" customHeight="1">
      <c r="A14" s="46" t="n">
        <v>10</v>
      </c>
      <c r="B14" s="47">
        <f>IFERROR(IF(C14&lt;=0.01,"",EDATE(B13,1)),"")</f>
        <v/>
      </c>
      <c r="C14" s="48">
        <f>IF(G13&lt;=0.01,0,G13)</f>
        <v/>
      </c>
      <c r="D14" s="48">
        <f>IF(C14&lt;=0.01,0,F14+E14)</f>
        <v/>
      </c>
      <c r="E14" s="49">
        <f>IF(C14&lt;=0.01,0,ROUND(C14*Calculadora!$C$7/12,2))</f>
        <v/>
      </c>
      <c r="F14" s="48">
        <f>IF(C14&lt;=0.01,0,ROUND(Calculadora!$C$6/Calculadora!$C$8,2))</f>
        <v/>
      </c>
      <c r="G14" s="48">
        <f>IF(C14&lt;=0.01,0,MAX(ROUND(C14-F14,2),0))</f>
        <v/>
      </c>
      <c r="H14" s="50">
        <f>IFERROR(IF(Calculadora!$C$6&gt;0,1-(G14/Calculadora!$C$6),0),0)</f>
        <v/>
      </c>
    </row>
    <row r="15" ht="18" customHeight="1">
      <c r="A15" s="46" t="n">
        <v>11</v>
      </c>
      <c r="B15" s="47">
        <f>IFERROR(IF(C15&lt;=0.01,"",EDATE(B14,1)),"")</f>
        <v/>
      </c>
      <c r="C15" s="48">
        <f>IF(G14&lt;=0.01,0,G14)</f>
        <v/>
      </c>
      <c r="D15" s="48">
        <f>IF(C15&lt;=0.01,0,F15+E15)</f>
        <v/>
      </c>
      <c r="E15" s="49">
        <f>IF(C15&lt;=0.01,0,ROUND(C15*Calculadora!$C$7/12,2))</f>
        <v/>
      </c>
      <c r="F15" s="48">
        <f>IF(C15&lt;=0.01,0,ROUND(Calculadora!$C$6/Calculadora!$C$8,2))</f>
        <v/>
      </c>
      <c r="G15" s="48">
        <f>IF(C15&lt;=0.01,0,MAX(ROUND(C15-F15,2),0))</f>
        <v/>
      </c>
      <c r="H15" s="50">
        <f>IFERROR(IF(Calculadora!$C$6&gt;0,1-(G15/Calculadora!$C$6),0),0)</f>
        <v/>
      </c>
    </row>
    <row r="16" ht="18" customHeight="1">
      <c r="A16" s="46" t="n">
        <v>12</v>
      </c>
      <c r="B16" s="47">
        <f>IFERROR(IF(C16&lt;=0.01,"",EDATE(B15,1)),"")</f>
        <v/>
      </c>
      <c r="C16" s="48">
        <f>IF(G15&lt;=0.01,0,G15)</f>
        <v/>
      </c>
      <c r="D16" s="48">
        <f>IF(C16&lt;=0.01,0,F16+E16)</f>
        <v/>
      </c>
      <c r="E16" s="49">
        <f>IF(C16&lt;=0.01,0,ROUND(C16*Calculadora!$C$7/12,2))</f>
        <v/>
      </c>
      <c r="F16" s="48">
        <f>IF(C16&lt;=0.01,0,ROUND(Calculadora!$C$6/Calculadora!$C$8,2))</f>
        <v/>
      </c>
      <c r="G16" s="48">
        <f>IF(C16&lt;=0.01,0,MAX(ROUND(C16-F16,2),0))</f>
        <v/>
      </c>
      <c r="H16" s="50">
        <f>IFERROR(IF(Calculadora!$C$6&gt;0,1-(G16/Calculadora!$C$6),0),0)</f>
        <v/>
      </c>
    </row>
    <row r="17" ht="18" customHeight="1">
      <c r="A17" s="46" t="n">
        <v>13</v>
      </c>
      <c r="B17" s="47">
        <f>IFERROR(IF(C17&lt;=0.01,"",EDATE(B16,1)),"")</f>
        <v/>
      </c>
      <c r="C17" s="48">
        <f>IF(G16&lt;=0.01,0,G16)</f>
        <v/>
      </c>
      <c r="D17" s="48">
        <f>IF(C17&lt;=0.01,0,F17+E17)</f>
        <v/>
      </c>
      <c r="E17" s="49">
        <f>IF(C17&lt;=0.01,0,ROUND(C17*Calculadora!$C$7/12,2))</f>
        <v/>
      </c>
      <c r="F17" s="48">
        <f>IF(C17&lt;=0.01,0,ROUND(Calculadora!$C$6/Calculadora!$C$8,2))</f>
        <v/>
      </c>
      <c r="G17" s="48">
        <f>IF(C17&lt;=0.01,0,MAX(ROUND(C17-F17,2),0))</f>
        <v/>
      </c>
      <c r="H17" s="50">
        <f>IFERROR(IF(Calculadora!$C$6&gt;0,1-(G17/Calculadora!$C$6),0),0)</f>
        <v/>
      </c>
    </row>
    <row r="18" ht="18" customHeight="1">
      <c r="A18" s="46" t="n">
        <v>14</v>
      </c>
      <c r="B18" s="47">
        <f>IFERROR(IF(C18&lt;=0.01,"",EDATE(B17,1)),"")</f>
        <v/>
      </c>
      <c r="C18" s="48">
        <f>IF(G17&lt;=0.01,0,G17)</f>
        <v/>
      </c>
      <c r="D18" s="48">
        <f>IF(C18&lt;=0.01,0,F18+E18)</f>
        <v/>
      </c>
      <c r="E18" s="49">
        <f>IF(C18&lt;=0.01,0,ROUND(C18*Calculadora!$C$7/12,2))</f>
        <v/>
      </c>
      <c r="F18" s="48">
        <f>IF(C18&lt;=0.01,0,ROUND(Calculadora!$C$6/Calculadora!$C$8,2))</f>
        <v/>
      </c>
      <c r="G18" s="48">
        <f>IF(C18&lt;=0.01,0,MAX(ROUND(C18-F18,2),0))</f>
        <v/>
      </c>
      <c r="H18" s="50">
        <f>IFERROR(IF(Calculadora!$C$6&gt;0,1-(G18/Calculadora!$C$6),0),0)</f>
        <v/>
      </c>
    </row>
    <row r="19" ht="18" customHeight="1">
      <c r="A19" s="46" t="n">
        <v>15</v>
      </c>
      <c r="B19" s="47">
        <f>IFERROR(IF(C19&lt;=0.01,"",EDATE(B18,1)),"")</f>
        <v/>
      </c>
      <c r="C19" s="48">
        <f>IF(G18&lt;=0.01,0,G18)</f>
        <v/>
      </c>
      <c r="D19" s="48">
        <f>IF(C19&lt;=0.01,0,F19+E19)</f>
        <v/>
      </c>
      <c r="E19" s="49">
        <f>IF(C19&lt;=0.01,0,ROUND(C19*Calculadora!$C$7/12,2))</f>
        <v/>
      </c>
      <c r="F19" s="48">
        <f>IF(C19&lt;=0.01,0,ROUND(Calculadora!$C$6/Calculadora!$C$8,2))</f>
        <v/>
      </c>
      <c r="G19" s="48">
        <f>IF(C19&lt;=0.01,0,MAX(ROUND(C19-F19,2),0))</f>
        <v/>
      </c>
      <c r="H19" s="50">
        <f>IFERROR(IF(Calculadora!$C$6&gt;0,1-(G19/Calculadora!$C$6),0),0)</f>
        <v/>
      </c>
    </row>
    <row r="20" ht="18" customHeight="1">
      <c r="A20" s="46" t="n">
        <v>16</v>
      </c>
      <c r="B20" s="47">
        <f>IFERROR(IF(C20&lt;=0.01,"",EDATE(B19,1)),"")</f>
        <v/>
      </c>
      <c r="C20" s="48">
        <f>IF(G19&lt;=0.01,0,G19)</f>
        <v/>
      </c>
      <c r="D20" s="48">
        <f>IF(C20&lt;=0.01,0,F20+E20)</f>
        <v/>
      </c>
      <c r="E20" s="49">
        <f>IF(C20&lt;=0.01,0,ROUND(C20*Calculadora!$C$7/12,2))</f>
        <v/>
      </c>
      <c r="F20" s="48">
        <f>IF(C20&lt;=0.01,0,ROUND(Calculadora!$C$6/Calculadora!$C$8,2))</f>
        <v/>
      </c>
      <c r="G20" s="48">
        <f>IF(C20&lt;=0.01,0,MAX(ROUND(C20-F20,2),0))</f>
        <v/>
      </c>
      <c r="H20" s="50">
        <f>IFERROR(IF(Calculadora!$C$6&gt;0,1-(G20/Calculadora!$C$6),0),0)</f>
        <v/>
      </c>
    </row>
    <row r="21" ht="18" customHeight="1">
      <c r="A21" s="46" t="n">
        <v>17</v>
      </c>
      <c r="B21" s="47">
        <f>IFERROR(IF(C21&lt;=0.01,"",EDATE(B20,1)),"")</f>
        <v/>
      </c>
      <c r="C21" s="48">
        <f>IF(G20&lt;=0.01,0,G20)</f>
        <v/>
      </c>
      <c r="D21" s="48">
        <f>IF(C21&lt;=0.01,0,F21+E21)</f>
        <v/>
      </c>
      <c r="E21" s="49">
        <f>IF(C21&lt;=0.01,0,ROUND(C21*Calculadora!$C$7/12,2))</f>
        <v/>
      </c>
      <c r="F21" s="48">
        <f>IF(C21&lt;=0.01,0,ROUND(Calculadora!$C$6/Calculadora!$C$8,2))</f>
        <v/>
      </c>
      <c r="G21" s="48">
        <f>IF(C21&lt;=0.01,0,MAX(ROUND(C21-F21,2),0))</f>
        <v/>
      </c>
      <c r="H21" s="50">
        <f>IFERROR(IF(Calculadora!$C$6&gt;0,1-(G21/Calculadora!$C$6),0),0)</f>
        <v/>
      </c>
    </row>
    <row r="22" ht="18" customHeight="1">
      <c r="A22" s="46" t="n">
        <v>18</v>
      </c>
      <c r="B22" s="47">
        <f>IFERROR(IF(C22&lt;=0.01,"",EDATE(B21,1)),"")</f>
        <v/>
      </c>
      <c r="C22" s="48">
        <f>IF(G21&lt;=0.01,0,G21)</f>
        <v/>
      </c>
      <c r="D22" s="48">
        <f>IF(C22&lt;=0.01,0,F22+E22)</f>
        <v/>
      </c>
      <c r="E22" s="49">
        <f>IF(C22&lt;=0.01,0,ROUND(C22*Calculadora!$C$7/12,2))</f>
        <v/>
      </c>
      <c r="F22" s="48">
        <f>IF(C22&lt;=0.01,0,ROUND(Calculadora!$C$6/Calculadora!$C$8,2))</f>
        <v/>
      </c>
      <c r="G22" s="48">
        <f>IF(C22&lt;=0.01,0,MAX(ROUND(C22-F22,2),0))</f>
        <v/>
      </c>
      <c r="H22" s="50">
        <f>IFERROR(IF(Calculadora!$C$6&gt;0,1-(G22/Calculadora!$C$6),0),0)</f>
        <v/>
      </c>
    </row>
    <row r="23" ht="18" customHeight="1">
      <c r="A23" s="46" t="n">
        <v>19</v>
      </c>
      <c r="B23" s="47">
        <f>IFERROR(IF(C23&lt;=0.01,"",EDATE(B22,1)),"")</f>
        <v/>
      </c>
      <c r="C23" s="48">
        <f>IF(G22&lt;=0.01,0,G22)</f>
        <v/>
      </c>
      <c r="D23" s="48">
        <f>IF(C23&lt;=0.01,0,F23+E23)</f>
        <v/>
      </c>
      <c r="E23" s="49">
        <f>IF(C23&lt;=0.01,0,ROUND(C23*Calculadora!$C$7/12,2))</f>
        <v/>
      </c>
      <c r="F23" s="48">
        <f>IF(C23&lt;=0.01,0,ROUND(Calculadora!$C$6/Calculadora!$C$8,2))</f>
        <v/>
      </c>
      <c r="G23" s="48">
        <f>IF(C23&lt;=0.01,0,MAX(ROUND(C23-F23,2),0))</f>
        <v/>
      </c>
      <c r="H23" s="50">
        <f>IFERROR(IF(Calculadora!$C$6&gt;0,1-(G23/Calculadora!$C$6),0),0)</f>
        <v/>
      </c>
    </row>
    <row r="24" ht="18" customHeight="1">
      <c r="A24" s="46" t="n">
        <v>20</v>
      </c>
      <c r="B24" s="47">
        <f>IFERROR(IF(C24&lt;=0.01,"",EDATE(B23,1)),"")</f>
        <v/>
      </c>
      <c r="C24" s="48">
        <f>IF(G23&lt;=0.01,0,G23)</f>
        <v/>
      </c>
      <c r="D24" s="48">
        <f>IF(C24&lt;=0.01,0,F24+E24)</f>
        <v/>
      </c>
      <c r="E24" s="49">
        <f>IF(C24&lt;=0.01,0,ROUND(C24*Calculadora!$C$7/12,2))</f>
        <v/>
      </c>
      <c r="F24" s="48">
        <f>IF(C24&lt;=0.01,0,ROUND(Calculadora!$C$6/Calculadora!$C$8,2))</f>
        <v/>
      </c>
      <c r="G24" s="48">
        <f>IF(C24&lt;=0.01,0,MAX(ROUND(C24-F24,2),0))</f>
        <v/>
      </c>
      <c r="H24" s="50">
        <f>IFERROR(IF(Calculadora!$C$6&gt;0,1-(G24/Calculadora!$C$6),0),0)</f>
        <v/>
      </c>
    </row>
    <row r="25" ht="18" customHeight="1">
      <c r="A25" s="46" t="n">
        <v>21</v>
      </c>
      <c r="B25" s="47">
        <f>IFERROR(IF(C25&lt;=0.01,"",EDATE(B24,1)),"")</f>
        <v/>
      </c>
      <c r="C25" s="48">
        <f>IF(G24&lt;=0.01,0,G24)</f>
        <v/>
      </c>
      <c r="D25" s="48">
        <f>IF(C25&lt;=0.01,0,F25+E25)</f>
        <v/>
      </c>
      <c r="E25" s="49">
        <f>IF(C25&lt;=0.01,0,ROUND(C25*Calculadora!$C$7/12,2))</f>
        <v/>
      </c>
      <c r="F25" s="48">
        <f>IF(C25&lt;=0.01,0,ROUND(Calculadora!$C$6/Calculadora!$C$8,2))</f>
        <v/>
      </c>
      <c r="G25" s="48">
        <f>IF(C25&lt;=0.01,0,MAX(ROUND(C25-F25,2),0))</f>
        <v/>
      </c>
      <c r="H25" s="50">
        <f>IFERROR(IF(Calculadora!$C$6&gt;0,1-(G25/Calculadora!$C$6),0),0)</f>
        <v/>
      </c>
    </row>
    <row r="26" ht="18" customHeight="1">
      <c r="A26" s="46" t="n">
        <v>22</v>
      </c>
      <c r="B26" s="47">
        <f>IFERROR(IF(C26&lt;=0.01,"",EDATE(B25,1)),"")</f>
        <v/>
      </c>
      <c r="C26" s="48">
        <f>IF(G25&lt;=0.01,0,G25)</f>
        <v/>
      </c>
      <c r="D26" s="48">
        <f>IF(C26&lt;=0.01,0,F26+E26)</f>
        <v/>
      </c>
      <c r="E26" s="49">
        <f>IF(C26&lt;=0.01,0,ROUND(C26*Calculadora!$C$7/12,2))</f>
        <v/>
      </c>
      <c r="F26" s="48">
        <f>IF(C26&lt;=0.01,0,ROUND(Calculadora!$C$6/Calculadora!$C$8,2))</f>
        <v/>
      </c>
      <c r="G26" s="48">
        <f>IF(C26&lt;=0.01,0,MAX(ROUND(C26-F26,2),0))</f>
        <v/>
      </c>
      <c r="H26" s="50">
        <f>IFERROR(IF(Calculadora!$C$6&gt;0,1-(G26/Calculadora!$C$6),0),0)</f>
        <v/>
      </c>
    </row>
    <row r="27" ht="18" customHeight="1">
      <c r="A27" s="46" t="n">
        <v>23</v>
      </c>
      <c r="B27" s="47">
        <f>IFERROR(IF(C27&lt;=0.01,"",EDATE(B26,1)),"")</f>
        <v/>
      </c>
      <c r="C27" s="48">
        <f>IF(G26&lt;=0.01,0,G26)</f>
        <v/>
      </c>
      <c r="D27" s="48">
        <f>IF(C27&lt;=0.01,0,F27+E27)</f>
        <v/>
      </c>
      <c r="E27" s="49">
        <f>IF(C27&lt;=0.01,0,ROUND(C27*Calculadora!$C$7/12,2))</f>
        <v/>
      </c>
      <c r="F27" s="48">
        <f>IF(C27&lt;=0.01,0,ROUND(Calculadora!$C$6/Calculadora!$C$8,2))</f>
        <v/>
      </c>
      <c r="G27" s="48">
        <f>IF(C27&lt;=0.01,0,MAX(ROUND(C27-F27,2),0))</f>
        <v/>
      </c>
      <c r="H27" s="50">
        <f>IFERROR(IF(Calculadora!$C$6&gt;0,1-(G27/Calculadora!$C$6),0),0)</f>
        <v/>
      </c>
    </row>
    <row r="28" ht="18" customHeight="1">
      <c r="A28" s="46" t="n">
        <v>24</v>
      </c>
      <c r="B28" s="47">
        <f>IFERROR(IF(C28&lt;=0.01,"",EDATE(B27,1)),"")</f>
        <v/>
      </c>
      <c r="C28" s="48">
        <f>IF(G27&lt;=0.01,0,G27)</f>
        <v/>
      </c>
      <c r="D28" s="48">
        <f>IF(C28&lt;=0.01,0,F28+E28)</f>
        <v/>
      </c>
      <c r="E28" s="49">
        <f>IF(C28&lt;=0.01,0,ROUND(C28*Calculadora!$C$7/12,2))</f>
        <v/>
      </c>
      <c r="F28" s="48">
        <f>IF(C28&lt;=0.01,0,ROUND(Calculadora!$C$6/Calculadora!$C$8,2))</f>
        <v/>
      </c>
      <c r="G28" s="48">
        <f>IF(C28&lt;=0.01,0,MAX(ROUND(C28-F28,2),0))</f>
        <v/>
      </c>
      <c r="H28" s="50">
        <f>IFERROR(IF(Calculadora!$C$6&gt;0,1-(G28/Calculadora!$C$6),0),0)</f>
        <v/>
      </c>
    </row>
    <row r="29" ht="18" customHeight="1">
      <c r="A29" s="46" t="n">
        <v>25</v>
      </c>
      <c r="B29" s="47">
        <f>IFERROR(IF(C29&lt;=0.01,"",EDATE(B28,1)),"")</f>
        <v/>
      </c>
      <c r="C29" s="48">
        <f>IF(G28&lt;=0.01,0,G28)</f>
        <v/>
      </c>
      <c r="D29" s="48">
        <f>IF(C29&lt;=0.01,0,F29+E29)</f>
        <v/>
      </c>
      <c r="E29" s="49">
        <f>IF(C29&lt;=0.01,0,ROUND(C29*Calculadora!$C$7/12,2))</f>
        <v/>
      </c>
      <c r="F29" s="48">
        <f>IF(C29&lt;=0.01,0,ROUND(Calculadora!$C$6/Calculadora!$C$8,2))</f>
        <v/>
      </c>
      <c r="G29" s="48">
        <f>IF(C29&lt;=0.01,0,MAX(ROUND(C29-F29,2),0))</f>
        <v/>
      </c>
      <c r="H29" s="50">
        <f>IFERROR(IF(Calculadora!$C$6&gt;0,1-(G29/Calculadora!$C$6),0),0)</f>
        <v/>
      </c>
    </row>
    <row r="30" ht="18" customHeight="1">
      <c r="A30" s="46" t="n">
        <v>26</v>
      </c>
      <c r="B30" s="47">
        <f>IFERROR(IF(C30&lt;=0.01,"",EDATE(B29,1)),"")</f>
        <v/>
      </c>
      <c r="C30" s="48">
        <f>IF(G29&lt;=0.01,0,G29)</f>
        <v/>
      </c>
      <c r="D30" s="48">
        <f>IF(C30&lt;=0.01,0,F30+E30)</f>
        <v/>
      </c>
      <c r="E30" s="49">
        <f>IF(C30&lt;=0.01,0,ROUND(C30*Calculadora!$C$7/12,2))</f>
        <v/>
      </c>
      <c r="F30" s="48">
        <f>IF(C30&lt;=0.01,0,ROUND(Calculadora!$C$6/Calculadora!$C$8,2))</f>
        <v/>
      </c>
      <c r="G30" s="48">
        <f>IF(C30&lt;=0.01,0,MAX(ROUND(C30-F30,2),0))</f>
        <v/>
      </c>
      <c r="H30" s="50">
        <f>IFERROR(IF(Calculadora!$C$6&gt;0,1-(G30/Calculadora!$C$6),0),0)</f>
        <v/>
      </c>
    </row>
    <row r="31" ht="18" customHeight="1">
      <c r="A31" s="46" t="n">
        <v>27</v>
      </c>
      <c r="B31" s="47">
        <f>IFERROR(IF(C31&lt;=0.01,"",EDATE(B30,1)),"")</f>
        <v/>
      </c>
      <c r="C31" s="48">
        <f>IF(G30&lt;=0.01,0,G30)</f>
        <v/>
      </c>
      <c r="D31" s="48">
        <f>IF(C31&lt;=0.01,0,F31+E31)</f>
        <v/>
      </c>
      <c r="E31" s="49">
        <f>IF(C31&lt;=0.01,0,ROUND(C31*Calculadora!$C$7/12,2))</f>
        <v/>
      </c>
      <c r="F31" s="48">
        <f>IF(C31&lt;=0.01,0,ROUND(Calculadora!$C$6/Calculadora!$C$8,2))</f>
        <v/>
      </c>
      <c r="G31" s="48">
        <f>IF(C31&lt;=0.01,0,MAX(ROUND(C31-F31,2),0))</f>
        <v/>
      </c>
      <c r="H31" s="50">
        <f>IFERROR(IF(Calculadora!$C$6&gt;0,1-(G31/Calculadora!$C$6),0),0)</f>
        <v/>
      </c>
    </row>
    <row r="32" ht="18" customHeight="1">
      <c r="A32" s="46" t="n">
        <v>28</v>
      </c>
      <c r="B32" s="47">
        <f>IFERROR(IF(C32&lt;=0.01,"",EDATE(B31,1)),"")</f>
        <v/>
      </c>
      <c r="C32" s="48">
        <f>IF(G31&lt;=0.01,0,G31)</f>
        <v/>
      </c>
      <c r="D32" s="48">
        <f>IF(C32&lt;=0.01,0,F32+E32)</f>
        <v/>
      </c>
      <c r="E32" s="49">
        <f>IF(C32&lt;=0.01,0,ROUND(C32*Calculadora!$C$7/12,2))</f>
        <v/>
      </c>
      <c r="F32" s="48">
        <f>IF(C32&lt;=0.01,0,ROUND(Calculadora!$C$6/Calculadora!$C$8,2))</f>
        <v/>
      </c>
      <c r="G32" s="48">
        <f>IF(C32&lt;=0.01,0,MAX(ROUND(C32-F32,2),0))</f>
        <v/>
      </c>
      <c r="H32" s="50">
        <f>IFERROR(IF(Calculadora!$C$6&gt;0,1-(G32/Calculadora!$C$6),0),0)</f>
        <v/>
      </c>
    </row>
    <row r="33" ht="18" customHeight="1">
      <c r="A33" s="46" t="n">
        <v>29</v>
      </c>
      <c r="B33" s="47">
        <f>IFERROR(IF(C33&lt;=0.01,"",EDATE(B32,1)),"")</f>
        <v/>
      </c>
      <c r="C33" s="48">
        <f>IF(G32&lt;=0.01,0,G32)</f>
        <v/>
      </c>
      <c r="D33" s="48">
        <f>IF(C33&lt;=0.01,0,F33+E33)</f>
        <v/>
      </c>
      <c r="E33" s="49">
        <f>IF(C33&lt;=0.01,0,ROUND(C33*Calculadora!$C$7/12,2))</f>
        <v/>
      </c>
      <c r="F33" s="48">
        <f>IF(C33&lt;=0.01,0,ROUND(Calculadora!$C$6/Calculadora!$C$8,2))</f>
        <v/>
      </c>
      <c r="G33" s="48">
        <f>IF(C33&lt;=0.01,0,MAX(ROUND(C33-F33,2),0))</f>
        <v/>
      </c>
      <c r="H33" s="50">
        <f>IFERROR(IF(Calculadora!$C$6&gt;0,1-(G33/Calculadora!$C$6),0),0)</f>
        <v/>
      </c>
    </row>
    <row r="34" ht="18" customHeight="1">
      <c r="A34" s="46" t="n">
        <v>30</v>
      </c>
      <c r="B34" s="47">
        <f>IFERROR(IF(C34&lt;=0.01,"",EDATE(B33,1)),"")</f>
        <v/>
      </c>
      <c r="C34" s="48">
        <f>IF(G33&lt;=0.01,0,G33)</f>
        <v/>
      </c>
      <c r="D34" s="48">
        <f>IF(C34&lt;=0.01,0,F34+E34)</f>
        <v/>
      </c>
      <c r="E34" s="49">
        <f>IF(C34&lt;=0.01,0,ROUND(C34*Calculadora!$C$7/12,2))</f>
        <v/>
      </c>
      <c r="F34" s="48">
        <f>IF(C34&lt;=0.01,0,ROUND(Calculadora!$C$6/Calculadora!$C$8,2))</f>
        <v/>
      </c>
      <c r="G34" s="48">
        <f>IF(C34&lt;=0.01,0,MAX(ROUND(C34-F34,2),0))</f>
        <v/>
      </c>
      <c r="H34" s="50">
        <f>IFERROR(IF(Calculadora!$C$6&gt;0,1-(G34/Calculadora!$C$6),0),0)</f>
        <v/>
      </c>
    </row>
    <row r="35" ht="18" customHeight="1">
      <c r="A35" s="46" t="n">
        <v>31</v>
      </c>
      <c r="B35" s="47">
        <f>IFERROR(IF(C35&lt;=0.01,"",EDATE(B34,1)),"")</f>
        <v/>
      </c>
      <c r="C35" s="48">
        <f>IF(G34&lt;=0.01,0,G34)</f>
        <v/>
      </c>
      <c r="D35" s="48">
        <f>IF(C35&lt;=0.01,0,F35+E35)</f>
        <v/>
      </c>
      <c r="E35" s="49">
        <f>IF(C35&lt;=0.01,0,ROUND(C35*Calculadora!$C$7/12,2))</f>
        <v/>
      </c>
      <c r="F35" s="48">
        <f>IF(C35&lt;=0.01,0,ROUND(Calculadora!$C$6/Calculadora!$C$8,2))</f>
        <v/>
      </c>
      <c r="G35" s="48">
        <f>IF(C35&lt;=0.01,0,MAX(ROUND(C35-F35,2),0))</f>
        <v/>
      </c>
      <c r="H35" s="50">
        <f>IFERROR(IF(Calculadora!$C$6&gt;0,1-(G35/Calculadora!$C$6),0),0)</f>
        <v/>
      </c>
    </row>
    <row r="36" ht="18" customHeight="1">
      <c r="A36" s="46" t="n">
        <v>32</v>
      </c>
      <c r="B36" s="47">
        <f>IFERROR(IF(C36&lt;=0.01,"",EDATE(B35,1)),"")</f>
        <v/>
      </c>
      <c r="C36" s="48">
        <f>IF(G35&lt;=0.01,0,G35)</f>
        <v/>
      </c>
      <c r="D36" s="48">
        <f>IF(C36&lt;=0.01,0,F36+E36)</f>
        <v/>
      </c>
      <c r="E36" s="49">
        <f>IF(C36&lt;=0.01,0,ROUND(C36*Calculadora!$C$7/12,2))</f>
        <v/>
      </c>
      <c r="F36" s="48">
        <f>IF(C36&lt;=0.01,0,ROUND(Calculadora!$C$6/Calculadora!$C$8,2))</f>
        <v/>
      </c>
      <c r="G36" s="48">
        <f>IF(C36&lt;=0.01,0,MAX(ROUND(C36-F36,2),0))</f>
        <v/>
      </c>
      <c r="H36" s="50">
        <f>IFERROR(IF(Calculadora!$C$6&gt;0,1-(G36/Calculadora!$C$6),0),0)</f>
        <v/>
      </c>
    </row>
    <row r="37" ht="18" customHeight="1">
      <c r="A37" s="46" t="n">
        <v>33</v>
      </c>
      <c r="B37" s="47">
        <f>IFERROR(IF(C37&lt;=0.01,"",EDATE(B36,1)),"")</f>
        <v/>
      </c>
      <c r="C37" s="48">
        <f>IF(G36&lt;=0.01,0,G36)</f>
        <v/>
      </c>
      <c r="D37" s="48">
        <f>IF(C37&lt;=0.01,0,F37+E37)</f>
        <v/>
      </c>
      <c r="E37" s="49">
        <f>IF(C37&lt;=0.01,0,ROUND(C37*Calculadora!$C$7/12,2))</f>
        <v/>
      </c>
      <c r="F37" s="48">
        <f>IF(C37&lt;=0.01,0,ROUND(Calculadora!$C$6/Calculadora!$C$8,2))</f>
        <v/>
      </c>
      <c r="G37" s="48">
        <f>IF(C37&lt;=0.01,0,MAX(ROUND(C37-F37,2),0))</f>
        <v/>
      </c>
      <c r="H37" s="50">
        <f>IFERROR(IF(Calculadora!$C$6&gt;0,1-(G37/Calculadora!$C$6),0),0)</f>
        <v/>
      </c>
    </row>
    <row r="38" ht="18" customHeight="1">
      <c r="A38" s="46" t="n">
        <v>34</v>
      </c>
      <c r="B38" s="47">
        <f>IFERROR(IF(C38&lt;=0.01,"",EDATE(B37,1)),"")</f>
        <v/>
      </c>
      <c r="C38" s="48">
        <f>IF(G37&lt;=0.01,0,G37)</f>
        <v/>
      </c>
      <c r="D38" s="48">
        <f>IF(C38&lt;=0.01,0,F38+E38)</f>
        <v/>
      </c>
      <c r="E38" s="49">
        <f>IF(C38&lt;=0.01,0,ROUND(C38*Calculadora!$C$7/12,2))</f>
        <v/>
      </c>
      <c r="F38" s="48">
        <f>IF(C38&lt;=0.01,0,ROUND(Calculadora!$C$6/Calculadora!$C$8,2))</f>
        <v/>
      </c>
      <c r="G38" s="48">
        <f>IF(C38&lt;=0.01,0,MAX(ROUND(C38-F38,2),0))</f>
        <v/>
      </c>
      <c r="H38" s="50">
        <f>IFERROR(IF(Calculadora!$C$6&gt;0,1-(G38/Calculadora!$C$6),0),0)</f>
        <v/>
      </c>
    </row>
    <row r="39" ht="18" customHeight="1">
      <c r="A39" s="46" t="n">
        <v>35</v>
      </c>
      <c r="B39" s="47">
        <f>IFERROR(IF(C39&lt;=0.01,"",EDATE(B38,1)),"")</f>
        <v/>
      </c>
      <c r="C39" s="48">
        <f>IF(G38&lt;=0.01,0,G38)</f>
        <v/>
      </c>
      <c r="D39" s="48">
        <f>IF(C39&lt;=0.01,0,F39+E39)</f>
        <v/>
      </c>
      <c r="E39" s="49">
        <f>IF(C39&lt;=0.01,0,ROUND(C39*Calculadora!$C$7/12,2))</f>
        <v/>
      </c>
      <c r="F39" s="48">
        <f>IF(C39&lt;=0.01,0,ROUND(Calculadora!$C$6/Calculadora!$C$8,2))</f>
        <v/>
      </c>
      <c r="G39" s="48">
        <f>IF(C39&lt;=0.01,0,MAX(ROUND(C39-F39,2),0))</f>
        <v/>
      </c>
      <c r="H39" s="50">
        <f>IFERROR(IF(Calculadora!$C$6&gt;0,1-(G39/Calculadora!$C$6),0),0)</f>
        <v/>
      </c>
    </row>
    <row r="40" ht="18" customHeight="1">
      <c r="A40" s="46" t="n">
        <v>36</v>
      </c>
      <c r="B40" s="47">
        <f>IFERROR(IF(C40&lt;=0.01,"",EDATE(B39,1)),"")</f>
        <v/>
      </c>
      <c r="C40" s="48">
        <f>IF(G39&lt;=0.01,0,G39)</f>
        <v/>
      </c>
      <c r="D40" s="48">
        <f>IF(C40&lt;=0.01,0,F40+E40)</f>
        <v/>
      </c>
      <c r="E40" s="49">
        <f>IF(C40&lt;=0.01,0,ROUND(C40*Calculadora!$C$7/12,2))</f>
        <v/>
      </c>
      <c r="F40" s="48">
        <f>IF(C40&lt;=0.01,0,ROUND(Calculadora!$C$6/Calculadora!$C$8,2))</f>
        <v/>
      </c>
      <c r="G40" s="48">
        <f>IF(C40&lt;=0.01,0,MAX(ROUND(C40-F40,2),0))</f>
        <v/>
      </c>
      <c r="H40" s="50">
        <f>IFERROR(IF(Calculadora!$C$6&gt;0,1-(G40/Calculadora!$C$6),0),0)</f>
        <v/>
      </c>
    </row>
    <row r="41" ht="18" customHeight="1">
      <c r="A41" s="46" t="n">
        <v>37</v>
      </c>
      <c r="B41" s="47">
        <f>IFERROR(IF(C41&lt;=0.01,"",EDATE(B40,1)),"")</f>
        <v/>
      </c>
      <c r="C41" s="48">
        <f>IF(G40&lt;=0.01,0,G40)</f>
        <v/>
      </c>
      <c r="D41" s="48">
        <f>IF(C41&lt;=0.01,0,F41+E41)</f>
        <v/>
      </c>
      <c r="E41" s="49">
        <f>IF(C41&lt;=0.01,0,ROUND(C41*Calculadora!$C$7/12,2))</f>
        <v/>
      </c>
      <c r="F41" s="48">
        <f>IF(C41&lt;=0.01,0,ROUND(Calculadora!$C$6/Calculadora!$C$8,2))</f>
        <v/>
      </c>
      <c r="G41" s="48">
        <f>IF(C41&lt;=0.01,0,MAX(ROUND(C41-F41,2),0))</f>
        <v/>
      </c>
      <c r="H41" s="50">
        <f>IFERROR(IF(Calculadora!$C$6&gt;0,1-(G41/Calculadora!$C$6),0),0)</f>
        <v/>
      </c>
    </row>
    <row r="42" ht="18" customHeight="1">
      <c r="A42" s="46" t="n">
        <v>38</v>
      </c>
      <c r="B42" s="47">
        <f>IFERROR(IF(C42&lt;=0.01,"",EDATE(B41,1)),"")</f>
        <v/>
      </c>
      <c r="C42" s="48">
        <f>IF(G41&lt;=0.01,0,G41)</f>
        <v/>
      </c>
      <c r="D42" s="48">
        <f>IF(C42&lt;=0.01,0,F42+E42)</f>
        <v/>
      </c>
      <c r="E42" s="49">
        <f>IF(C42&lt;=0.01,0,ROUND(C42*Calculadora!$C$7/12,2))</f>
        <v/>
      </c>
      <c r="F42" s="48">
        <f>IF(C42&lt;=0.01,0,ROUND(Calculadora!$C$6/Calculadora!$C$8,2))</f>
        <v/>
      </c>
      <c r="G42" s="48">
        <f>IF(C42&lt;=0.01,0,MAX(ROUND(C42-F42,2),0))</f>
        <v/>
      </c>
      <c r="H42" s="50">
        <f>IFERROR(IF(Calculadora!$C$6&gt;0,1-(G42/Calculadora!$C$6),0),0)</f>
        <v/>
      </c>
    </row>
    <row r="43" ht="18" customHeight="1">
      <c r="A43" s="46" t="n">
        <v>39</v>
      </c>
      <c r="B43" s="47">
        <f>IFERROR(IF(C43&lt;=0.01,"",EDATE(B42,1)),"")</f>
        <v/>
      </c>
      <c r="C43" s="48">
        <f>IF(G42&lt;=0.01,0,G42)</f>
        <v/>
      </c>
      <c r="D43" s="48">
        <f>IF(C43&lt;=0.01,0,F43+E43)</f>
        <v/>
      </c>
      <c r="E43" s="49">
        <f>IF(C43&lt;=0.01,0,ROUND(C43*Calculadora!$C$7/12,2))</f>
        <v/>
      </c>
      <c r="F43" s="48">
        <f>IF(C43&lt;=0.01,0,ROUND(Calculadora!$C$6/Calculadora!$C$8,2))</f>
        <v/>
      </c>
      <c r="G43" s="48">
        <f>IF(C43&lt;=0.01,0,MAX(ROUND(C43-F43,2),0))</f>
        <v/>
      </c>
      <c r="H43" s="50">
        <f>IFERROR(IF(Calculadora!$C$6&gt;0,1-(G43/Calculadora!$C$6),0),0)</f>
        <v/>
      </c>
    </row>
    <row r="44" ht="18" customHeight="1">
      <c r="A44" s="46" t="n">
        <v>40</v>
      </c>
      <c r="B44" s="47">
        <f>IFERROR(IF(C44&lt;=0.01,"",EDATE(B43,1)),"")</f>
        <v/>
      </c>
      <c r="C44" s="48">
        <f>IF(G43&lt;=0.01,0,G43)</f>
        <v/>
      </c>
      <c r="D44" s="48">
        <f>IF(C44&lt;=0.01,0,F44+E44)</f>
        <v/>
      </c>
      <c r="E44" s="49">
        <f>IF(C44&lt;=0.01,0,ROUND(C44*Calculadora!$C$7/12,2))</f>
        <v/>
      </c>
      <c r="F44" s="48">
        <f>IF(C44&lt;=0.01,0,ROUND(Calculadora!$C$6/Calculadora!$C$8,2))</f>
        <v/>
      </c>
      <c r="G44" s="48">
        <f>IF(C44&lt;=0.01,0,MAX(ROUND(C44-F44,2),0))</f>
        <v/>
      </c>
      <c r="H44" s="50">
        <f>IFERROR(IF(Calculadora!$C$6&gt;0,1-(G44/Calculadora!$C$6),0),0)</f>
        <v/>
      </c>
    </row>
    <row r="45" ht="18" customHeight="1">
      <c r="A45" s="46" t="n">
        <v>41</v>
      </c>
      <c r="B45" s="47">
        <f>IFERROR(IF(C45&lt;=0.01,"",EDATE(B44,1)),"")</f>
        <v/>
      </c>
      <c r="C45" s="48">
        <f>IF(G44&lt;=0.01,0,G44)</f>
        <v/>
      </c>
      <c r="D45" s="48">
        <f>IF(C45&lt;=0.01,0,F45+E45)</f>
        <v/>
      </c>
      <c r="E45" s="49">
        <f>IF(C45&lt;=0.01,0,ROUND(C45*Calculadora!$C$7/12,2))</f>
        <v/>
      </c>
      <c r="F45" s="48">
        <f>IF(C45&lt;=0.01,0,ROUND(Calculadora!$C$6/Calculadora!$C$8,2))</f>
        <v/>
      </c>
      <c r="G45" s="48">
        <f>IF(C45&lt;=0.01,0,MAX(ROUND(C45-F45,2),0))</f>
        <v/>
      </c>
      <c r="H45" s="50">
        <f>IFERROR(IF(Calculadora!$C$6&gt;0,1-(G45/Calculadora!$C$6),0),0)</f>
        <v/>
      </c>
    </row>
    <row r="46" ht="18" customHeight="1">
      <c r="A46" s="46" t="n">
        <v>42</v>
      </c>
      <c r="B46" s="47">
        <f>IFERROR(IF(C46&lt;=0.01,"",EDATE(B45,1)),"")</f>
        <v/>
      </c>
      <c r="C46" s="48">
        <f>IF(G45&lt;=0.01,0,G45)</f>
        <v/>
      </c>
      <c r="D46" s="48">
        <f>IF(C46&lt;=0.01,0,F46+E46)</f>
        <v/>
      </c>
      <c r="E46" s="49">
        <f>IF(C46&lt;=0.01,0,ROUND(C46*Calculadora!$C$7/12,2))</f>
        <v/>
      </c>
      <c r="F46" s="48">
        <f>IF(C46&lt;=0.01,0,ROUND(Calculadora!$C$6/Calculadora!$C$8,2))</f>
        <v/>
      </c>
      <c r="G46" s="48">
        <f>IF(C46&lt;=0.01,0,MAX(ROUND(C46-F46,2),0))</f>
        <v/>
      </c>
      <c r="H46" s="50">
        <f>IFERROR(IF(Calculadora!$C$6&gt;0,1-(G46/Calculadora!$C$6),0),0)</f>
        <v/>
      </c>
    </row>
    <row r="47" ht="18" customHeight="1">
      <c r="A47" s="46" t="n">
        <v>43</v>
      </c>
      <c r="B47" s="47">
        <f>IFERROR(IF(C47&lt;=0.01,"",EDATE(B46,1)),"")</f>
        <v/>
      </c>
      <c r="C47" s="48">
        <f>IF(G46&lt;=0.01,0,G46)</f>
        <v/>
      </c>
      <c r="D47" s="48">
        <f>IF(C47&lt;=0.01,0,F47+E47)</f>
        <v/>
      </c>
      <c r="E47" s="49">
        <f>IF(C47&lt;=0.01,0,ROUND(C47*Calculadora!$C$7/12,2))</f>
        <v/>
      </c>
      <c r="F47" s="48">
        <f>IF(C47&lt;=0.01,0,ROUND(Calculadora!$C$6/Calculadora!$C$8,2))</f>
        <v/>
      </c>
      <c r="G47" s="48">
        <f>IF(C47&lt;=0.01,0,MAX(ROUND(C47-F47,2),0))</f>
        <v/>
      </c>
      <c r="H47" s="50">
        <f>IFERROR(IF(Calculadora!$C$6&gt;0,1-(G47/Calculadora!$C$6),0),0)</f>
        <v/>
      </c>
    </row>
    <row r="48" ht="18" customHeight="1">
      <c r="A48" s="46" t="n">
        <v>44</v>
      </c>
      <c r="B48" s="47">
        <f>IFERROR(IF(C48&lt;=0.01,"",EDATE(B47,1)),"")</f>
        <v/>
      </c>
      <c r="C48" s="48">
        <f>IF(G47&lt;=0.01,0,G47)</f>
        <v/>
      </c>
      <c r="D48" s="48">
        <f>IF(C48&lt;=0.01,0,F48+E48)</f>
        <v/>
      </c>
      <c r="E48" s="49">
        <f>IF(C48&lt;=0.01,0,ROUND(C48*Calculadora!$C$7/12,2))</f>
        <v/>
      </c>
      <c r="F48" s="48">
        <f>IF(C48&lt;=0.01,0,ROUND(Calculadora!$C$6/Calculadora!$C$8,2))</f>
        <v/>
      </c>
      <c r="G48" s="48">
        <f>IF(C48&lt;=0.01,0,MAX(ROUND(C48-F48,2),0))</f>
        <v/>
      </c>
      <c r="H48" s="50">
        <f>IFERROR(IF(Calculadora!$C$6&gt;0,1-(G48/Calculadora!$C$6),0),0)</f>
        <v/>
      </c>
    </row>
    <row r="49" ht="18" customHeight="1">
      <c r="A49" s="46" t="n">
        <v>45</v>
      </c>
      <c r="B49" s="47">
        <f>IFERROR(IF(C49&lt;=0.01,"",EDATE(B48,1)),"")</f>
        <v/>
      </c>
      <c r="C49" s="48">
        <f>IF(G48&lt;=0.01,0,G48)</f>
        <v/>
      </c>
      <c r="D49" s="48">
        <f>IF(C49&lt;=0.01,0,F49+E49)</f>
        <v/>
      </c>
      <c r="E49" s="49">
        <f>IF(C49&lt;=0.01,0,ROUND(C49*Calculadora!$C$7/12,2))</f>
        <v/>
      </c>
      <c r="F49" s="48">
        <f>IF(C49&lt;=0.01,0,ROUND(Calculadora!$C$6/Calculadora!$C$8,2))</f>
        <v/>
      </c>
      <c r="G49" s="48">
        <f>IF(C49&lt;=0.01,0,MAX(ROUND(C49-F49,2),0))</f>
        <v/>
      </c>
      <c r="H49" s="50">
        <f>IFERROR(IF(Calculadora!$C$6&gt;0,1-(G49/Calculadora!$C$6),0),0)</f>
        <v/>
      </c>
    </row>
    <row r="50" ht="18" customHeight="1">
      <c r="A50" s="46" t="n">
        <v>46</v>
      </c>
      <c r="B50" s="47">
        <f>IFERROR(IF(C50&lt;=0.01,"",EDATE(B49,1)),"")</f>
        <v/>
      </c>
      <c r="C50" s="48">
        <f>IF(G49&lt;=0.01,0,G49)</f>
        <v/>
      </c>
      <c r="D50" s="48">
        <f>IF(C50&lt;=0.01,0,F50+E50)</f>
        <v/>
      </c>
      <c r="E50" s="49">
        <f>IF(C50&lt;=0.01,0,ROUND(C50*Calculadora!$C$7/12,2))</f>
        <v/>
      </c>
      <c r="F50" s="48">
        <f>IF(C50&lt;=0.01,0,ROUND(Calculadora!$C$6/Calculadora!$C$8,2))</f>
        <v/>
      </c>
      <c r="G50" s="48">
        <f>IF(C50&lt;=0.01,0,MAX(ROUND(C50-F50,2),0))</f>
        <v/>
      </c>
      <c r="H50" s="50">
        <f>IFERROR(IF(Calculadora!$C$6&gt;0,1-(G50/Calculadora!$C$6),0),0)</f>
        <v/>
      </c>
    </row>
    <row r="51" ht="18" customHeight="1">
      <c r="A51" s="46" t="n">
        <v>47</v>
      </c>
      <c r="B51" s="47">
        <f>IFERROR(IF(C51&lt;=0.01,"",EDATE(B50,1)),"")</f>
        <v/>
      </c>
      <c r="C51" s="48">
        <f>IF(G50&lt;=0.01,0,G50)</f>
        <v/>
      </c>
      <c r="D51" s="48">
        <f>IF(C51&lt;=0.01,0,F51+E51)</f>
        <v/>
      </c>
      <c r="E51" s="49">
        <f>IF(C51&lt;=0.01,0,ROUND(C51*Calculadora!$C$7/12,2))</f>
        <v/>
      </c>
      <c r="F51" s="48">
        <f>IF(C51&lt;=0.01,0,ROUND(Calculadora!$C$6/Calculadora!$C$8,2))</f>
        <v/>
      </c>
      <c r="G51" s="48">
        <f>IF(C51&lt;=0.01,0,MAX(ROUND(C51-F51,2),0))</f>
        <v/>
      </c>
      <c r="H51" s="50">
        <f>IFERROR(IF(Calculadora!$C$6&gt;0,1-(G51/Calculadora!$C$6),0),0)</f>
        <v/>
      </c>
    </row>
    <row r="52" ht="18" customHeight="1">
      <c r="A52" s="46" t="n">
        <v>48</v>
      </c>
      <c r="B52" s="47">
        <f>IFERROR(IF(C52&lt;=0.01,"",EDATE(B51,1)),"")</f>
        <v/>
      </c>
      <c r="C52" s="48">
        <f>IF(G51&lt;=0.01,0,G51)</f>
        <v/>
      </c>
      <c r="D52" s="48">
        <f>IF(C52&lt;=0.01,0,F52+E52)</f>
        <v/>
      </c>
      <c r="E52" s="49">
        <f>IF(C52&lt;=0.01,0,ROUND(C52*Calculadora!$C$7/12,2))</f>
        <v/>
      </c>
      <c r="F52" s="48">
        <f>IF(C52&lt;=0.01,0,ROUND(Calculadora!$C$6/Calculadora!$C$8,2))</f>
        <v/>
      </c>
      <c r="G52" s="48">
        <f>IF(C52&lt;=0.01,0,MAX(ROUND(C52-F52,2),0))</f>
        <v/>
      </c>
      <c r="H52" s="50">
        <f>IFERROR(IF(Calculadora!$C$6&gt;0,1-(G52/Calculadora!$C$6),0),0)</f>
        <v/>
      </c>
    </row>
    <row r="53" ht="18" customHeight="1">
      <c r="A53" s="46" t="n">
        <v>49</v>
      </c>
      <c r="B53" s="47">
        <f>IFERROR(IF(C53&lt;=0.01,"",EDATE(B52,1)),"")</f>
        <v/>
      </c>
      <c r="C53" s="48">
        <f>IF(G52&lt;=0.01,0,G52)</f>
        <v/>
      </c>
      <c r="D53" s="48">
        <f>IF(C53&lt;=0.01,0,F53+E53)</f>
        <v/>
      </c>
      <c r="E53" s="49">
        <f>IF(C53&lt;=0.01,0,ROUND(C53*Calculadora!$C$7/12,2))</f>
        <v/>
      </c>
      <c r="F53" s="48">
        <f>IF(C53&lt;=0.01,0,ROUND(Calculadora!$C$6/Calculadora!$C$8,2))</f>
        <v/>
      </c>
      <c r="G53" s="48">
        <f>IF(C53&lt;=0.01,0,MAX(ROUND(C53-F53,2),0))</f>
        <v/>
      </c>
      <c r="H53" s="50">
        <f>IFERROR(IF(Calculadora!$C$6&gt;0,1-(G53/Calculadora!$C$6),0),0)</f>
        <v/>
      </c>
    </row>
    <row r="54" ht="18" customHeight="1">
      <c r="A54" s="46" t="n">
        <v>50</v>
      </c>
      <c r="B54" s="47">
        <f>IFERROR(IF(C54&lt;=0.01,"",EDATE(B53,1)),"")</f>
        <v/>
      </c>
      <c r="C54" s="48">
        <f>IF(G53&lt;=0.01,0,G53)</f>
        <v/>
      </c>
      <c r="D54" s="48">
        <f>IF(C54&lt;=0.01,0,F54+E54)</f>
        <v/>
      </c>
      <c r="E54" s="49">
        <f>IF(C54&lt;=0.01,0,ROUND(C54*Calculadora!$C$7/12,2))</f>
        <v/>
      </c>
      <c r="F54" s="48">
        <f>IF(C54&lt;=0.01,0,ROUND(Calculadora!$C$6/Calculadora!$C$8,2))</f>
        <v/>
      </c>
      <c r="G54" s="48">
        <f>IF(C54&lt;=0.01,0,MAX(ROUND(C54-F54,2),0))</f>
        <v/>
      </c>
      <c r="H54" s="50">
        <f>IFERROR(IF(Calculadora!$C$6&gt;0,1-(G54/Calculadora!$C$6),0),0)</f>
        <v/>
      </c>
    </row>
    <row r="55" ht="18" customHeight="1">
      <c r="A55" s="46" t="n">
        <v>51</v>
      </c>
      <c r="B55" s="47">
        <f>IFERROR(IF(C55&lt;=0.01,"",EDATE(B54,1)),"")</f>
        <v/>
      </c>
      <c r="C55" s="48">
        <f>IF(G54&lt;=0.01,0,G54)</f>
        <v/>
      </c>
      <c r="D55" s="48">
        <f>IF(C55&lt;=0.01,0,F55+E55)</f>
        <v/>
      </c>
      <c r="E55" s="49">
        <f>IF(C55&lt;=0.01,0,ROUND(C55*Calculadora!$C$7/12,2))</f>
        <v/>
      </c>
      <c r="F55" s="48">
        <f>IF(C55&lt;=0.01,0,ROUND(Calculadora!$C$6/Calculadora!$C$8,2))</f>
        <v/>
      </c>
      <c r="G55" s="48">
        <f>IF(C55&lt;=0.01,0,MAX(ROUND(C55-F55,2),0))</f>
        <v/>
      </c>
      <c r="H55" s="50">
        <f>IFERROR(IF(Calculadora!$C$6&gt;0,1-(G55/Calculadora!$C$6),0),0)</f>
        <v/>
      </c>
    </row>
    <row r="56" ht="18" customHeight="1">
      <c r="A56" s="46" t="n">
        <v>52</v>
      </c>
      <c r="B56" s="47">
        <f>IFERROR(IF(C56&lt;=0.01,"",EDATE(B55,1)),"")</f>
        <v/>
      </c>
      <c r="C56" s="48">
        <f>IF(G55&lt;=0.01,0,G55)</f>
        <v/>
      </c>
      <c r="D56" s="48">
        <f>IF(C56&lt;=0.01,0,F56+E56)</f>
        <v/>
      </c>
      <c r="E56" s="49">
        <f>IF(C56&lt;=0.01,0,ROUND(C56*Calculadora!$C$7/12,2))</f>
        <v/>
      </c>
      <c r="F56" s="48">
        <f>IF(C56&lt;=0.01,0,ROUND(Calculadora!$C$6/Calculadora!$C$8,2))</f>
        <v/>
      </c>
      <c r="G56" s="48">
        <f>IF(C56&lt;=0.01,0,MAX(ROUND(C56-F56,2),0))</f>
        <v/>
      </c>
      <c r="H56" s="50">
        <f>IFERROR(IF(Calculadora!$C$6&gt;0,1-(G56/Calculadora!$C$6),0),0)</f>
        <v/>
      </c>
    </row>
    <row r="57" ht="18" customHeight="1">
      <c r="A57" s="46" t="n">
        <v>53</v>
      </c>
      <c r="B57" s="47">
        <f>IFERROR(IF(C57&lt;=0.01,"",EDATE(B56,1)),"")</f>
        <v/>
      </c>
      <c r="C57" s="48">
        <f>IF(G56&lt;=0.01,0,G56)</f>
        <v/>
      </c>
      <c r="D57" s="48">
        <f>IF(C57&lt;=0.01,0,F57+E57)</f>
        <v/>
      </c>
      <c r="E57" s="49">
        <f>IF(C57&lt;=0.01,0,ROUND(C57*Calculadora!$C$7/12,2))</f>
        <v/>
      </c>
      <c r="F57" s="48">
        <f>IF(C57&lt;=0.01,0,ROUND(Calculadora!$C$6/Calculadora!$C$8,2))</f>
        <v/>
      </c>
      <c r="G57" s="48">
        <f>IF(C57&lt;=0.01,0,MAX(ROUND(C57-F57,2),0))</f>
        <v/>
      </c>
      <c r="H57" s="50">
        <f>IFERROR(IF(Calculadora!$C$6&gt;0,1-(G57/Calculadora!$C$6),0),0)</f>
        <v/>
      </c>
    </row>
    <row r="58" ht="18" customHeight="1">
      <c r="A58" s="46" t="n">
        <v>54</v>
      </c>
      <c r="B58" s="47">
        <f>IFERROR(IF(C58&lt;=0.01,"",EDATE(B57,1)),"")</f>
        <v/>
      </c>
      <c r="C58" s="48">
        <f>IF(G57&lt;=0.01,0,G57)</f>
        <v/>
      </c>
      <c r="D58" s="48">
        <f>IF(C58&lt;=0.01,0,F58+E58)</f>
        <v/>
      </c>
      <c r="E58" s="49">
        <f>IF(C58&lt;=0.01,0,ROUND(C58*Calculadora!$C$7/12,2))</f>
        <v/>
      </c>
      <c r="F58" s="48">
        <f>IF(C58&lt;=0.01,0,ROUND(Calculadora!$C$6/Calculadora!$C$8,2))</f>
        <v/>
      </c>
      <c r="G58" s="48">
        <f>IF(C58&lt;=0.01,0,MAX(ROUND(C58-F58,2),0))</f>
        <v/>
      </c>
      <c r="H58" s="50">
        <f>IFERROR(IF(Calculadora!$C$6&gt;0,1-(G58/Calculadora!$C$6),0),0)</f>
        <v/>
      </c>
    </row>
    <row r="59" ht="18" customHeight="1">
      <c r="A59" s="46" t="n">
        <v>55</v>
      </c>
      <c r="B59" s="47">
        <f>IFERROR(IF(C59&lt;=0.01,"",EDATE(B58,1)),"")</f>
        <v/>
      </c>
      <c r="C59" s="48">
        <f>IF(G58&lt;=0.01,0,G58)</f>
        <v/>
      </c>
      <c r="D59" s="48">
        <f>IF(C59&lt;=0.01,0,F59+E59)</f>
        <v/>
      </c>
      <c r="E59" s="49">
        <f>IF(C59&lt;=0.01,0,ROUND(C59*Calculadora!$C$7/12,2))</f>
        <v/>
      </c>
      <c r="F59" s="48">
        <f>IF(C59&lt;=0.01,0,ROUND(Calculadora!$C$6/Calculadora!$C$8,2))</f>
        <v/>
      </c>
      <c r="G59" s="48">
        <f>IF(C59&lt;=0.01,0,MAX(ROUND(C59-F59,2),0))</f>
        <v/>
      </c>
      <c r="H59" s="50">
        <f>IFERROR(IF(Calculadora!$C$6&gt;0,1-(G59/Calculadora!$C$6),0),0)</f>
        <v/>
      </c>
    </row>
    <row r="60" ht="18" customHeight="1">
      <c r="A60" s="46" t="n">
        <v>56</v>
      </c>
      <c r="B60" s="47">
        <f>IFERROR(IF(C60&lt;=0.01,"",EDATE(B59,1)),"")</f>
        <v/>
      </c>
      <c r="C60" s="48">
        <f>IF(G59&lt;=0.01,0,G59)</f>
        <v/>
      </c>
      <c r="D60" s="48">
        <f>IF(C60&lt;=0.01,0,F60+E60)</f>
        <v/>
      </c>
      <c r="E60" s="49">
        <f>IF(C60&lt;=0.01,0,ROUND(C60*Calculadora!$C$7/12,2))</f>
        <v/>
      </c>
      <c r="F60" s="48">
        <f>IF(C60&lt;=0.01,0,ROUND(Calculadora!$C$6/Calculadora!$C$8,2))</f>
        <v/>
      </c>
      <c r="G60" s="48">
        <f>IF(C60&lt;=0.01,0,MAX(ROUND(C60-F60,2),0))</f>
        <v/>
      </c>
      <c r="H60" s="50">
        <f>IFERROR(IF(Calculadora!$C$6&gt;0,1-(G60/Calculadora!$C$6),0),0)</f>
        <v/>
      </c>
    </row>
    <row r="61" ht="18" customHeight="1">
      <c r="A61" s="46" t="n">
        <v>57</v>
      </c>
      <c r="B61" s="47">
        <f>IFERROR(IF(C61&lt;=0.01,"",EDATE(B60,1)),"")</f>
        <v/>
      </c>
      <c r="C61" s="48">
        <f>IF(G60&lt;=0.01,0,G60)</f>
        <v/>
      </c>
      <c r="D61" s="48">
        <f>IF(C61&lt;=0.01,0,F61+E61)</f>
        <v/>
      </c>
      <c r="E61" s="49">
        <f>IF(C61&lt;=0.01,0,ROUND(C61*Calculadora!$C$7/12,2))</f>
        <v/>
      </c>
      <c r="F61" s="48">
        <f>IF(C61&lt;=0.01,0,ROUND(Calculadora!$C$6/Calculadora!$C$8,2))</f>
        <v/>
      </c>
      <c r="G61" s="48">
        <f>IF(C61&lt;=0.01,0,MAX(ROUND(C61-F61,2),0))</f>
        <v/>
      </c>
      <c r="H61" s="50">
        <f>IFERROR(IF(Calculadora!$C$6&gt;0,1-(G61/Calculadora!$C$6),0),0)</f>
        <v/>
      </c>
    </row>
    <row r="62" ht="18" customHeight="1">
      <c r="A62" s="46" t="n">
        <v>58</v>
      </c>
      <c r="B62" s="47">
        <f>IFERROR(IF(C62&lt;=0.01,"",EDATE(B61,1)),"")</f>
        <v/>
      </c>
      <c r="C62" s="48">
        <f>IF(G61&lt;=0.01,0,G61)</f>
        <v/>
      </c>
      <c r="D62" s="48">
        <f>IF(C62&lt;=0.01,0,F62+E62)</f>
        <v/>
      </c>
      <c r="E62" s="49">
        <f>IF(C62&lt;=0.01,0,ROUND(C62*Calculadora!$C$7/12,2))</f>
        <v/>
      </c>
      <c r="F62" s="48">
        <f>IF(C62&lt;=0.01,0,ROUND(Calculadora!$C$6/Calculadora!$C$8,2))</f>
        <v/>
      </c>
      <c r="G62" s="48">
        <f>IF(C62&lt;=0.01,0,MAX(ROUND(C62-F62,2),0))</f>
        <v/>
      </c>
      <c r="H62" s="50">
        <f>IFERROR(IF(Calculadora!$C$6&gt;0,1-(G62/Calculadora!$C$6),0),0)</f>
        <v/>
      </c>
    </row>
    <row r="63" ht="18" customHeight="1">
      <c r="A63" s="46" t="n">
        <v>59</v>
      </c>
      <c r="B63" s="47">
        <f>IFERROR(IF(C63&lt;=0.01,"",EDATE(B62,1)),"")</f>
        <v/>
      </c>
      <c r="C63" s="48">
        <f>IF(G62&lt;=0.01,0,G62)</f>
        <v/>
      </c>
      <c r="D63" s="48">
        <f>IF(C63&lt;=0.01,0,F63+E63)</f>
        <v/>
      </c>
      <c r="E63" s="49">
        <f>IF(C63&lt;=0.01,0,ROUND(C63*Calculadora!$C$7/12,2))</f>
        <v/>
      </c>
      <c r="F63" s="48">
        <f>IF(C63&lt;=0.01,0,ROUND(Calculadora!$C$6/Calculadora!$C$8,2))</f>
        <v/>
      </c>
      <c r="G63" s="48">
        <f>IF(C63&lt;=0.01,0,MAX(ROUND(C63-F63,2),0))</f>
        <v/>
      </c>
      <c r="H63" s="50">
        <f>IFERROR(IF(Calculadora!$C$6&gt;0,1-(G63/Calculadora!$C$6),0),0)</f>
        <v/>
      </c>
    </row>
    <row r="64" ht="18" customHeight="1">
      <c r="A64" s="46" t="n">
        <v>60</v>
      </c>
      <c r="B64" s="47">
        <f>IFERROR(IF(C64&lt;=0.01,"",EDATE(B63,1)),"")</f>
        <v/>
      </c>
      <c r="C64" s="48">
        <f>IF(G63&lt;=0.01,0,G63)</f>
        <v/>
      </c>
      <c r="D64" s="48">
        <f>IF(C64&lt;=0.01,0,F64+E64)</f>
        <v/>
      </c>
      <c r="E64" s="49">
        <f>IF(C64&lt;=0.01,0,ROUND(C64*Calculadora!$C$7/12,2))</f>
        <v/>
      </c>
      <c r="F64" s="48">
        <f>IF(C64&lt;=0.01,0,ROUND(Calculadora!$C$6/Calculadora!$C$8,2))</f>
        <v/>
      </c>
      <c r="G64" s="48">
        <f>IF(C64&lt;=0.01,0,MAX(ROUND(C64-F64,2),0))</f>
        <v/>
      </c>
      <c r="H64" s="50">
        <f>IFERROR(IF(Calculadora!$C$6&gt;0,1-(G64/Calculadora!$C$6),0),0)</f>
        <v/>
      </c>
    </row>
    <row r="65" ht="18" customHeight="1">
      <c r="A65" s="46" t="n">
        <v>61</v>
      </c>
      <c r="B65" s="47">
        <f>IFERROR(IF(C65&lt;=0.01,"",EDATE(B64,1)),"")</f>
        <v/>
      </c>
      <c r="C65" s="48">
        <f>IF(G64&lt;=0.01,0,G64)</f>
        <v/>
      </c>
      <c r="D65" s="48">
        <f>IF(C65&lt;=0.01,0,F65+E65)</f>
        <v/>
      </c>
      <c r="E65" s="49">
        <f>IF(C65&lt;=0.01,0,ROUND(C65*Calculadora!$C$7/12,2))</f>
        <v/>
      </c>
      <c r="F65" s="48">
        <f>IF(C65&lt;=0.01,0,ROUND(Calculadora!$C$6/Calculadora!$C$8,2))</f>
        <v/>
      </c>
      <c r="G65" s="48">
        <f>IF(C65&lt;=0.01,0,MAX(ROUND(C65-F65,2),0))</f>
        <v/>
      </c>
      <c r="H65" s="50">
        <f>IFERROR(IF(Calculadora!$C$6&gt;0,1-(G65/Calculadora!$C$6),0),0)</f>
        <v/>
      </c>
    </row>
    <row r="66" ht="18" customHeight="1">
      <c r="A66" s="46" t="n">
        <v>62</v>
      </c>
      <c r="B66" s="47">
        <f>IFERROR(IF(C66&lt;=0.01,"",EDATE(B65,1)),"")</f>
        <v/>
      </c>
      <c r="C66" s="48">
        <f>IF(G65&lt;=0.01,0,G65)</f>
        <v/>
      </c>
      <c r="D66" s="48">
        <f>IF(C66&lt;=0.01,0,F66+E66)</f>
        <v/>
      </c>
      <c r="E66" s="49">
        <f>IF(C66&lt;=0.01,0,ROUND(C66*Calculadora!$C$7/12,2))</f>
        <v/>
      </c>
      <c r="F66" s="48">
        <f>IF(C66&lt;=0.01,0,ROUND(Calculadora!$C$6/Calculadora!$C$8,2))</f>
        <v/>
      </c>
      <c r="G66" s="48">
        <f>IF(C66&lt;=0.01,0,MAX(ROUND(C66-F66,2),0))</f>
        <v/>
      </c>
      <c r="H66" s="50">
        <f>IFERROR(IF(Calculadora!$C$6&gt;0,1-(G66/Calculadora!$C$6),0),0)</f>
        <v/>
      </c>
    </row>
    <row r="67" ht="18" customHeight="1">
      <c r="A67" s="46" t="n">
        <v>63</v>
      </c>
      <c r="B67" s="47">
        <f>IFERROR(IF(C67&lt;=0.01,"",EDATE(B66,1)),"")</f>
        <v/>
      </c>
      <c r="C67" s="48">
        <f>IF(G66&lt;=0.01,0,G66)</f>
        <v/>
      </c>
      <c r="D67" s="48">
        <f>IF(C67&lt;=0.01,0,F67+E67)</f>
        <v/>
      </c>
      <c r="E67" s="49">
        <f>IF(C67&lt;=0.01,0,ROUND(C67*Calculadora!$C$7/12,2))</f>
        <v/>
      </c>
      <c r="F67" s="48">
        <f>IF(C67&lt;=0.01,0,ROUND(Calculadora!$C$6/Calculadora!$C$8,2))</f>
        <v/>
      </c>
      <c r="G67" s="48">
        <f>IF(C67&lt;=0.01,0,MAX(ROUND(C67-F67,2),0))</f>
        <v/>
      </c>
      <c r="H67" s="50">
        <f>IFERROR(IF(Calculadora!$C$6&gt;0,1-(G67/Calculadora!$C$6),0),0)</f>
        <v/>
      </c>
    </row>
    <row r="68" ht="18" customHeight="1">
      <c r="A68" s="46" t="n">
        <v>64</v>
      </c>
      <c r="B68" s="47">
        <f>IFERROR(IF(C68&lt;=0.01,"",EDATE(B67,1)),"")</f>
        <v/>
      </c>
      <c r="C68" s="48">
        <f>IF(G67&lt;=0.01,0,G67)</f>
        <v/>
      </c>
      <c r="D68" s="48">
        <f>IF(C68&lt;=0.01,0,F68+E68)</f>
        <v/>
      </c>
      <c r="E68" s="49">
        <f>IF(C68&lt;=0.01,0,ROUND(C68*Calculadora!$C$7/12,2))</f>
        <v/>
      </c>
      <c r="F68" s="48">
        <f>IF(C68&lt;=0.01,0,ROUND(Calculadora!$C$6/Calculadora!$C$8,2))</f>
        <v/>
      </c>
      <c r="G68" s="48">
        <f>IF(C68&lt;=0.01,0,MAX(ROUND(C68-F68,2),0))</f>
        <v/>
      </c>
      <c r="H68" s="50">
        <f>IFERROR(IF(Calculadora!$C$6&gt;0,1-(G68/Calculadora!$C$6),0),0)</f>
        <v/>
      </c>
    </row>
    <row r="69" ht="18" customHeight="1">
      <c r="A69" s="46" t="n">
        <v>65</v>
      </c>
      <c r="B69" s="47">
        <f>IFERROR(IF(C69&lt;=0.01,"",EDATE(B68,1)),"")</f>
        <v/>
      </c>
      <c r="C69" s="48">
        <f>IF(G68&lt;=0.01,0,G68)</f>
        <v/>
      </c>
      <c r="D69" s="48">
        <f>IF(C69&lt;=0.01,0,F69+E69)</f>
        <v/>
      </c>
      <c r="E69" s="49">
        <f>IF(C69&lt;=0.01,0,ROUND(C69*Calculadora!$C$7/12,2))</f>
        <v/>
      </c>
      <c r="F69" s="48">
        <f>IF(C69&lt;=0.01,0,ROUND(Calculadora!$C$6/Calculadora!$C$8,2))</f>
        <v/>
      </c>
      <c r="G69" s="48">
        <f>IF(C69&lt;=0.01,0,MAX(ROUND(C69-F69,2),0))</f>
        <v/>
      </c>
      <c r="H69" s="50">
        <f>IFERROR(IF(Calculadora!$C$6&gt;0,1-(G69/Calculadora!$C$6),0),0)</f>
        <v/>
      </c>
    </row>
    <row r="70" ht="18" customHeight="1">
      <c r="A70" s="46" t="n">
        <v>66</v>
      </c>
      <c r="B70" s="47">
        <f>IFERROR(IF(C70&lt;=0.01,"",EDATE(B69,1)),"")</f>
        <v/>
      </c>
      <c r="C70" s="48">
        <f>IF(G69&lt;=0.01,0,G69)</f>
        <v/>
      </c>
      <c r="D70" s="48">
        <f>IF(C70&lt;=0.01,0,F70+E70)</f>
        <v/>
      </c>
      <c r="E70" s="49">
        <f>IF(C70&lt;=0.01,0,ROUND(C70*Calculadora!$C$7/12,2))</f>
        <v/>
      </c>
      <c r="F70" s="48">
        <f>IF(C70&lt;=0.01,0,ROUND(Calculadora!$C$6/Calculadora!$C$8,2))</f>
        <v/>
      </c>
      <c r="G70" s="48">
        <f>IF(C70&lt;=0.01,0,MAX(ROUND(C70-F70,2),0))</f>
        <v/>
      </c>
      <c r="H70" s="50">
        <f>IFERROR(IF(Calculadora!$C$6&gt;0,1-(G70/Calculadora!$C$6),0),0)</f>
        <v/>
      </c>
    </row>
    <row r="71" ht="18" customHeight="1">
      <c r="A71" s="46" t="n">
        <v>67</v>
      </c>
      <c r="B71" s="47">
        <f>IFERROR(IF(C71&lt;=0.01,"",EDATE(B70,1)),"")</f>
        <v/>
      </c>
      <c r="C71" s="48">
        <f>IF(G70&lt;=0.01,0,G70)</f>
        <v/>
      </c>
      <c r="D71" s="48">
        <f>IF(C71&lt;=0.01,0,F71+E71)</f>
        <v/>
      </c>
      <c r="E71" s="49">
        <f>IF(C71&lt;=0.01,0,ROUND(C71*Calculadora!$C$7/12,2))</f>
        <v/>
      </c>
      <c r="F71" s="48">
        <f>IF(C71&lt;=0.01,0,ROUND(Calculadora!$C$6/Calculadora!$C$8,2))</f>
        <v/>
      </c>
      <c r="G71" s="48">
        <f>IF(C71&lt;=0.01,0,MAX(ROUND(C71-F71,2),0))</f>
        <v/>
      </c>
      <c r="H71" s="50">
        <f>IFERROR(IF(Calculadora!$C$6&gt;0,1-(G71/Calculadora!$C$6),0),0)</f>
        <v/>
      </c>
    </row>
    <row r="72" ht="18" customHeight="1">
      <c r="A72" s="46" t="n">
        <v>68</v>
      </c>
      <c r="B72" s="47">
        <f>IFERROR(IF(C72&lt;=0.01,"",EDATE(B71,1)),"")</f>
        <v/>
      </c>
      <c r="C72" s="48">
        <f>IF(G71&lt;=0.01,0,G71)</f>
        <v/>
      </c>
      <c r="D72" s="48">
        <f>IF(C72&lt;=0.01,0,F72+E72)</f>
        <v/>
      </c>
      <c r="E72" s="49">
        <f>IF(C72&lt;=0.01,0,ROUND(C72*Calculadora!$C$7/12,2))</f>
        <v/>
      </c>
      <c r="F72" s="48">
        <f>IF(C72&lt;=0.01,0,ROUND(Calculadora!$C$6/Calculadora!$C$8,2))</f>
        <v/>
      </c>
      <c r="G72" s="48">
        <f>IF(C72&lt;=0.01,0,MAX(ROUND(C72-F72,2),0))</f>
        <v/>
      </c>
      <c r="H72" s="50">
        <f>IFERROR(IF(Calculadora!$C$6&gt;0,1-(G72/Calculadora!$C$6),0),0)</f>
        <v/>
      </c>
    </row>
    <row r="73" ht="18" customHeight="1">
      <c r="A73" s="46" t="n">
        <v>69</v>
      </c>
      <c r="B73" s="47">
        <f>IFERROR(IF(C73&lt;=0.01,"",EDATE(B72,1)),"")</f>
        <v/>
      </c>
      <c r="C73" s="48">
        <f>IF(G72&lt;=0.01,0,G72)</f>
        <v/>
      </c>
      <c r="D73" s="48">
        <f>IF(C73&lt;=0.01,0,F73+E73)</f>
        <v/>
      </c>
      <c r="E73" s="49">
        <f>IF(C73&lt;=0.01,0,ROUND(C73*Calculadora!$C$7/12,2))</f>
        <v/>
      </c>
      <c r="F73" s="48">
        <f>IF(C73&lt;=0.01,0,ROUND(Calculadora!$C$6/Calculadora!$C$8,2))</f>
        <v/>
      </c>
      <c r="G73" s="48">
        <f>IF(C73&lt;=0.01,0,MAX(ROUND(C73-F73,2),0))</f>
        <v/>
      </c>
      <c r="H73" s="50">
        <f>IFERROR(IF(Calculadora!$C$6&gt;0,1-(G73/Calculadora!$C$6),0),0)</f>
        <v/>
      </c>
    </row>
    <row r="74" ht="18" customHeight="1">
      <c r="A74" s="46" t="n">
        <v>70</v>
      </c>
      <c r="B74" s="47">
        <f>IFERROR(IF(C74&lt;=0.01,"",EDATE(B73,1)),"")</f>
        <v/>
      </c>
      <c r="C74" s="48">
        <f>IF(G73&lt;=0.01,0,G73)</f>
        <v/>
      </c>
      <c r="D74" s="48">
        <f>IF(C74&lt;=0.01,0,F74+E74)</f>
        <v/>
      </c>
      <c r="E74" s="49">
        <f>IF(C74&lt;=0.01,0,ROUND(C74*Calculadora!$C$7/12,2))</f>
        <v/>
      </c>
      <c r="F74" s="48">
        <f>IF(C74&lt;=0.01,0,ROUND(Calculadora!$C$6/Calculadora!$C$8,2))</f>
        <v/>
      </c>
      <c r="G74" s="48">
        <f>IF(C74&lt;=0.01,0,MAX(ROUND(C74-F74,2),0))</f>
        <v/>
      </c>
      <c r="H74" s="50">
        <f>IFERROR(IF(Calculadora!$C$6&gt;0,1-(G74/Calculadora!$C$6),0),0)</f>
        <v/>
      </c>
    </row>
    <row r="75" ht="18" customHeight="1">
      <c r="A75" s="46" t="n">
        <v>71</v>
      </c>
      <c r="B75" s="47">
        <f>IFERROR(IF(C75&lt;=0.01,"",EDATE(B74,1)),"")</f>
        <v/>
      </c>
      <c r="C75" s="48">
        <f>IF(G74&lt;=0.01,0,G74)</f>
        <v/>
      </c>
      <c r="D75" s="48">
        <f>IF(C75&lt;=0.01,0,F75+E75)</f>
        <v/>
      </c>
      <c r="E75" s="49">
        <f>IF(C75&lt;=0.01,0,ROUND(C75*Calculadora!$C$7/12,2))</f>
        <v/>
      </c>
      <c r="F75" s="48">
        <f>IF(C75&lt;=0.01,0,ROUND(Calculadora!$C$6/Calculadora!$C$8,2))</f>
        <v/>
      </c>
      <c r="G75" s="48">
        <f>IF(C75&lt;=0.01,0,MAX(ROUND(C75-F75,2),0))</f>
        <v/>
      </c>
      <c r="H75" s="50">
        <f>IFERROR(IF(Calculadora!$C$6&gt;0,1-(G75/Calculadora!$C$6),0),0)</f>
        <v/>
      </c>
    </row>
    <row r="76" ht="18" customHeight="1">
      <c r="A76" s="46" t="n">
        <v>72</v>
      </c>
      <c r="B76" s="47">
        <f>IFERROR(IF(C76&lt;=0.01,"",EDATE(B75,1)),"")</f>
        <v/>
      </c>
      <c r="C76" s="48">
        <f>IF(G75&lt;=0.01,0,G75)</f>
        <v/>
      </c>
      <c r="D76" s="48">
        <f>IF(C76&lt;=0.01,0,F76+E76)</f>
        <v/>
      </c>
      <c r="E76" s="49">
        <f>IF(C76&lt;=0.01,0,ROUND(C76*Calculadora!$C$7/12,2))</f>
        <v/>
      </c>
      <c r="F76" s="48">
        <f>IF(C76&lt;=0.01,0,ROUND(Calculadora!$C$6/Calculadora!$C$8,2))</f>
        <v/>
      </c>
      <c r="G76" s="48">
        <f>IF(C76&lt;=0.01,0,MAX(ROUND(C76-F76,2),0))</f>
        <v/>
      </c>
      <c r="H76" s="50">
        <f>IFERROR(IF(Calculadora!$C$6&gt;0,1-(G76/Calculadora!$C$6),0),0)</f>
        <v/>
      </c>
    </row>
    <row r="77" ht="18" customHeight="1">
      <c r="A77" s="46" t="n">
        <v>73</v>
      </c>
      <c r="B77" s="47">
        <f>IFERROR(IF(C77&lt;=0.01,"",EDATE(B76,1)),"")</f>
        <v/>
      </c>
      <c r="C77" s="48">
        <f>IF(G76&lt;=0.01,0,G76)</f>
        <v/>
      </c>
      <c r="D77" s="48">
        <f>IF(C77&lt;=0.01,0,F77+E77)</f>
        <v/>
      </c>
      <c r="E77" s="49">
        <f>IF(C77&lt;=0.01,0,ROUND(C77*Calculadora!$C$7/12,2))</f>
        <v/>
      </c>
      <c r="F77" s="48">
        <f>IF(C77&lt;=0.01,0,ROUND(Calculadora!$C$6/Calculadora!$C$8,2))</f>
        <v/>
      </c>
      <c r="G77" s="48">
        <f>IF(C77&lt;=0.01,0,MAX(ROUND(C77-F77,2),0))</f>
        <v/>
      </c>
      <c r="H77" s="50">
        <f>IFERROR(IF(Calculadora!$C$6&gt;0,1-(G77/Calculadora!$C$6),0),0)</f>
        <v/>
      </c>
    </row>
    <row r="78" ht="18" customHeight="1">
      <c r="A78" s="46" t="n">
        <v>74</v>
      </c>
      <c r="B78" s="47">
        <f>IFERROR(IF(C78&lt;=0.01,"",EDATE(B77,1)),"")</f>
        <v/>
      </c>
      <c r="C78" s="48">
        <f>IF(G77&lt;=0.01,0,G77)</f>
        <v/>
      </c>
      <c r="D78" s="48">
        <f>IF(C78&lt;=0.01,0,F78+E78)</f>
        <v/>
      </c>
      <c r="E78" s="49">
        <f>IF(C78&lt;=0.01,0,ROUND(C78*Calculadora!$C$7/12,2))</f>
        <v/>
      </c>
      <c r="F78" s="48">
        <f>IF(C78&lt;=0.01,0,ROUND(Calculadora!$C$6/Calculadora!$C$8,2))</f>
        <v/>
      </c>
      <c r="G78" s="48">
        <f>IF(C78&lt;=0.01,0,MAX(ROUND(C78-F78,2),0))</f>
        <v/>
      </c>
      <c r="H78" s="50">
        <f>IFERROR(IF(Calculadora!$C$6&gt;0,1-(G78/Calculadora!$C$6),0),0)</f>
        <v/>
      </c>
    </row>
    <row r="79" ht="18" customHeight="1">
      <c r="A79" s="46" t="n">
        <v>75</v>
      </c>
      <c r="B79" s="47">
        <f>IFERROR(IF(C79&lt;=0.01,"",EDATE(B78,1)),"")</f>
        <v/>
      </c>
      <c r="C79" s="48">
        <f>IF(G78&lt;=0.01,0,G78)</f>
        <v/>
      </c>
      <c r="D79" s="48">
        <f>IF(C79&lt;=0.01,0,F79+E79)</f>
        <v/>
      </c>
      <c r="E79" s="49">
        <f>IF(C79&lt;=0.01,0,ROUND(C79*Calculadora!$C$7/12,2))</f>
        <v/>
      </c>
      <c r="F79" s="48">
        <f>IF(C79&lt;=0.01,0,ROUND(Calculadora!$C$6/Calculadora!$C$8,2))</f>
        <v/>
      </c>
      <c r="G79" s="48">
        <f>IF(C79&lt;=0.01,0,MAX(ROUND(C79-F79,2),0))</f>
        <v/>
      </c>
      <c r="H79" s="50">
        <f>IFERROR(IF(Calculadora!$C$6&gt;0,1-(G79/Calculadora!$C$6),0),0)</f>
        <v/>
      </c>
    </row>
    <row r="80" ht="18" customHeight="1">
      <c r="A80" s="46" t="n">
        <v>76</v>
      </c>
      <c r="B80" s="47">
        <f>IFERROR(IF(C80&lt;=0.01,"",EDATE(B79,1)),"")</f>
        <v/>
      </c>
      <c r="C80" s="48">
        <f>IF(G79&lt;=0.01,0,G79)</f>
        <v/>
      </c>
      <c r="D80" s="48">
        <f>IF(C80&lt;=0.01,0,F80+E80)</f>
        <v/>
      </c>
      <c r="E80" s="49">
        <f>IF(C80&lt;=0.01,0,ROUND(C80*Calculadora!$C$7/12,2))</f>
        <v/>
      </c>
      <c r="F80" s="48">
        <f>IF(C80&lt;=0.01,0,ROUND(Calculadora!$C$6/Calculadora!$C$8,2))</f>
        <v/>
      </c>
      <c r="G80" s="48">
        <f>IF(C80&lt;=0.01,0,MAX(ROUND(C80-F80,2),0))</f>
        <v/>
      </c>
      <c r="H80" s="50">
        <f>IFERROR(IF(Calculadora!$C$6&gt;0,1-(G80/Calculadora!$C$6),0),0)</f>
        <v/>
      </c>
    </row>
    <row r="81" ht="18" customHeight="1">
      <c r="A81" s="46" t="n">
        <v>77</v>
      </c>
      <c r="B81" s="47">
        <f>IFERROR(IF(C81&lt;=0.01,"",EDATE(B80,1)),"")</f>
        <v/>
      </c>
      <c r="C81" s="48">
        <f>IF(G80&lt;=0.01,0,G80)</f>
        <v/>
      </c>
      <c r="D81" s="48">
        <f>IF(C81&lt;=0.01,0,F81+E81)</f>
        <v/>
      </c>
      <c r="E81" s="49">
        <f>IF(C81&lt;=0.01,0,ROUND(C81*Calculadora!$C$7/12,2))</f>
        <v/>
      </c>
      <c r="F81" s="48">
        <f>IF(C81&lt;=0.01,0,ROUND(Calculadora!$C$6/Calculadora!$C$8,2))</f>
        <v/>
      </c>
      <c r="G81" s="48">
        <f>IF(C81&lt;=0.01,0,MAX(ROUND(C81-F81,2),0))</f>
        <v/>
      </c>
      <c r="H81" s="50">
        <f>IFERROR(IF(Calculadora!$C$6&gt;0,1-(G81/Calculadora!$C$6),0),0)</f>
        <v/>
      </c>
    </row>
    <row r="82" ht="18" customHeight="1">
      <c r="A82" s="46" t="n">
        <v>78</v>
      </c>
      <c r="B82" s="47">
        <f>IFERROR(IF(C82&lt;=0.01,"",EDATE(B81,1)),"")</f>
        <v/>
      </c>
      <c r="C82" s="48">
        <f>IF(G81&lt;=0.01,0,G81)</f>
        <v/>
      </c>
      <c r="D82" s="48">
        <f>IF(C82&lt;=0.01,0,F82+E82)</f>
        <v/>
      </c>
      <c r="E82" s="49">
        <f>IF(C82&lt;=0.01,0,ROUND(C82*Calculadora!$C$7/12,2))</f>
        <v/>
      </c>
      <c r="F82" s="48">
        <f>IF(C82&lt;=0.01,0,ROUND(Calculadora!$C$6/Calculadora!$C$8,2))</f>
        <v/>
      </c>
      <c r="G82" s="48">
        <f>IF(C82&lt;=0.01,0,MAX(ROUND(C82-F82,2),0))</f>
        <v/>
      </c>
      <c r="H82" s="50">
        <f>IFERROR(IF(Calculadora!$C$6&gt;0,1-(G82/Calculadora!$C$6),0),0)</f>
        <v/>
      </c>
    </row>
    <row r="83" ht="18" customHeight="1">
      <c r="A83" s="46" t="n">
        <v>79</v>
      </c>
      <c r="B83" s="47">
        <f>IFERROR(IF(C83&lt;=0.01,"",EDATE(B82,1)),"")</f>
        <v/>
      </c>
      <c r="C83" s="48">
        <f>IF(G82&lt;=0.01,0,G82)</f>
        <v/>
      </c>
      <c r="D83" s="48">
        <f>IF(C83&lt;=0.01,0,F83+E83)</f>
        <v/>
      </c>
      <c r="E83" s="49">
        <f>IF(C83&lt;=0.01,0,ROUND(C83*Calculadora!$C$7/12,2))</f>
        <v/>
      </c>
      <c r="F83" s="48">
        <f>IF(C83&lt;=0.01,0,ROUND(Calculadora!$C$6/Calculadora!$C$8,2))</f>
        <v/>
      </c>
      <c r="G83" s="48">
        <f>IF(C83&lt;=0.01,0,MAX(ROUND(C83-F83,2),0))</f>
        <v/>
      </c>
      <c r="H83" s="50">
        <f>IFERROR(IF(Calculadora!$C$6&gt;0,1-(G83/Calculadora!$C$6),0),0)</f>
        <v/>
      </c>
    </row>
    <row r="84" ht="18" customHeight="1">
      <c r="A84" s="46" t="n">
        <v>80</v>
      </c>
      <c r="B84" s="47">
        <f>IFERROR(IF(C84&lt;=0.01,"",EDATE(B83,1)),"")</f>
        <v/>
      </c>
      <c r="C84" s="48">
        <f>IF(G83&lt;=0.01,0,G83)</f>
        <v/>
      </c>
      <c r="D84" s="48">
        <f>IF(C84&lt;=0.01,0,F84+E84)</f>
        <v/>
      </c>
      <c r="E84" s="49">
        <f>IF(C84&lt;=0.01,0,ROUND(C84*Calculadora!$C$7/12,2))</f>
        <v/>
      </c>
      <c r="F84" s="48">
        <f>IF(C84&lt;=0.01,0,ROUND(Calculadora!$C$6/Calculadora!$C$8,2))</f>
        <v/>
      </c>
      <c r="G84" s="48">
        <f>IF(C84&lt;=0.01,0,MAX(ROUND(C84-F84,2),0))</f>
        <v/>
      </c>
      <c r="H84" s="50">
        <f>IFERROR(IF(Calculadora!$C$6&gt;0,1-(G84/Calculadora!$C$6),0),0)</f>
        <v/>
      </c>
    </row>
    <row r="85" ht="18" customHeight="1">
      <c r="A85" s="46" t="n">
        <v>81</v>
      </c>
      <c r="B85" s="47">
        <f>IFERROR(IF(C85&lt;=0.01,"",EDATE(B84,1)),"")</f>
        <v/>
      </c>
      <c r="C85" s="48">
        <f>IF(G84&lt;=0.01,0,G84)</f>
        <v/>
      </c>
      <c r="D85" s="48">
        <f>IF(C85&lt;=0.01,0,F85+E85)</f>
        <v/>
      </c>
      <c r="E85" s="49">
        <f>IF(C85&lt;=0.01,0,ROUND(C85*Calculadora!$C$7/12,2))</f>
        <v/>
      </c>
      <c r="F85" s="48">
        <f>IF(C85&lt;=0.01,0,ROUND(Calculadora!$C$6/Calculadora!$C$8,2))</f>
        <v/>
      </c>
      <c r="G85" s="48">
        <f>IF(C85&lt;=0.01,0,MAX(ROUND(C85-F85,2),0))</f>
        <v/>
      </c>
      <c r="H85" s="50">
        <f>IFERROR(IF(Calculadora!$C$6&gt;0,1-(G85/Calculadora!$C$6),0),0)</f>
        <v/>
      </c>
    </row>
    <row r="86" ht="18" customHeight="1">
      <c r="A86" s="46" t="n">
        <v>82</v>
      </c>
      <c r="B86" s="47">
        <f>IFERROR(IF(C86&lt;=0.01,"",EDATE(B85,1)),"")</f>
        <v/>
      </c>
      <c r="C86" s="48">
        <f>IF(G85&lt;=0.01,0,G85)</f>
        <v/>
      </c>
      <c r="D86" s="48">
        <f>IF(C86&lt;=0.01,0,F86+E86)</f>
        <v/>
      </c>
      <c r="E86" s="49">
        <f>IF(C86&lt;=0.01,0,ROUND(C86*Calculadora!$C$7/12,2))</f>
        <v/>
      </c>
      <c r="F86" s="48">
        <f>IF(C86&lt;=0.01,0,ROUND(Calculadora!$C$6/Calculadora!$C$8,2))</f>
        <v/>
      </c>
      <c r="G86" s="48">
        <f>IF(C86&lt;=0.01,0,MAX(ROUND(C86-F86,2),0))</f>
        <v/>
      </c>
      <c r="H86" s="50">
        <f>IFERROR(IF(Calculadora!$C$6&gt;0,1-(G86/Calculadora!$C$6),0),0)</f>
        <v/>
      </c>
    </row>
    <row r="87" ht="18" customHeight="1">
      <c r="A87" s="46" t="n">
        <v>83</v>
      </c>
      <c r="B87" s="47">
        <f>IFERROR(IF(C87&lt;=0.01,"",EDATE(B86,1)),"")</f>
        <v/>
      </c>
      <c r="C87" s="48">
        <f>IF(G86&lt;=0.01,0,G86)</f>
        <v/>
      </c>
      <c r="D87" s="48">
        <f>IF(C87&lt;=0.01,0,F87+E87)</f>
        <v/>
      </c>
      <c r="E87" s="49">
        <f>IF(C87&lt;=0.01,0,ROUND(C87*Calculadora!$C$7/12,2))</f>
        <v/>
      </c>
      <c r="F87" s="48">
        <f>IF(C87&lt;=0.01,0,ROUND(Calculadora!$C$6/Calculadora!$C$8,2))</f>
        <v/>
      </c>
      <c r="G87" s="48">
        <f>IF(C87&lt;=0.01,0,MAX(ROUND(C87-F87,2),0))</f>
        <v/>
      </c>
      <c r="H87" s="50">
        <f>IFERROR(IF(Calculadora!$C$6&gt;0,1-(G87/Calculadora!$C$6),0),0)</f>
        <v/>
      </c>
    </row>
    <row r="88" ht="18" customHeight="1">
      <c r="A88" s="46" t="n">
        <v>84</v>
      </c>
      <c r="B88" s="47">
        <f>IFERROR(IF(C88&lt;=0.01,"",EDATE(B87,1)),"")</f>
        <v/>
      </c>
      <c r="C88" s="48">
        <f>IF(G87&lt;=0.01,0,G87)</f>
        <v/>
      </c>
      <c r="D88" s="48">
        <f>IF(C88&lt;=0.01,0,F88+E88)</f>
        <v/>
      </c>
      <c r="E88" s="49">
        <f>IF(C88&lt;=0.01,0,ROUND(C88*Calculadora!$C$7/12,2))</f>
        <v/>
      </c>
      <c r="F88" s="48">
        <f>IF(C88&lt;=0.01,0,ROUND(Calculadora!$C$6/Calculadora!$C$8,2))</f>
        <v/>
      </c>
      <c r="G88" s="48">
        <f>IF(C88&lt;=0.01,0,MAX(ROUND(C88-F88,2),0))</f>
        <v/>
      </c>
      <c r="H88" s="50">
        <f>IFERROR(IF(Calculadora!$C$6&gt;0,1-(G88/Calculadora!$C$6),0),0)</f>
        <v/>
      </c>
    </row>
    <row r="89" ht="18" customHeight="1">
      <c r="A89" s="46" t="n">
        <v>85</v>
      </c>
      <c r="B89" s="47">
        <f>IFERROR(IF(C89&lt;=0.01,"",EDATE(B88,1)),"")</f>
        <v/>
      </c>
      <c r="C89" s="48">
        <f>IF(G88&lt;=0.01,0,G88)</f>
        <v/>
      </c>
      <c r="D89" s="48">
        <f>IF(C89&lt;=0.01,0,F89+E89)</f>
        <v/>
      </c>
      <c r="E89" s="49">
        <f>IF(C89&lt;=0.01,0,ROUND(C89*Calculadora!$C$7/12,2))</f>
        <v/>
      </c>
      <c r="F89" s="48">
        <f>IF(C89&lt;=0.01,0,ROUND(Calculadora!$C$6/Calculadora!$C$8,2))</f>
        <v/>
      </c>
      <c r="G89" s="48">
        <f>IF(C89&lt;=0.01,0,MAX(ROUND(C89-F89,2),0))</f>
        <v/>
      </c>
      <c r="H89" s="50">
        <f>IFERROR(IF(Calculadora!$C$6&gt;0,1-(G89/Calculadora!$C$6),0),0)</f>
        <v/>
      </c>
    </row>
    <row r="90" ht="18" customHeight="1">
      <c r="A90" s="46" t="n">
        <v>86</v>
      </c>
      <c r="B90" s="47">
        <f>IFERROR(IF(C90&lt;=0.01,"",EDATE(B89,1)),"")</f>
        <v/>
      </c>
      <c r="C90" s="48">
        <f>IF(G89&lt;=0.01,0,G89)</f>
        <v/>
      </c>
      <c r="D90" s="48">
        <f>IF(C90&lt;=0.01,0,F90+E90)</f>
        <v/>
      </c>
      <c r="E90" s="49">
        <f>IF(C90&lt;=0.01,0,ROUND(C90*Calculadora!$C$7/12,2))</f>
        <v/>
      </c>
      <c r="F90" s="48">
        <f>IF(C90&lt;=0.01,0,ROUND(Calculadora!$C$6/Calculadora!$C$8,2))</f>
        <v/>
      </c>
      <c r="G90" s="48">
        <f>IF(C90&lt;=0.01,0,MAX(ROUND(C90-F90,2),0))</f>
        <v/>
      </c>
      <c r="H90" s="50">
        <f>IFERROR(IF(Calculadora!$C$6&gt;0,1-(G90/Calculadora!$C$6),0),0)</f>
        <v/>
      </c>
    </row>
    <row r="91" ht="18" customHeight="1">
      <c r="A91" s="46" t="n">
        <v>87</v>
      </c>
      <c r="B91" s="47">
        <f>IFERROR(IF(C91&lt;=0.01,"",EDATE(B90,1)),"")</f>
        <v/>
      </c>
      <c r="C91" s="48">
        <f>IF(G90&lt;=0.01,0,G90)</f>
        <v/>
      </c>
      <c r="D91" s="48">
        <f>IF(C91&lt;=0.01,0,F91+E91)</f>
        <v/>
      </c>
      <c r="E91" s="49">
        <f>IF(C91&lt;=0.01,0,ROUND(C91*Calculadora!$C$7/12,2))</f>
        <v/>
      </c>
      <c r="F91" s="48">
        <f>IF(C91&lt;=0.01,0,ROUND(Calculadora!$C$6/Calculadora!$C$8,2))</f>
        <v/>
      </c>
      <c r="G91" s="48">
        <f>IF(C91&lt;=0.01,0,MAX(ROUND(C91-F91,2),0))</f>
        <v/>
      </c>
      <c r="H91" s="50">
        <f>IFERROR(IF(Calculadora!$C$6&gt;0,1-(G91/Calculadora!$C$6),0),0)</f>
        <v/>
      </c>
    </row>
    <row r="92" ht="18" customHeight="1">
      <c r="A92" s="46" t="n">
        <v>88</v>
      </c>
      <c r="B92" s="47">
        <f>IFERROR(IF(C92&lt;=0.01,"",EDATE(B91,1)),"")</f>
        <v/>
      </c>
      <c r="C92" s="48">
        <f>IF(G91&lt;=0.01,0,G91)</f>
        <v/>
      </c>
      <c r="D92" s="48">
        <f>IF(C92&lt;=0.01,0,F92+E92)</f>
        <v/>
      </c>
      <c r="E92" s="49">
        <f>IF(C92&lt;=0.01,0,ROUND(C92*Calculadora!$C$7/12,2))</f>
        <v/>
      </c>
      <c r="F92" s="48">
        <f>IF(C92&lt;=0.01,0,ROUND(Calculadora!$C$6/Calculadora!$C$8,2))</f>
        <v/>
      </c>
      <c r="G92" s="48">
        <f>IF(C92&lt;=0.01,0,MAX(ROUND(C92-F92,2),0))</f>
        <v/>
      </c>
      <c r="H92" s="50">
        <f>IFERROR(IF(Calculadora!$C$6&gt;0,1-(G92/Calculadora!$C$6),0),0)</f>
        <v/>
      </c>
    </row>
    <row r="93" ht="18" customHeight="1">
      <c r="A93" s="46" t="n">
        <v>89</v>
      </c>
      <c r="B93" s="47">
        <f>IFERROR(IF(C93&lt;=0.01,"",EDATE(B92,1)),"")</f>
        <v/>
      </c>
      <c r="C93" s="48">
        <f>IF(G92&lt;=0.01,0,G92)</f>
        <v/>
      </c>
      <c r="D93" s="48">
        <f>IF(C93&lt;=0.01,0,F93+E93)</f>
        <v/>
      </c>
      <c r="E93" s="49">
        <f>IF(C93&lt;=0.01,0,ROUND(C93*Calculadora!$C$7/12,2))</f>
        <v/>
      </c>
      <c r="F93" s="48">
        <f>IF(C93&lt;=0.01,0,ROUND(Calculadora!$C$6/Calculadora!$C$8,2))</f>
        <v/>
      </c>
      <c r="G93" s="48">
        <f>IF(C93&lt;=0.01,0,MAX(ROUND(C93-F93,2),0))</f>
        <v/>
      </c>
      <c r="H93" s="50">
        <f>IFERROR(IF(Calculadora!$C$6&gt;0,1-(G93/Calculadora!$C$6),0),0)</f>
        <v/>
      </c>
    </row>
    <row r="94" ht="18" customHeight="1">
      <c r="A94" s="46" t="n">
        <v>90</v>
      </c>
      <c r="B94" s="47">
        <f>IFERROR(IF(C94&lt;=0.01,"",EDATE(B93,1)),"")</f>
        <v/>
      </c>
      <c r="C94" s="48">
        <f>IF(G93&lt;=0.01,0,G93)</f>
        <v/>
      </c>
      <c r="D94" s="48">
        <f>IF(C94&lt;=0.01,0,F94+E94)</f>
        <v/>
      </c>
      <c r="E94" s="49">
        <f>IF(C94&lt;=0.01,0,ROUND(C94*Calculadora!$C$7/12,2))</f>
        <v/>
      </c>
      <c r="F94" s="48">
        <f>IF(C94&lt;=0.01,0,ROUND(Calculadora!$C$6/Calculadora!$C$8,2))</f>
        <v/>
      </c>
      <c r="G94" s="48">
        <f>IF(C94&lt;=0.01,0,MAX(ROUND(C94-F94,2),0))</f>
        <v/>
      </c>
      <c r="H94" s="50">
        <f>IFERROR(IF(Calculadora!$C$6&gt;0,1-(G94/Calculadora!$C$6),0),0)</f>
        <v/>
      </c>
    </row>
    <row r="95" ht="18" customHeight="1">
      <c r="A95" s="46" t="n">
        <v>91</v>
      </c>
      <c r="B95" s="47">
        <f>IFERROR(IF(C95&lt;=0.01,"",EDATE(B94,1)),"")</f>
        <v/>
      </c>
      <c r="C95" s="48">
        <f>IF(G94&lt;=0.01,0,G94)</f>
        <v/>
      </c>
      <c r="D95" s="48">
        <f>IF(C95&lt;=0.01,0,F95+E95)</f>
        <v/>
      </c>
      <c r="E95" s="49">
        <f>IF(C95&lt;=0.01,0,ROUND(C95*Calculadora!$C$7/12,2))</f>
        <v/>
      </c>
      <c r="F95" s="48">
        <f>IF(C95&lt;=0.01,0,ROUND(Calculadora!$C$6/Calculadora!$C$8,2))</f>
        <v/>
      </c>
      <c r="G95" s="48">
        <f>IF(C95&lt;=0.01,0,MAX(ROUND(C95-F95,2),0))</f>
        <v/>
      </c>
      <c r="H95" s="50">
        <f>IFERROR(IF(Calculadora!$C$6&gt;0,1-(G95/Calculadora!$C$6),0),0)</f>
        <v/>
      </c>
    </row>
    <row r="96" ht="18" customHeight="1">
      <c r="A96" s="46" t="n">
        <v>92</v>
      </c>
      <c r="B96" s="47">
        <f>IFERROR(IF(C96&lt;=0.01,"",EDATE(B95,1)),"")</f>
        <v/>
      </c>
      <c r="C96" s="48">
        <f>IF(G95&lt;=0.01,0,G95)</f>
        <v/>
      </c>
      <c r="D96" s="48">
        <f>IF(C96&lt;=0.01,0,F96+E96)</f>
        <v/>
      </c>
      <c r="E96" s="49">
        <f>IF(C96&lt;=0.01,0,ROUND(C96*Calculadora!$C$7/12,2))</f>
        <v/>
      </c>
      <c r="F96" s="48">
        <f>IF(C96&lt;=0.01,0,ROUND(Calculadora!$C$6/Calculadora!$C$8,2))</f>
        <v/>
      </c>
      <c r="G96" s="48">
        <f>IF(C96&lt;=0.01,0,MAX(ROUND(C96-F96,2),0))</f>
        <v/>
      </c>
      <c r="H96" s="50">
        <f>IFERROR(IF(Calculadora!$C$6&gt;0,1-(G96/Calculadora!$C$6),0),0)</f>
        <v/>
      </c>
    </row>
    <row r="97" ht="18" customHeight="1">
      <c r="A97" s="46" t="n">
        <v>93</v>
      </c>
      <c r="B97" s="47">
        <f>IFERROR(IF(C97&lt;=0.01,"",EDATE(B96,1)),"")</f>
        <v/>
      </c>
      <c r="C97" s="48">
        <f>IF(G96&lt;=0.01,0,G96)</f>
        <v/>
      </c>
      <c r="D97" s="48">
        <f>IF(C97&lt;=0.01,0,F97+E97)</f>
        <v/>
      </c>
      <c r="E97" s="49">
        <f>IF(C97&lt;=0.01,0,ROUND(C97*Calculadora!$C$7/12,2))</f>
        <v/>
      </c>
      <c r="F97" s="48">
        <f>IF(C97&lt;=0.01,0,ROUND(Calculadora!$C$6/Calculadora!$C$8,2))</f>
        <v/>
      </c>
      <c r="G97" s="48">
        <f>IF(C97&lt;=0.01,0,MAX(ROUND(C97-F97,2),0))</f>
        <v/>
      </c>
      <c r="H97" s="50">
        <f>IFERROR(IF(Calculadora!$C$6&gt;0,1-(G97/Calculadora!$C$6),0),0)</f>
        <v/>
      </c>
    </row>
    <row r="98" ht="18" customHeight="1">
      <c r="A98" s="46" t="n">
        <v>94</v>
      </c>
      <c r="B98" s="47">
        <f>IFERROR(IF(C98&lt;=0.01,"",EDATE(B97,1)),"")</f>
        <v/>
      </c>
      <c r="C98" s="48">
        <f>IF(G97&lt;=0.01,0,G97)</f>
        <v/>
      </c>
      <c r="D98" s="48">
        <f>IF(C98&lt;=0.01,0,F98+E98)</f>
        <v/>
      </c>
      <c r="E98" s="49">
        <f>IF(C98&lt;=0.01,0,ROUND(C98*Calculadora!$C$7/12,2))</f>
        <v/>
      </c>
      <c r="F98" s="48">
        <f>IF(C98&lt;=0.01,0,ROUND(Calculadora!$C$6/Calculadora!$C$8,2))</f>
        <v/>
      </c>
      <c r="G98" s="48">
        <f>IF(C98&lt;=0.01,0,MAX(ROUND(C98-F98,2),0))</f>
        <v/>
      </c>
      <c r="H98" s="50">
        <f>IFERROR(IF(Calculadora!$C$6&gt;0,1-(G98/Calculadora!$C$6),0),0)</f>
        <v/>
      </c>
    </row>
    <row r="99" ht="18" customHeight="1">
      <c r="A99" s="46" t="n">
        <v>95</v>
      </c>
      <c r="B99" s="47">
        <f>IFERROR(IF(C99&lt;=0.01,"",EDATE(B98,1)),"")</f>
        <v/>
      </c>
      <c r="C99" s="48">
        <f>IF(G98&lt;=0.01,0,G98)</f>
        <v/>
      </c>
      <c r="D99" s="48">
        <f>IF(C99&lt;=0.01,0,F99+E99)</f>
        <v/>
      </c>
      <c r="E99" s="49">
        <f>IF(C99&lt;=0.01,0,ROUND(C99*Calculadora!$C$7/12,2))</f>
        <v/>
      </c>
      <c r="F99" s="48">
        <f>IF(C99&lt;=0.01,0,ROUND(Calculadora!$C$6/Calculadora!$C$8,2))</f>
        <v/>
      </c>
      <c r="G99" s="48">
        <f>IF(C99&lt;=0.01,0,MAX(ROUND(C99-F99,2),0))</f>
        <v/>
      </c>
      <c r="H99" s="50">
        <f>IFERROR(IF(Calculadora!$C$6&gt;0,1-(G99/Calculadora!$C$6),0),0)</f>
        <v/>
      </c>
    </row>
    <row r="100" ht="18" customHeight="1">
      <c r="A100" s="46" t="n">
        <v>96</v>
      </c>
      <c r="B100" s="47">
        <f>IFERROR(IF(C100&lt;=0.01,"",EDATE(B99,1)),"")</f>
        <v/>
      </c>
      <c r="C100" s="48">
        <f>IF(G99&lt;=0.01,0,G99)</f>
        <v/>
      </c>
      <c r="D100" s="48">
        <f>IF(C100&lt;=0.01,0,F100+E100)</f>
        <v/>
      </c>
      <c r="E100" s="49">
        <f>IF(C100&lt;=0.01,0,ROUND(C100*Calculadora!$C$7/12,2))</f>
        <v/>
      </c>
      <c r="F100" s="48">
        <f>IF(C100&lt;=0.01,0,ROUND(Calculadora!$C$6/Calculadora!$C$8,2))</f>
        <v/>
      </c>
      <c r="G100" s="48">
        <f>IF(C100&lt;=0.01,0,MAX(ROUND(C100-F100,2),0))</f>
        <v/>
      </c>
      <c r="H100" s="50">
        <f>IFERROR(IF(Calculadora!$C$6&gt;0,1-(G100/Calculadora!$C$6),0),0)</f>
        <v/>
      </c>
    </row>
    <row r="101" ht="18" customHeight="1">
      <c r="A101" s="46" t="n">
        <v>97</v>
      </c>
      <c r="B101" s="47">
        <f>IFERROR(IF(C101&lt;=0.01,"",EDATE(B100,1)),"")</f>
        <v/>
      </c>
      <c r="C101" s="48">
        <f>IF(G100&lt;=0.01,0,G100)</f>
        <v/>
      </c>
      <c r="D101" s="48">
        <f>IF(C101&lt;=0.01,0,F101+E101)</f>
        <v/>
      </c>
      <c r="E101" s="49">
        <f>IF(C101&lt;=0.01,0,ROUND(C101*Calculadora!$C$7/12,2))</f>
        <v/>
      </c>
      <c r="F101" s="48">
        <f>IF(C101&lt;=0.01,0,ROUND(Calculadora!$C$6/Calculadora!$C$8,2))</f>
        <v/>
      </c>
      <c r="G101" s="48">
        <f>IF(C101&lt;=0.01,0,MAX(ROUND(C101-F101,2),0))</f>
        <v/>
      </c>
      <c r="H101" s="50">
        <f>IFERROR(IF(Calculadora!$C$6&gt;0,1-(G101/Calculadora!$C$6),0),0)</f>
        <v/>
      </c>
    </row>
    <row r="102" ht="18" customHeight="1">
      <c r="A102" s="46" t="n">
        <v>98</v>
      </c>
      <c r="B102" s="47">
        <f>IFERROR(IF(C102&lt;=0.01,"",EDATE(B101,1)),"")</f>
        <v/>
      </c>
      <c r="C102" s="48">
        <f>IF(G101&lt;=0.01,0,G101)</f>
        <v/>
      </c>
      <c r="D102" s="48">
        <f>IF(C102&lt;=0.01,0,F102+E102)</f>
        <v/>
      </c>
      <c r="E102" s="49">
        <f>IF(C102&lt;=0.01,0,ROUND(C102*Calculadora!$C$7/12,2))</f>
        <v/>
      </c>
      <c r="F102" s="48">
        <f>IF(C102&lt;=0.01,0,ROUND(Calculadora!$C$6/Calculadora!$C$8,2))</f>
        <v/>
      </c>
      <c r="G102" s="48">
        <f>IF(C102&lt;=0.01,0,MAX(ROUND(C102-F102,2),0))</f>
        <v/>
      </c>
      <c r="H102" s="50">
        <f>IFERROR(IF(Calculadora!$C$6&gt;0,1-(G102/Calculadora!$C$6),0),0)</f>
        <v/>
      </c>
    </row>
    <row r="103" ht="18" customHeight="1">
      <c r="A103" s="46" t="n">
        <v>99</v>
      </c>
      <c r="B103" s="47">
        <f>IFERROR(IF(C103&lt;=0.01,"",EDATE(B102,1)),"")</f>
        <v/>
      </c>
      <c r="C103" s="48">
        <f>IF(G102&lt;=0.01,0,G102)</f>
        <v/>
      </c>
      <c r="D103" s="48">
        <f>IF(C103&lt;=0.01,0,F103+E103)</f>
        <v/>
      </c>
      <c r="E103" s="49">
        <f>IF(C103&lt;=0.01,0,ROUND(C103*Calculadora!$C$7/12,2))</f>
        <v/>
      </c>
      <c r="F103" s="48">
        <f>IF(C103&lt;=0.01,0,ROUND(Calculadora!$C$6/Calculadora!$C$8,2))</f>
        <v/>
      </c>
      <c r="G103" s="48">
        <f>IF(C103&lt;=0.01,0,MAX(ROUND(C103-F103,2),0))</f>
        <v/>
      </c>
      <c r="H103" s="50">
        <f>IFERROR(IF(Calculadora!$C$6&gt;0,1-(G103/Calculadora!$C$6),0),0)</f>
        <v/>
      </c>
    </row>
    <row r="104" ht="18" customHeight="1">
      <c r="A104" s="46" t="n">
        <v>100</v>
      </c>
      <c r="B104" s="47">
        <f>IFERROR(IF(C104&lt;=0.01,"",EDATE(B103,1)),"")</f>
        <v/>
      </c>
      <c r="C104" s="48">
        <f>IF(G103&lt;=0.01,0,G103)</f>
        <v/>
      </c>
      <c r="D104" s="48">
        <f>IF(C104&lt;=0.01,0,F104+E104)</f>
        <v/>
      </c>
      <c r="E104" s="49">
        <f>IF(C104&lt;=0.01,0,ROUND(C104*Calculadora!$C$7/12,2))</f>
        <v/>
      </c>
      <c r="F104" s="48">
        <f>IF(C104&lt;=0.01,0,ROUND(Calculadora!$C$6/Calculadora!$C$8,2))</f>
        <v/>
      </c>
      <c r="G104" s="48">
        <f>IF(C104&lt;=0.01,0,MAX(ROUND(C104-F104,2),0))</f>
        <v/>
      </c>
      <c r="H104" s="50">
        <f>IFERROR(IF(Calculadora!$C$6&gt;0,1-(G104/Calculadora!$C$6),0),0)</f>
        <v/>
      </c>
    </row>
    <row r="105" ht="18" customHeight="1">
      <c r="A105" s="46" t="n">
        <v>101</v>
      </c>
      <c r="B105" s="47">
        <f>IFERROR(IF(C105&lt;=0.01,"",EDATE(B104,1)),"")</f>
        <v/>
      </c>
      <c r="C105" s="48">
        <f>IF(G104&lt;=0.01,0,G104)</f>
        <v/>
      </c>
      <c r="D105" s="48">
        <f>IF(C105&lt;=0.01,0,F105+E105)</f>
        <v/>
      </c>
      <c r="E105" s="49">
        <f>IF(C105&lt;=0.01,0,ROUND(C105*Calculadora!$C$7/12,2))</f>
        <v/>
      </c>
      <c r="F105" s="48">
        <f>IF(C105&lt;=0.01,0,ROUND(Calculadora!$C$6/Calculadora!$C$8,2))</f>
        <v/>
      </c>
      <c r="G105" s="48">
        <f>IF(C105&lt;=0.01,0,MAX(ROUND(C105-F105,2),0))</f>
        <v/>
      </c>
      <c r="H105" s="50">
        <f>IFERROR(IF(Calculadora!$C$6&gt;0,1-(G105/Calculadora!$C$6),0),0)</f>
        <v/>
      </c>
    </row>
    <row r="106" ht="18" customHeight="1">
      <c r="A106" s="46" t="n">
        <v>102</v>
      </c>
      <c r="B106" s="47">
        <f>IFERROR(IF(C106&lt;=0.01,"",EDATE(B105,1)),"")</f>
        <v/>
      </c>
      <c r="C106" s="48">
        <f>IF(G105&lt;=0.01,0,G105)</f>
        <v/>
      </c>
      <c r="D106" s="48">
        <f>IF(C106&lt;=0.01,0,F106+E106)</f>
        <v/>
      </c>
      <c r="E106" s="49">
        <f>IF(C106&lt;=0.01,0,ROUND(C106*Calculadora!$C$7/12,2))</f>
        <v/>
      </c>
      <c r="F106" s="48">
        <f>IF(C106&lt;=0.01,0,ROUND(Calculadora!$C$6/Calculadora!$C$8,2))</f>
        <v/>
      </c>
      <c r="G106" s="48">
        <f>IF(C106&lt;=0.01,0,MAX(ROUND(C106-F106,2),0))</f>
        <v/>
      </c>
      <c r="H106" s="50">
        <f>IFERROR(IF(Calculadora!$C$6&gt;0,1-(G106/Calculadora!$C$6),0),0)</f>
        <v/>
      </c>
    </row>
    <row r="107" ht="18" customHeight="1">
      <c r="A107" s="46" t="n">
        <v>103</v>
      </c>
      <c r="B107" s="47">
        <f>IFERROR(IF(C107&lt;=0.01,"",EDATE(B106,1)),"")</f>
        <v/>
      </c>
      <c r="C107" s="48">
        <f>IF(G106&lt;=0.01,0,G106)</f>
        <v/>
      </c>
      <c r="D107" s="48">
        <f>IF(C107&lt;=0.01,0,F107+E107)</f>
        <v/>
      </c>
      <c r="E107" s="49">
        <f>IF(C107&lt;=0.01,0,ROUND(C107*Calculadora!$C$7/12,2))</f>
        <v/>
      </c>
      <c r="F107" s="48">
        <f>IF(C107&lt;=0.01,0,ROUND(Calculadora!$C$6/Calculadora!$C$8,2))</f>
        <v/>
      </c>
      <c r="G107" s="48">
        <f>IF(C107&lt;=0.01,0,MAX(ROUND(C107-F107,2),0))</f>
        <v/>
      </c>
      <c r="H107" s="50">
        <f>IFERROR(IF(Calculadora!$C$6&gt;0,1-(G107/Calculadora!$C$6),0),0)</f>
        <v/>
      </c>
    </row>
    <row r="108" ht="18" customHeight="1">
      <c r="A108" s="46" t="n">
        <v>104</v>
      </c>
      <c r="B108" s="47">
        <f>IFERROR(IF(C108&lt;=0.01,"",EDATE(B107,1)),"")</f>
        <v/>
      </c>
      <c r="C108" s="48">
        <f>IF(G107&lt;=0.01,0,G107)</f>
        <v/>
      </c>
      <c r="D108" s="48">
        <f>IF(C108&lt;=0.01,0,F108+E108)</f>
        <v/>
      </c>
      <c r="E108" s="49">
        <f>IF(C108&lt;=0.01,0,ROUND(C108*Calculadora!$C$7/12,2))</f>
        <v/>
      </c>
      <c r="F108" s="48">
        <f>IF(C108&lt;=0.01,0,ROUND(Calculadora!$C$6/Calculadora!$C$8,2))</f>
        <v/>
      </c>
      <c r="G108" s="48">
        <f>IF(C108&lt;=0.01,0,MAX(ROUND(C108-F108,2),0))</f>
        <v/>
      </c>
      <c r="H108" s="50">
        <f>IFERROR(IF(Calculadora!$C$6&gt;0,1-(G108/Calculadora!$C$6),0),0)</f>
        <v/>
      </c>
    </row>
    <row r="109" ht="18" customHeight="1">
      <c r="A109" s="46" t="n">
        <v>105</v>
      </c>
      <c r="B109" s="47">
        <f>IFERROR(IF(C109&lt;=0.01,"",EDATE(B108,1)),"")</f>
        <v/>
      </c>
      <c r="C109" s="48">
        <f>IF(G108&lt;=0.01,0,G108)</f>
        <v/>
      </c>
      <c r="D109" s="48">
        <f>IF(C109&lt;=0.01,0,F109+E109)</f>
        <v/>
      </c>
      <c r="E109" s="49">
        <f>IF(C109&lt;=0.01,0,ROUND(C109*Calculadora!$C$7/12,2))</f>
        <v/>
      </c>
      <c r="F109" s="48">
        <f>IF(C109&lt;=0.01,0,ROUND(Calculadora!$C$6/Calculadora!$C$8,2))</f>
        <v/>
      </c>
      <c r="G109" s="48">
        <f>IF(C109&lt;=0.01,0,MAX(ROUND(C109-F109,2),0))</f>
        <v/>
      </c>
      <c r="H109" s="50">
        <f>IFERROR(IF(Calculadora!$C$6&gt;0,1-(G109/Calculadora!$C$6),0),0)</f>
        <v/>
      </c>
    </row>
    <row r="110" ht="18" customHeight="1">
      <c r="A110" s="46" t="n">
        <v>106</v>
      </c>
      <c r="B110" s="47">
        <f>IFERROR(IF(C110&lt;=0.01,"",EDATE(B109,1)),"")</f>
        <v/>
      </c>
      <c r="C110" s="48">
        <f>IF(G109&lt;=0.01,0,G109)</f>
        <v/>
      </c>
      <c r="D110" s="48">
        <f>IF(C110&lt;=0.01,0,F110+E110)</f>
        <v/>
      </c>
      <c r="E110" s="49">
        <f>IF(C110&lt;=0.01,0,ROUND(C110*Calculadora!$C$7/12,2))</f>
        <v/>
      </c>
      <c r="F110" s="48">
        <f>IF(C110&lt;=0.01,0,ROUND(Calculadora!$C$6/Calculadora!$C$8,2))</f>
        <v/>
      </c>
      <c r="G110" s="48">
        <f>IF(C110&lt;=0.01,0,MAX(ROUND(C110-F110,2),0))</f>
        <v/>
      </c>
      <c r="H110" s="50">
        <f>IFERROR(IF(Calculadora!$C$6&gt;0,1-(G110/Calculadora!$C$6),0),0)</f>
        <v/>
      </c>
    </row>
    <row r="111" ht="18" customHeight="1">
      <c r="A111" s="46" t="n">
        <v>107</v>
      </c>
      <c r="B111" s="47">
        <f>IFERROR(IF(C111&lt;=0.01,"",EDATE(B110,1)),"")</f>
        <v/>
      </c>
      <c r="C111" s="48">
        <f>IF(G110&lt;=0.01,0,G110)</f>
        <v/>
      </c>
      <c r="D111" s="48">
        <f>IF(C111&lt;=0.01,0,F111+E111)</f>
        <v/>
      </c>
      <c r="E111" s="49">
        <f>IF(C111&lt;=0.01,0,ROUND(C111*Calculadora!$C$7/12,2))</f>
        <v/>
      </c>
      <c r="F111" s="48">
        <f>IF(C111&lt;=0.01,0,ROUND(Calculadora!$C$6/Calculadora!$C$8,2))</f>
        <v/>
      </c>
      <c r="G111" s="48">
        <f>IF(C111&lt;=0.01,0,MAX(ROUND(C111-F111,2),0))</f>
        <v/>
      </c>
      <c r="H111" s="50">
        <f>IFERROR(IF(Calculadora!$C$6&gt;0,1-(G111/Calculadora!$C$6),0),0)</f>
        <v/>
      </c>
    </row>
    <row r="112" ht="18" customHeight="1">
      <c r="A112" s="46" t="n">
        <v>108</v>
      </c>
      <c r="B112" s="47">
        <f>IFERROR(IF(C112&lt;=0.01,"",EDATE(B111,1)),"")</f>
        <v/>
      </c>
      <c r="C112" s="48">
        <f>IF(G111&lt;=0.01,0,G111)</f>
        <v/>
      </c>
      <c r="D112" s="48">
        <f>IF(C112&lt;=0.01,0,F112+E112)</f>
        <v/>
      </c>
      <c r="E112" s="49">
        <f>IF(C112&lt;=0.01,0,ROUND(C112*Calculadora!$C$7/12,2))</f>
        <v/>
      </c>
      <c r="F112" s="48">
        <f>IF(C112&lt;=0.01,0,ROUND(Calculadora!$C$6/Calculadora!$C$8,2))</f>
        <v/>
      </c>
      <c r="G112" s="48">
        <f>IF(C112&lt;=0.01,0,MAX(ROUND(C112-F112,2),0))</f>
        <v/>
      </c>
      <c r="H112" s="50">
        <f>IFERROR(IF(Calculadora!$C$6&gt;0,1-(G112/Calculadora!$C$6),0),0)</f>
        <v/>
      </c>
    </row>
    <row r="113" ht="18" customHeight="1">
      <c r="A113" s="46" t="n">
        <v>109</v>
      </c>
      <c r="B113" s="47">
        <f>IFERROR(IF(C113&lt;=0.01,"",EDATE(B112,1)),"")</f>
        <v/>
      </c>
      <c r="C113" s="48">
        <f>IF(G112&lt;=0.01,0,G112)</f>
        <v/>
      </c>
      <c r="D113" s="48">
        <f>IF(C113&lt;=0.01,0,F113+E113)</f>
        <v/>
      </c>
      <c r="E113" s="49">
        <f>IF(C113&lt;=0.01,0,ROUND(C113*Calculadora!$C$7/12,2))</f>
        <v/>
      </c>
      <c r="F113" s="48">
        <f>IF(C113&lt;=0.01,0,ROUND(Calculadora!$C$6/Calculadora!$C$8,2))</f>
        <v/>
      </c>
      <c r="G113" s="48">
        <f>IF(C113&lt;=0.01,0,MAX(ROUND(C113-F113,2),0))</f>
        <v/>
      </c>
      <c r="H113" s="50">
        <f>IFERROR(IF(Calculadora!$C$6&gt;0,1-(G113/Calculadora!$C$6),0),0)</f>
        <v/>
      </c>
    </row>
    <row r="114" ht="18" customHeight="1">
      <c r="A114" s="46" t="n">
        <v>110</v>
      </c>
      <c r="B114" s="47">
        <f>IFERROR(IF(C114&lt;=0.01,"",EDATE(B113,1)),"")</f>
        <v/>
      </c>
      <c r="C114" s="48">
        <f>IF(G113&lt;=0.01,0,G113)</f>
        <v/>
      </c>
      <c r="D114" s="48">
        <f>IF(C114&lt;=0.01,0,F114+E114)</f>
        <v/>
      </c>
      <c r="E114" s="49">
        <f>IF(C114&lt;=0.01,0,ROUND(C114*Calculadora!$C$7/12,2))</f>
        <v/>
      </c>
      <c r="F114" s="48">
        <f>IF(C114&lt;=0.01,0,ROUND(Calculadora!$C$6/Calculadora!$C$8,2))</f>
        <v/>
      </c>
      <c r="G114" s="48">
        <f>IF(C114&lt;=0.01,0,MAX(ROUND(C114-F114,2),0))</f>
        <v/>
      </c>
      <c r="H114" s="50">
        <f>IFERROR(IF(Calculadora!$C$6&gt;0,1-(G114/Calculadora!$C$6),0),0)</f>
        <v/>
      </c>
    </row>
    <row r="115" ht="18" customHeight="1">
      <c r="A115" s="46" t="n">
        <v>111</v>
      </c>
      <c r="B115" s="47">
        <f>IFERROR(IF(C115&lt;=0.01,"",EDATE(B114,1)),"")</f>
        <v/>
      </c>
      <c r="C115" s="48">
        <f>IF(G114&lt;=0.01,0,G114)</f>
        <v/>
      </c>
      <c r="D115" s="48">
        <f>IF(C115&lt;=0.01,0,F115+E115)</f>
        <v/>
      </c>
      <c r="E115" s="49">
        <f>IF(C115&lt;=0.01,0,ROUND(C115*Calculadora!$C$7/12,2))</f>
        <v/>
      </c>
      <c r="F115" s="48">
        <f>IF(C115&lt;=0.01,0,ROUND(Calculadora!$C$6/Calculadora!$C$8,2))</f>
        <v/>
      </c>
      <c r="G115" s="48">
        <f>IF(C115&lt;=0.01,0,MAX(ROUND(C115-F115,2),0))</f>
        <v/>
      </c>
      <c r="H115" s="50">
        <f>IFERROR(IF(Calculadora!$C$6&gt;0,1-(G115/Calculadora!$C$6),0),0)</f>
        <v/>
      </c>
    </row>
    <row r="116" ht="18" customHeight="1">
      <c r="A116" s="46" t="n">
        <v>112</v>
      </c>
      <c r="B116" s="47">
        <f>IFERROR(IF(C116&lt;=0.01,"",EDATE(B115,1)),"")</f>
        <v/>
      </c>
      <c r="C116" s="48">
        <f>IF(G115&lt;=0.01,0,G115)</f>
        <v/>
      </c>
      <c r="D116" s="48">
        <f>IF(C116&lt;=0.01,0,F116+E116)</f>
        <v/>
      </c>
      <c r="E116" s="49">
        <f>IF(C116&lt;=0.01,0,ROUND(C116*Calculadora!$C$7/12,2))</f>
        <v/>
      </c>
      <c r="F116" s="48">
        <f>IF(C116&lt;=0.01,0,ROUND(Calculadora!$C$6/Calculadora!$C$8,2))</f>
        <v/>
      </c>
      <c r="G116" s="48">
        <f>IF(C116&lt;=0.01,0,MAX(ROUND(C116-F116,2),0))</f>
        <v/>
      </c>
      <c r="H116" s="50">
        <f>IFERROR(IF(Calculadora!$C$6&gt;0,1-(G116/Calculadora!$C$6),0),0)</f>
        <v/>
      </c>
    </row>
    <row r="117" ht="18" customHeight="1">
      <c r="A117" s="46" t="n">
        <v>113</v>
      </c>
      <c r="B117" s="47">
        <f>IFERROR(IF(C117&lt;=0.01,"",EDATE(B116,1)),"")</f>
        <v/>
      </c>
      <c r="C117" s="48">
        <f>IF(G116&lt;=0.01,0,G116)</f>
        <v/>
      </c>
      <c r="D117" s="48">
        <f>IF(C117&lt;=0.01,0,F117+E117)</f>
        <v/>
      </c>
      <c r="E117" s="49">
        <f>IF(C117&lt;=0.01,0,ROUND(C117*Calculadora!$C$7/12,2))</f>
        <v/>
      </c>
      <c r="F117" s="48">
        <f>IF(C117&lt;=0.01,0,ROUND(Calculadora!$C$6/Calculadora!$C$8,2))</f>
        <v/>
      </c>
      <c r="G117" s="48">
        <f>IF(C117&lt;=0.01,0,MAX(ROUND(C117-F117,2),0))</f>
        <v/>
      </c>
      <c r="H117" s="50">
        <f>IFERROR(IF(Calculadora!$C$6&gt;0,1-(G117/Calculadora!$C$6),0),0)</f>
        <v/>
      </c>
    </row>
    <row r="118" ht="18" customHeight="1">
      <c r="A118" s="46" t="n">
        <v>114</v>
      </c>
      <c r="B118" s="47">
        <f>IFERROR(IF(C118&lt;=0.01,"",EDATE(B117,1)),"")</f>
        <v/>
      </c>
      <c r="C118" s="48">
        <f>IF(G117&lt;=0.01,0,G117)</f>
        <v/>
      </c>
      <c r="D118" s="48">
        <f>IF(C118&lt;=0.01,0,F118+E118)</f>
        <v/>
      </c>
      <c r="E118" s="49">
        <f>IF(C118&lt;=0.01,0,ROUND(C118*Calculadora!$C$7/12,2))</f>
        <v/>
      </c>
      <c r="F118" s="48">
        <f>IF(C118&lt;=0.01,0,ROUND(Calculadora!$C$6/Calculadora!$C$8,2))</f>
        <v/>
      </c>
      <c r="G118" s="48">
        <f>IF(C118&lt;=0.01,0,MAX(ROUND(C118-F118,2),0))</f>
        <v/>
      </c>
      <c r="H118" s="50">
        <f>IFERROR(IF(Calculadora!$C$6&gt;0,1-(G118/Calculadora!$C$6),0),0)</f>
        <v/>
      </c>
    </row>
    <row r="119" ht="18" customHeight="1">
      <c r="A119" s="46" t="n">
        <v>115</v>
      </c>
      <c r="B119" s="47">
        <f>IFERROR(IF(C119&lt;=0.01,"",EDATE(B118,1)),"")</f>
        <v/>
      </c>
      <c r="C119" s="48">
        <f>IF(G118&lt;=0.01,0,G118)</f>
        <v/>
      </c>
      <c r="D119" s="48">
        <f>IF(C119&lt;=0.01,0,F119+E119)</f>
        <v/>
      </c>
      <c r="E119" s="49">
        <f>IF(C119&lt;=0.01,0,ROUND(C119*Calculadora!$C$7/12,2))</f>
        <v/>
      </c>
      <c r="F119" s="48">
        <f>IF(C119&lt;=0.01,0,ROUND(Calculadora!$C$6/Calculadora!$C$8,2))</f>
        <v/>
      </c>
      <c r="G119" s="48">
        <f>IF(C119&lt;=0.01,0,MAX(ROUND(C119-F119,2),0))</f>
        <v/>
      </c>
      <c r="H119" s="50">
        <f>IFERROR(IF(Calculadora!$C$6&gt;0,1-(G119/Calculadora!$C$6),0),0)</f>
        <v/>
      </c>
    </row>
    <row r="120" ht="18" customHeight="1">
      <c r="A120" s="46" t="n">
        <v>116</v>
      </c>
      <c r="B120" s="47">
        <f>IFERROR(IF(C120&lt;=0.01,"",EDATE(B119,1)),"")</f>
        <v/>
      </c>
      <c r="C120" s="48">
        <f>IF(G119&lt;=0.01,0,G119)</f>
        <v/>
      </c>
      <c r="D120" s="48">
        <f>IF(C120&lt;=0.01,0,F120+E120)</f>
        <v/>
      </c>
      <c r="E120" s="49">
        <f>IF(C120&lt;=0.01,0,ROUND(C120*Calculadora!$C$7/12,2))</f>
        <v/>
      </c>
      <c r="F120" s="48">
        <f>IF(C120&lt;=0.01,0,ROUND(Calculadora!$C$6/Calculadora!$C$8,2))</f>
        <v/>
      </c>
      <c r="G120" s="48">
        <f>IF(C120&lt;=0.01,0,MAX(ROUND(C120-F120,2),0))</f>
        <v/>
      </c>
      <c r="H120" s="50">
        <f>IFERROR(IF(Calculadora!$C$6&gt;0,1-(G120/Calculadora!$C$6),0),0)</f>
        <v/>
      </c>
    </row>
    <row r="121" ht="18" customHeight="1">
      <c r="A121" s="46" t="n">
        <v>117</v>
      </c>
      <c r="B121" s="47">
        <f>IFERROR(IF(C121&lt;=0.01,"",EDATE(B120,1)),"")</f>
        <v/>
      </c>
      <c r="C121" s="48">
        <f>IF(G120&lt;=0.01,0,G120)</f>
        <v/>
      </c>
      <c r="D121" s="48">
        <f>IF(C121&lt;=0.01,0,F121+E121)</f>
        <v/>
      </c>
      <c r="E121" s="49">
        <f>IF(C121&lt;=0.01,0,ROUND(C121*Calculadora!$C$7/12,2))</f>
        <v/>
      </c>
      <c r="F121" s="48">
        <f>IF(C121&lt;=0.01,0,ROUND(Calculadora!$C$6/Calculadora!$C$8,2))</f>
        <v/>
      </c>
      <c r="G121" s="48">
        <f>IF(C121&lt;=0.01,0,MAX(ROUND(C121-F121,2),0))</f>
        <v/>
      </c>
      <c r="H121" s="50">
        <f>IFERROR(IF(Calculadora!$C$6&gt;0,1-(G121/Calculadora!$C$6),0),0)</f>
        <v/>
      </c>
    </row>
    <row r="122" ht="18" customHeight="1">
      <c r="A122" s="46" t="n">
        <v>118</v>
      </c>
      <c r="B122" s="47">
        <f>IFERROR(IF(C122&lt;=0.01,"",EDATE(B121,1)),"")</f>
        <v/>
      </c>
      <c r="C122" s="48">
        <f>IF(G121&lt;=0.01,0,G121)</f>
        <v/>
      </c>
      <c r="D122" s="48">
        <f>IF(C122&lt;=0.01,0,F122+E122)</f>
        <v/>
      </c>
      <c r="E122" s="49">
        <f>IF(C122&lt;=0.01,0,ROUND(C122*Calculadora!$C$7/12,2))</f>
        <v/>
      </c>
      <c r="F122" s="48">
        <f>IF(C122&lt;=0.01,0,ROUND(Calculadora!$C$6/Calculadora!$C$8,2))</f>
        <v/>
      </c>
      <c r="G122" s="48">
        <f>IF(C122&lt;=0.01,0,MAX(ROUND(C122-F122,2),0))</f>
        <v/>
      </c>
      <c r="H122" s="50">
        <f>IFERROR(IF(Calculadora!$C$6&gt;0,1-(G122/Calculadora!$C$6),0),0)</f>
        <v/>
      </c>
    </row>
    <row r="123" ht="18" customHeight="1">
      <c r="A123" s="46" t="n">
        <v>119</v>
      </c>
      <c r="B123" s="47">
        <f>IFERROR(IF(C123&lt;=0.01,"",EDATE(B122,1)),"")</f>
        <v/>
      </c>
      <c r="C123" s="48">
        <f>IF(G122&lt;=0.01,0,G122)</f>
        <v/>
      </c>
      <c r="D123" s="48">
        <f>IF(C123&lt;=0.01,0,F123+E123)</f>
        <v/>
      </c>
      <c r="E123" s="49">
        <f>IF(C123&lt;=0.01,0,ROUND(C123*Calculadora!$C$7/12,2))</f>
        <v/>
      </c>
      <c r="F123" s="48">
        <f>IF(C123&lt;=0.01,0,ROUND(Calculadora!$C$6/Calculadora!$C$8,2))</f>
        <v/>
      </c>
      <c r="G123" s="48">
        <f>IF(C123&lt;=0.01,0,MAX(ROUND(C123-F123,2),0))</f>
        <v/>
      </c>
      <c r="H123" s="50">
        <f>IFERROR(IF(Calculadora!$C$6&gt;0,1-(G123/Calculadora!$C$6),0),0)</f>
        <v/>
      </c>
    </row>
    <row r="124" ht="18" customHeight="1">
      <c r="A124" s="46" t="n">
        <v>120</v>
      </c>
      <c r="B124" s="47">
        <f>IFERROR(IF(C124&lt;=0.01,"",EDATE(B123,1)),"")</f>
        <v/>
      </c>
      <c r="C124" s="48">
        <f>IF(G123&lt;=0.01,0,G123)</f>
        <v/>
      </c>
      <c r="D124" s="48">
        <f>IF(C124&lt;=0.01,0,F124+E124)</f>
        <v/>
      </c>
      <c r="E124" s="49">
        <f>IF(C124&lt;=0.01,0,ROUND(C124*Calculadora!$C$7/12,2))</f>
        <v/>
      </c>
      <c r="F124" s="48">
        <f>IF(C124&lt;=0.01,0,ROUND(Calculadora!$C$6/Calculadora!$C$8,2))</f>
        <v/>
      </c>
      <c r="G124" s="48">
        <f>IF(C124&lt;=0.01,0,MAX(ROUND(C124-F124,2),0))</f>
        <v/>
      </c>
      <c r="H124" s="50">
        <f>IFERROR(IF(Calculadora!$C$6&gt;0,1-(G124/Calculadora!$C$6),0),0)</f>
        <v/>
      </c>
    </row>
    <row r="125" ht="18" customHeight="1">
      <c r="A125" s="46" t="n">
        <v>121</v>
      </c>
      <c r="B125" s="47">
        <f>IFERROR(IF(C125&lt;=0.01,"",EDATE(B124,1)),"")</f>
        <v/>
      </c>
      <c r="C125" s="48">
        <f>IF(G124&lt;=0.01,0,G124)</f>
        <v/>
      </c>
      <c r="D125" s="48">
        <f>IF(C125&lt;=0.01,0,F125+E125)</f>
        <v/>
      </c>
      <c r="E125" s="49">
        <f>IF(C125&lt;=0.01,0,ROUND(C125*Calculadora!$C$7/12,2))</f>
        <v/>
      </c>
      <c r="F125" s="48">
        <f>IF(C125&lt;=0.01,0,ROUND(Calculadora!$C$6/Calculadora!$C$8,2))</f>
        <v/>
      </c>
      <c r="G125" s="48">
        <f>IF(C125&lt;=0.01,0,MAX(ROUND(C125-F125,2),0))</f>
        <v/>
      </c>
      <c r="H125" s="50">
        <f>IFERROR(IF(Calculadora!$C$6&gt;0,1-(G125/Calculadora!$C$6),0),0)</f>
        <v/>
      </c>
    </row>
    <row r="126" ht="18" customHeight="1">
      <c r="A126" s="46" t="n">
        <v>122</v>
      </c>
      <c r="B126" s="47">
        <f>IFERROR(IF(C126&lt;=0.01,"",EDATE(B125,1)),"")</f>
        <v/>
      </c>
      <c r="C126" s="48">
        <f>IF(G125&lt;=0.01,0,G125)</f>
        <v/>
      </c>
      <c r="D126" s="48">
        <f>IF(C126&lt;=0.01,0,F126+E126)</f>
        <v/>
      </c>
      <c r="E126" s="49">
        <f>IF(C126&lt;=0.01,0,ROUND(C126*Calculadora!$C$7/12,2))</f>
        <v/>
      </c>
      <c r="F126" s="48">
        <f>IF(C126&lt;=0.01,0,ROUND(Calculadora!$C$6/Calculadora!$C$8,2))</f>
        <v/>
      </c>
      <c r="G126" s="48">
        <f>IF(C126&lt;=0.01,0,MAX(ROUND(C126-F126,2),0))</f>
        <v/>
      </c>
      <c r="H126" s="50">
        <f>IFERROR(IF(Calculadora!$C$6&gt;0,1-(G126/Calculadora!$C$6),0),0)</f>
        <v/>
      </c>
    </row>
    <row r="127" ht="18" customHeight="1">
      <c r="A127" s="46" t="n">
        <v>123</v>
      </c>
      <c r="B127" s="47">
        <f>IFERROR(IF(C127&lt;=0.01,"",EDATE(B126,1)),"")</f>
        <v/>
      </c>
      <c r="C127" s="48">
        <f>IF(G126&lt;=0.01,0,G126)</f>
        <v/>
      </c>
      <c r="D127" s="48">
        <f>IF(C127&lt;=0.01,0,F127+E127)</f>
        <v/>
      </c>
      <c r="E127" s="49">
        <f>IF(C127&lt;=0.01,0,ROUND(C127*Calculadora!$C$7/12,2))</f>
        <v/>
      </c>
      <c r="F127" s="48">
        <f>IF(C127&lt;=0.01,0,ROUND(Calculadora!$C$6/Calculadora!$C$8,2))</f>
        <v/>
      </c>
      <c r="G127" s="48">
        <f>IF(C127&lt;=0.01,0,MAX(ROUND(C127-F127,2),0))</f>
        <v/>
      </c>
      <c r="H127" s="50">
        <f>IFERROR(IF(Calculadora!$C$6&gt;0,1-(G127/Calculadora!$C$6),0),0)</f>
        <v/>
      </c>
    </row>
    <row r="128" ht="18" customHeight="1">
      <c r="A128" s="46" t="n">
        <v>124</v>
      </c>
      <c r="B128" s="47">
        <f>IFERROR(IF(C128&lt;=0.01,"",EDATE(B127,1)),"")</f>
        <v/>
      </c>
      <c r="C128" s="48">
        <f>IF(G127&lt;=0.01,0,G127)</f>
        <v/>
      </c>
      <c r="D128" s="48">
        <f>IF(C128&lt;=0.01,0,F128+E128)</f>
        <v/>
      </c>
      <c r="E128" s="49">
        <f>IF(C128&lt;=0.01,0,ROUND(C128*Calculadora!$C$7/12,2))</f>
        <v/>
      </c>
      <c r="F128" s="48">
        <f>IF(C128&lt;=0.01,0,ROUND(Calculadora!$C$6/Calculadora!$C$8,2))</f>
        <v/>
      </c>
      <c r="G128" s="48">
        <f>IF(C128&lt;=0.01,0,MAX(ROUND(C128-F128,2),0))</f>
        <v/>
      </c>
      <c r="H128" s="50">
        <f>IFERROR(IF(Calculadora!$C$6&gt;0,1-(G128/Calculadora!$C$6),0),0)</f>
        <v/>
      </c>
    </row>
    <row r="129" ht="18" customHeight="1">
      <c r="A129" s="46" t="n">
        <v>125</v>
      </c>
      <c r="B129" s="47">
        <f>IFERROR(IF(C129&lt;=0.01,"",EDATE(B128,1)),"")</f>
        <v/>
      </c>
      <c r="C129" s="48">
        <f>IF(G128&lt;=0.01,0,G128)</f>
        <v/>
      </c>
      <c r="D129" s="48">
        <f>IF(C129&lt;=0.01,0,F129+E129)</f>
        <v/>
      </c>
      <c r="E129" s="49">
        <f>IF(C129&lt;=0.01,0,ROUND(C129*Calculadora!$C$7/12,2))</f>
        <v/>
      </c>
      <c r="F129" s="48">
        <f>IF(C129&lt;=0.01,0,ROUND(Calculadora!$C$6/Calculadora!$C$8,2))</f>
        <v/>
      </c>
      <c r="G129" s="48">
        <f>IF(C129&lt;=0.01,0,MAX(ROUND(C129-F129,2),0))</f>
        <v/>
      </c>
      <c r="H129" s="50">
        <f>IFERROR(IF(Calculadora!$C$6&gt;0,1-(G129/Calculadora!$C$6),0),0)</f>
        <v/>
      </c>
    </row>
    <row r="130" ht="18" customHeight="1">
      <c r="A130" s="46" t="n">
        <v>126</v>
      </c>
      <c r="B130" s="47">
        <f>IFERROR(IF(C130&lt;=0.01,"",EDATE(B129,1)),"")</f>
        <v/>
      </c>
      <c r="C130" s="48">
        <f>IF(G129&lt;=0.01,0,G129)</f>
        <v/>
      </c>
      <c r="D130" s="48">
        <f>IF(C130&lt;=0.01,0,F130+E130)</f>
        <v/>
      </c>
      <c r="E130" s="49">
        <f>IF(C130&lt;=0.01,0,ROUND(C130*Calculadora!$C$7/12,2))</f>
        <v/>
      </c>
      <c r="F130" s="48">
        <f>IF(C130&lt;=0.01,0,ROUND(Calculadora!$C$6/Calculadora!$C$8,2))</f>
        <v/>
      </c>
      <c r="G130" s="48">
        <f>IF(C130&lt;=0.01,0,MAX(ROUND(C130-F130,2),0))</f>
        <v/>
      </c>
      <c r="H130" s="50">
        <f>IFERROR(IF(Calculadora!$C$6&gt;0,1-(G130/Calculadora!$C$6),0),0)</f>
        <v/>
      </c>
    </row>
    <row r="131" ht="18" customHeight="1">
      <c r="A131" s="46" t="n">
        <v>127</v>
      </c>
      <c r="B131" s="47">
        <f>IFERROR(IF(C131&lt;=0.01,"",EDATE(B130,1)),"")</f>
        <v/>
      </c>
      <c r="C131" s="48">
        <f>IF(G130&lt;=0.01,0,G130)</f>
        <v/>
      </c>
      <c r="D131" s="48">
        <f>IF(C131&lt;=0.01,0,F131+E131)</f>
        <v/>
      </c>
      <c r="E131" s="49">
        <f>IF(C131&lt;=0.01,0,ROUND(C131*Calculadora!$C$7/12,2))</f>
        <v/>
      </c>
      <c r="F131" s="48">
        <f>IF(C131&lt;=0.01,0,ROUND(Calculadora!$C$6/Calculadora!$C$8,2))</f>
        <v/>
      </c>
      <c r="G131" s="48">
        <f>IF(C131&lt;=0.01,0,MAX(ROUND(C131-F131,2),0))</f>
        <v/>
      </c>
      <c r="H131" s="50">
        <f>IFERROR(IF(Calculadora!$C$6&gt;0,1-(G131/Calculadora!$C$6),0),0)</f>
        <v/>
      </c>
    </row>
    <row r="132" ht="18" customHeight="1">
      <c r="A132" s="46" t="n">
        <v>128</v>
      </c>
      <c r="B132" s="47">
        <f>IFERROR(IF(C132&lt;=0.01,"",EDATE(B131,1)),"")</f>
        <v/>
      </c>
      <c r="C132" s="48">
        <f>IF(G131&lt;=0.01,0,G131)</f>
        <v/>
      </c>
      <c r="D132" s="48">
        <f>IF(C132&lt;=0.01,0,F132+E132)</f>
        <v/>
      </c>
      <c r="E132" s="49">
        <f>IF(C132&lt;=0.01,0,ROUND(C132*Calculadora!$C$7/12,2))</f>
        <v/>
      </c>
      <c r="F132" s="48">
        <f>IF(C132&lt;=0.01,0,ROUND(Calculadora!$C$6/Calculadora!$C$8,2))</f>
        <v/>
      </c>
      <c r="G132" s="48">
        <f>IF(C132&lt;=0.01,0,MAX(ROUND(C132-F132,2),0))</f>
        <v/>
      </c>
      <c r="H132" s="50">
        <f>IFERROR(IF(Calculadora!$C$6&gt;0,1-(G132/Calculadora!$C$6),0),0)</f>
        <v/>
      </c>
    </row>
    <row r="133" ht="18" customHeight="1">
      <c r="A133" s="46" t="n">
        <v>129</v>
      </c>
      <c r="B133" s="47">
        <f>IFERROR(IF(C133&lt;=0.01,"",EDATE(B132,1)),"")</f>
        <v/>
      </c>
      <c r="C133" s="48">
        <f>IF(G132&lt;=0.01,0,G132)</f>
        <v/>
      </c>
      <c r="D133" s="48">
        <f>IF(C133&lt;=0.01,0,F133+E133)</f>
        <v/>
      </c>
      <c r="E133" s="49">
        <f>IF(C133&lt;=0.01,0,ROUND(C133*Calculadora!$C$7/12,2))</f>
        <v/>
      </c>
      <c r="F133" s="48">
        <f>IF(C133&lt;=0.01,0,ROUND(Calculadora!$C$6/Calculadora!$C$8,2))</f>
        <v/>
      </c>
      <c r="G133" s="48">
        <f>IF(C133&lt;=0.01,0,MAX(ROUND(C133-F133,2),0))</f>
        <v/>
      </c>
      <c r="H133" s="50">
        <f>IFERROR(IF(Calculadora!$C$6&gt;0,1-(G133/Calculadora!$C$6),0),0)</f>
        <v/>
      </c>
    </row>
    <row r="134" ht="18" customHeight="1">
      <c r="A134" s="46" t="n">
        <v>130</v>
      </c>
      <c r="B134" s="47">
        <f>IFERROR(IF(C134&lt;=0.01,"",EDATE(B133,1)),"")</f>
        <v/>
      </c>
      <c r="C134" s="48">
        <f>IF(G133&lt;=0.01,0,G133)</f>
        <v/>
      </c>
      <c r="D134" s="48">
        <f>IF(C134&lt;=0.01,0,F134+E134)</f>
        <v/>
      </c>
      <c r="E134" s="49">
        <f>IF(C134&lt;=0.01,0,ROUND(C134*Calculadora!$C$7/12,2))</f>
        <v/>
      </c>
      <c r="F134" s="48">
        <f>IF(C134&lt;=0.01,0,ROUND(Calculadora!$C$6/Calculadora!$C$8,2))</f>
        <v/>
      </c>
      <c r="G134" s="48">
        <f>IF(C134&lt;=0.01,0,MAX(ROUND(C134-F134,2),0))</f>
        <v/>
      </c>
      <c r="H134" s="50">
        <f>IFERROR(IF(Calculadora!$C$6&gt;0,1-(G134/Calculadora!$C$6),0),0)</f>
        <v/>
      </c>
    </row>
    <row r="135" ht="18" customHeight="1">
      <c r="A135" s="46" t="n">
        <v>131</v>
      </c>
      <c r="B135" s="47">
        <f>IFERROR(IF(C135&lt;=0.01,"",EDATE(B134,1)),"")</f>
        <v/>
      </c>
      <c r="C135" s="48">
        <f>IF(G134&lt;=0.01,0,G134)</f>
        <v/>
      </c>
      <c r="D135" s="48">
        <f>IF(C135&lt;=0.01,0,F135+E135)</f>
        <v/>
      </c>
      <c r="E135" s="49">
        <f>IF(C135&lt;=0.01,0,ROUND(C135*Calculadora!$C$7/12,2))</f>
        <v/>
      </c>
      <c r="F135" s="48">
        <f>IF(C135&lt;=0.01,0,ROUND(Calculadora!$C$6/Calculadora!$C$8,2))</f>
        <v/>
      </c>
      <c r="G135" s="48">
        <f>IF(C135&lt;=0.01,0,MAX(ROUND(C135-F135,2),0))</f>
        <v/>
      </c>
      <c r="H135" s="50">
        <f>IFERROR(IF(Calculadora!$C$6&gt;0,1-(G135/Calculadora!$C$6),0),0)</f>
        <v/>
      </c>
    </row>
    <row r="136" ht="18" customHeight="1">
      <c r="A136" s="46" t="n">
        <v>132</v>
      </c>
      <c r="B136" s="47">
        <f>IFERROR(IF(C136&lt;=0.01,"",EDATE(B135,1)),"")</f>
        <v/>
      </c>
      <c r="C136" s="48">
        <f>IF(G135&lt;=0.01,0,G135)</f>
        <v/>
      </c>
      <c r="D136" s="48">
        <f>IF(C136&lt;=0.01,0,F136+E136)</f>
        <v/>
      </c>
      <c r="E136" s="49">
        <f>IF(C136&lt;=0.01,0,ROUND(C136*Calculadora!$C$7/12,2))</f>
        <v/>
      </c>
      <c r="F136" s="48">
        <f>IF(C136&lt;=0.01,0,ROUND(Calculadora!$C$6/Calculadora!$C$8,2))</f>
        <v/>
      </c>
      <c r="G136" s="48">
        <f>IF(C136&lt;=0.01,0,MAX(ROUND(C136-F136,2),0))</f>
        <v/>
      </c>
      <c r="H136" s="50">
        <f>IFERROR(IF(Calculadora!$C$6&gt;0,1-(G136/Calculadora!$C$6),0),0)</f>
        <v/>
      </c>
    </row>
    <row r="137" ht="18" customHeight="1">
      <c r="A137" s="46" t="n">
        <v>133</v>
      </c>
      <c r="B137" s="47">
        <f>IFERROR(IF(C137&lt;=0.01,"",EDATE(B136,1)),"")</f>
        <v/>
      </c>
      <c r="C137" s="48">
        <f>IF(G136&lt;=0.01,0,G136)</f>
        <v/>
      </c>
      <c r="D137" s="48">
        <f>IF(C137&lt;=0.01,0,F137+E137)</f>
        <v/>
      </c>
      <c r="E137" s="49">
        <f>IF(C137&lt;=0.01,0,ROUND(C137*Calculadora!$C$7/12,2))</f>
        <v/>
      </c>
      <c r="F137" s="48">
        <f>IF(C137&lt;=0.01,0,ROUND(Calculadora!$C$6/Calculadora!$C$8,2))</f>
        <v/>
      </c>
      <c r="G137" s="48">
        <f>IF(C137&lt;=0.01,0,MAX(ROUND(C137-F137,2),0))</f>
        <v/>
      </c>
      <c r="H137" s="50">
        <f>IFERROR(IF(Calculadora!$C$6&gt;0,1-(G137/Calculadora!$C$6),0),0)</f>
        <v/>
      </c>
    </row>
    <row r="138" ht="18" customHeight="1">
      <c r="A138" s="46" t="n">
        <v>134</v>
      </c>
      <c r="B138" s="47">
        <f>IFERROR(IF(C138&lt;=0.01,"",EDATE(B137,1)),"")</f>
        <v/>
      </c>
      <c r="C138" s="48">
        <f>IF(G137&lt;=0.01,0,G137)</f>
        <v/>
      </c>
      <c r="D138" s="48">
        <f>IF(C138&lt;=0.01,0,F138+E138)</f>
        <v/>
      </c>
      <c r="E138" s="49">
        <f>IF(C138&lt;=0.01,0,ROUND(C138*Calculadora!$C$7/12,2))</f>
        <v/>
      </c>
      <c r="F138" s="48">
        <f>IF(C138&lt;=0.01,0,ROUND(Calculadora!$C$6/Calculadora!$C$8,2))</f>
        <v/>
      </c>
      <c r="G138" s="48">
        <f>IF(C138&lt;=0.01,0,MAX(ROUND(C138-F138,2),0))</f>
        <v/>
      </c>
      <c r="H138" s="50">
        <f>IFERROR(IF(Calculadora!$C$6&gt;0,1-(G138/Calculadora!$C$6),0),0)</f>
        <v/>
      </c>
    </row>
    <row r="139" ht="18" customHeight="1">
      <c r="A139" s="46" t="n">
        <v>135</v>
      </c>
      <c r="B139" s="47">
        <f>IFERROR(IF(C139&lt;=0.01,"",EDATE(B138,1)),"")</f>
        <v/>
      </c>
      <c r="C139" s="48">
        <f>IF(G138&lt;=0.01,0,G138)</f>
        <v/>
      </c>
      <c r="D139" s="48">
        <f>IF(C139&lt;=0.01,0,F139+E139)</f>
        <v/>
      </c>
      <c r="E139" s="49">
        <f>IF(C139&lt;=0.01,0,ROUND(C139*Calculadora!$C$7/12,2))</f>
        <v/>
      </c>
      <c r="F139" s="48">
        <f>IF(C139&lt;=0.01,0,ROUND(Calculadora!$C$6/Calculadora!$C$8,2))</f>
        <v/>
      </c>
      <c r="G139" s="48">
        <f>IF(C139&lt;=0.01,0,MAX(ROUND(C139-F139,2),0))</f>
        <v/>
      </c>
      <c r="H139" s="50">
        <f>IFERROR(IF(Calculadora!$C$6&gt;0,1-(G139/Calculadora!$C$6),0),0)</f>
        <v/>
      </c>
    </row>
    <row r="140" ht="18" customHeight="1">
      <c r="A140" s="46" t="n">
        <v>136</v>
      </c>
      <c r="B140" s="47">
        <f>IFERROR(IF(C140&lt;=0.01,"",EDATE(B139,1)),"")</f>
        <v/>
      </c>
      <c r="C140" s="48">
        <f>IF(G139&lt;=0.01,0,G139)</f>
        <v/>
      </c>
      <c r="D140" s="48">
        <f>IF(C140&lt;=0.01,0,F140+E140)</f>
        <v/>
      </c>
      <c r="E140" s="49">
        <f>IF(C140&lt;=0.01,0,ROUND(C140*Calculadora!$C$7/12,2))</f>
        <v/>
      </c>
      <c r="F140" s="48">
        <f>IF(C140&lt;=0.01,0,ROUND(Calculadora!$C$6/Calculadora!$C$8,2))</f>
        <v/>
      </c>
      <c r="G140" s="48">
        <f>IF(C140&lt;=0.01,0,MAX(ROUND(C140-F140,2),0))</f>
        <v/>
      </c>
      <c r="H140" s="50">
        <f>IFERROR(IF(Calculadora!$C$6&gt;0,1-(G140/Calculadora!$C$6),0),0)</f>
        <v/>
      </c>
    </row>
    <row r="141" ht="18" customHeight="1">
      <c r="A141" s="46" t="n">
        <v>137</v>
      </c>
      <c r="B141" s="47">
        <f>IFERROR(IF(C141&lt;=0.01,"",EDATE(B140,1)),"")</f>
        <v/>
      </c>
      <c r="C141" s="48">
        <f>IF(G140&lt;=0.01,0,G140)</f>
        <v/>
      </c>
      <c r="D141" s="48">
        <f>IF(C141&lt;=0.01,0,F141+E141)</f>
        <v/>
      </c>
      <c r="E141" s="49">
        <f>IF(C141&lt;=0.01,0,ROUND(C141*Calculadora!$C$7/12,2))</f>
        <v/>
      </c>
      <c r="F141" s="48">
        <f>IF(C141&lt;=0.01,0,ROUND(Calculadora!$C$6/Calculadora!$C$8,2))</f>
        <v/>
      </c>
      <c r="G141" s="48">
        <f>IF(C141&lt;=0.01,0,MAX(ROUND(C141-F141,2),0))</f>
        <v/>
      </c>
      <c r="H141" s="50">
        <f>IFERROR(IF(Calculadora!$C$6&gt;0,1-(G141/Calculadora!$C$6),0),0)</f>
        <v/>
      </c>
    </row>
    <row r="142" ht="18" customHeight="1">
      <c r="A142" s="46" t="n">
        <v>138</v>
      </c>
      <c r="B142" s="47">
        <f>IFERROR(IF(C142&lt;=0.01,"",EDATE(B141,1)),"")</f>
        <v/>
      </c>
      <c r="C142" s="48">
        <f>IF(G141&lt;=0.01,0,G141)</f>
        <v/>
      </c>
      <c r="D142" s="48">
        <f>IF(C142&lt;=0.01,0,F142+E142)</f>
        <v/>
      </c>
      <c r="E142" s="49">
        <f>IF(C142&lt;=0.01,0,ROUND(C142*Calculadora!$C$7/12,2))</f>
        <v/>
      </c>
      <c r="F142" s="48">
        <f>IF(C142&lt;=0.01,0,ROUND(Calculadora!$C$6/Calculadora!$C$8,2))</f>
        <v/>
      </c>
      <c r="G142" s="48">
        <f>IF(C142&lt;=0.01,0,MAX(ROUND(C142-F142,2),0))</f>
        <v/>
      </c>
      <c r="H142" s="50">
        <f>IFERROR(IF(Calculadora!$C$6&gt;0,1-(G142/Calculadora!$C$6),0),0)</f>
        <v/>
      </c>
    </row>
    <row r="143" ht="18" customHeight="1">
      <c r="A143" s="46" t="n">
        <v>139</v>
      </c>
      <c r="B143" s="47">
        <f>IFERROR(IF(C143&lt;=0.01,"",EDATE(B142,1)),"")</f>
        <v/>
      </c>
      <c r="C143" s="48">
        <f>IF(G142&lt;=0.01,0,G142)</f>
        <v/>
      </c>
      <c r="D143" s="48">
        <f>IF(C143&lt;=0.01,0,F143+E143)</f>
        <v/>
      </c>
      <c r="E143" s="49">
        <f>IF(C143&lt;=0.01,0,ROUND(C143*Calculadora!$C$7/12,2))</f>
        <v/>
      </c>
      <c r="F143" s="48">
        <f>IF(C143&lt;=0.01,0,ROUND(Calculadora!$C$6/Calculadora!$C$8,2))</f>
        <v/>
      </c>
      <c r="G143" s="48">
        <f>IF(C143&lt;=0.01,0,MAX(ROUND(C143-F143,2),0))</f>
        <v/>
      </c>
      <c r="H143" s="50">
        <f>IFERROR(IF(Calculadora!$C$6&gt;0,1-(G143/Calculadora!$C$6),0),0)</f>
        <v/>
      </c>
    </row>
    <row r="144" ht="18" customHeight="1">
      <c r="A144" s="46" t="n">
        <v>140</v>
      </c>
      <c r="B144" s="47">
        <f>IFERROR(IF(C144&lt;=0.01,"",EDATE(B143,1)),"")</f>
        <v/>
      </c>
      <c r="C144" s="48">
        <f>IF(G143&lt;=0.01,0,G143)</f>
        <v/>
      </c>
      <c r="D144" s="48">
        <f>IF(C144&lt;=0.01,0,F144+E144)</f>
        <v/>
      </c>
      <c r="E144" s="49">
        <f>IF(C144&lt;=0.01,0,ROUND(C144*Calculadora!$C$7/12,2))</f>
        <v/>
      </c>
      <c r="F144" s="48">
        <f>IF(C144&lt;=0.01,0,ROUND(Calculadora!$C$6/Calculadora!$C$8,2))</f>
        <v/>
      </c>
      <c r="G144" s="48">
        <f>IF(C144&lt;=0.01,0,MAX(ROUND(C144-F144,2),0))</f>
        <v/>
      </c>
      <c r="H144" s="50">
        <f>IFERROR(IF(Calculadora!$C$6&gt;0,1-(G144/Calculadora!$C$6),0),0)</f>
        <v/>
      </c>
    </row>
    <row r="145" ht="18" customHeight="1">
      <c r="A145" s="46" t="n">
        <v>141</v>
      </c>
      <c r="B145" s="47">
        <f>IFERROR(IF(C145&lt;=0.01,"",EDATE(B144,1)),"")</f>
        <v/>
      </c>
      <c r="C145" s="48">
        <f>IF(G144&lt;=0.01,0,G144)</f>
        <v/>
      </c>
      <c r="D145" s="48">
        <f>IF(C145&lt;=0.01,0,F145+E145)</f>
        <v/>
      </c>
      <c r="E145" s="49">
        <f>IF(C145&lt;=0.01,0,ROUND(C145*Calculadora!$C$7/12,2))</f>
        <v/>
      </c>
      <c r="F145" s="48">
        <f>IF(C145&lt;=0.01,0,ROUND(Calculadora!$C$6/Calculadora!$C$8,2))</f>
        <v/>
      </c>
      <c r="G145" s="48">
        <f>IF(C145&lt;=0.01,0,MAX(ROUND(C145-F145,2),0))</f>
        <v/>
      </c>
      <c r="H145" s="50">
        <f>IFERROR(IF(Calculadora!$C$6&gt;0,1-(G145/Calculadora!$C$6),0),0)</f>
        <v/>
      </c>
    </row>
    <row r="146" ht="18" customHeight="1">
      <c r="A146" s="46" t="n">
        <v>142</v>
      </c>
      <c r="B146" s="47">
        <f>IFERROR(IF(C146&lt;=0.01,"",EDATE(B145,1)),"")</f>
        <v/>
      </c>
      <c r="C146" s="48">
        <f>IF(G145&lt;=0.01,0,G145)</f>
        <v/>
      </c>
      <c r="D146" s="48">
        <f>IF(C146&lt;=0.01,0,F146+E146)</f>
        <v/>
      </c>
      <c r="E146" s="49">
        <f>IF(C146&lt;=0.01,0,ROUND(C146*Calculadora!$C$7/12,2))</f>
        <v/>
      </c>
      <c r="F146" s="48">
        <f>IF(C146&lt;=0.01,0,ROUND(Calculadora!$C$6/Calculadora!$C$8,2))</f>
        <v/>
      </c>
      <c r="G146" s="48">
        <f>IF(C146&lt;=0.01,0,MAX(ROUND(C146-F146,2),0))</f>
        <v/>
      </c>
      <c r="H146" s="50">
        <f>IFERROR(IF(Calculadora!$C$6&gt;0,1-(G146/Calculadora!$C$6),0),0)</f>
        <v/>
      </c>
    </row>
    <row r="147" ht="18" customHeight="1">
      <c r="A147" s="46" t="n">
        <v>143</v>
      </c>
      <c r="B147" s="47">
        <f>IFERROR(IF(C147&lt;=0.01,"",EDATE(B146,1)),"")</f>
        <v/>
      </c>
      <c r="C147" s="48">
        <f>IF(G146&lt;=0.01,0,G146)</f>
        <v/>
      </c>
      <c r="D147" s="48">
        <f>IF(C147&lt;=0.01,0,F147+E147)</f>
        <v/>
      </c>
      <c r="E147" s="49">
        <f>IF(C147&lt;=0.01,0,ROUND(C147*Calculadora!$C$7/12,2))</f>
        <v/>
      </c>
      <c r="F147" s="48">
        <f>IF(C147&lt;=0.01,0,ROUND(Calculadora!$C$6/Calculadora!$C$8,2))</f>
        <v/>
      </c>
      <c r="G147" s="48">
        <f>IF(C147&lt;=0.01,0,MAX(ROUND(C147-F147,2),0))</f>
        <v/>
      </c>
      <c r="H147" s="50">
        <f>IFERROR(IF(Calculadora!$C$6&gt;0,1-(G147/Calculadora!$C$6),0),0)</f>
        <v/>
      </c>
    </row>
    <row r="148" ht="18" customHeight="1">
      <c r="A148" s="46" t="n">
        <v>144</v>
      </c>
      <c r="B148" s="47">
        <f>IFERROR(IF(C148&lt;=0.01,"",EDATE(B147,1)),"")</f>
        <v/>
      </c>
      <c r="C148" s="48">
        <f>IF(G147&lt;=0.01,0,G147)</f>
        <v/>
      </c>
      <c r="D148" s="48">
        <f>IF(C148&lt;=0.01,0,F148+E148)</f>
        <v/>
      </c>
      <c r="E148" s="49">
        <f>IF(C148&lt;=0.01,0,ROUND(C148*Calculadora!$C$7/12,2))</f>
        <v/>
      </c>
      <c r="F148" s="48">
        <f>IF(C148&lt;=0.01,0,ROUND(Calculadora!$C$6/Calculadora!$C$8,2))</f>
        <v/>
      </c>
      <c r="G148" s="48">
        <f>IF(C148&lt;=0.01,0,MAX(ROUND(C148-F148,2),0))</f>
        <v/>
      </c>
      <c r="H148" s="50">
        <f>IFERROR(IF(Calculadora!$C$6&gt;0,1-(G148/Calculadora!$C$6),0),0)</f>
        <v/>
      </c>
    </row>
    <row r="149" ht="18" customHeight="1">
      <c r="A149" s="46" t="n">
        <v>145</v>
      </c>
      <c r="B149" s="47">
        <f>IFERROR(IF(C149&lt;=0.01,"",EDATE(B148,1)),"")</f>
        <v/>
      </c>
      <c r="C149" s="48">
        <f>IF(G148&lt;=0.01,0,G148)</f>
        <v/>
      </c>
      <c r="D149" s="48">
        <f>IF(C149&lt;=0.01,0,F149+E149)</f>
        <v/>
      </c>
      <c r="E149" s="49">
        <f>IF(C149&lt;=0.01,0,ROUND(C149*Calculadora!$C$7/12,2))</f>
        <v/>
      </c>
      <c r="F149" s="48">
        <f>IF(C149&lt;=0.01,0,ROUND(Calculadora!$C$6/Calculadora!$C$8,2))</f>
        <v/>
      </c>
      <c r="G149" s="48">
        <f>IF(C149&lt;=0.01,0,MAX(ROUND(C149-F149,2),0))</f>
        <v/>
      </c>
      <c r="H149" s="50">
        <f>IFERROR(IF(Calculadora!$C$6&gt;0,1-(G149/Calculadora!$C$6),0),0)</f>
        <v/>
      </c>
    </row>
    <row r="150" ht="18" customHeight="1">
      <c r="A150" s="46" t="n">
        <v>146</v>
      </c>
      <c r="B150" s="47">
        <f>IFERROR(IF(C150&lt;=0.01,"",EDATE(B149,1)),"")</f>
        <v/>
      </c>
      <c r="C150" s="48">
        <f>IF(G149&lt;=0.01,0,G149)</f>
        <v/>
      </c>
      <c r="D150" s="48">
        <f>IF(C150&lt;=0.01,0,F150+E150)</f>
        <v/>
      </c>
      <c r="E150" s="49">
        <f>IF(C150&lt;=0.01,0,ROUND(C150*Calculadora!$C$7/12,2))</f>
        <v/>
      </c>
      <c r="F150" s="48">
        <f>IF(C150&lt;=0.01,0,ROUND(Calculadora!$C$6/Calculadora!$C$8,2))</f>
        <v/>
      </c>
      <c r="G150" s="48">
        <f>IF(C150&lt;=0.01,0,MAX(ROUND(C150-F150,2),0))</f>
        <v/>
      </c>
      <c r="H150" s="50">
        <f>IFERROR(IF(Calculadora!$C$6&gt;0,1-(G150/Calculadora!$C$6),0),0)</f>
        <v/>
      </c>
    </row>
    <row r="151" ht="18" customHeight="1">
      <c r="A151" s="46" t="n">
        <v>147</v>
      </c>
      <c r="B151" s="47">
        <f>IFERROR(IF(C151&lt;=0.01,"",EDATE(B150,1)),"")</f>
        <v/>
      </c>
      <c r="C151" s="48">
        <f>IF(G150&lt;=0.01,0,G150)</f>
        <v/>
      </c>
      <c r="D151" s="48">
        <f>IF(C151&lt;=0.01,0,F151+E151)</f>
        <v/>
      </c>
      <c r="E151" s="49">
        <f>IF(C151&lt;=0.01,0,ROUND(C151*Calculadora!$C$7/12,2))</f>
        <v/>
      </c>
      <c r="F151" s="48">
        <f>IF(C151&lt;=0.01,0,ROUND(Calculadora!$C$6/Calculadora!$C$8,2))</f>
        <v/>
      </c>
      <c r="G151" s="48">
        <f>IF(C151&lt;=0.01,0,MAX(ROUND(C151-F151,2),0))</f>
        <v/>
      </c>
      <c r="H151" s="50">
        <f>IFERROR(IF(Calculadora!$C$6&gt;0,1-(G151/Calculadora!$C$6),0),0)</f>
        <v/>
      </c>
    </row>
    <row r="152" ht="18" customHeight="1">
      <c r="A152" s="46" t="n">
        <v>148</v>
      </c>
      <c r="B152" s="47">
        <f>IFERROR(IF(C152&lt;=0.01,"",EDATE(B151,1)),"")</f>
        <v/>
      </c>
      <c r="C152" s="48">
        <f>IF(G151&lt;=0.01,0,G151)</f>
        <v/>
      </c>
      <c r="D152" s="48">
        <f>IF(C152&lt;=0.01,0,F152+E152)</f>
        <v/>
      </c>
      <c r="E152" s="49">
        <f>IF(C152&lt;=0.01,0,ROUND(C152*Calculadora!$C$7/12,2))</f>
        <v/>
      </c>
      <c r="F152" s="48">
        <f>IF(C152&lt;=0.01,0,ROUND(Calculadora!$C$6/Calculadora!$C$8,2))</f>
        <v/>
      </c>
      <c r="G152" s="48">
        <f>IF(C152&lt;=0.01,0,MAX(ROUND(C152-F152,2),0))</f>
        <v/>
      </c>
      <c r="H152" s="50">
        <f>IFERROR(IF(Calculadora!$C$6&gt;0,1-(G152/Calculadora!$C$6),0),0)</f>
        <v/>
      </c>
    </row>
    <row r="153" ht="18" customHeight="1">
      <c r="A153" s="46" t="n">
        <v>149</v>
      </c>
      <c r="B153" s="47">
        <f>IFERROR(IF(C153&lt;=0.01,"",EDATE(B152,1)),"")</f>
        <v/>
      </c>
      <c r="C153" s="48">
        <f>IF(G152&lt;=0.01,0,G152)</f>
        <v/>
      </c>
      <c r="D153" s="48">
        <f>IF(C153&lt;=0.01,0,F153+E153)</f>
        <v/>
      </c>
      <c r="E153" s="49">
        <f>IF(C153&lt;=0.01,0,ROUND(C153*Calculadora!$C$7/12,2))</f>
        <v/>
      </c>
      <c r="F153" s="48">
        <f>IF(C153&lt;=0.01,0,ROUND(Calculadora!$C$6/Calculadora!$C$8,2))</f>
        <v/>
      </c>
      <c r="G153" s="48">
        <f>IF(C153&lt;=0.01,0,MAX(ROUND(C153-F153,2),0))</f>
        <v/>
      </c>
      <c r="H153" s="50">
        <f>IFERROR(IF(Calculadora!$C$6&gt;0,1-(G153/Calculadora!$C$6),0),0)</f>
        <v/>
      </c>
    </row>
    <row r="154" ht="18" customHeight="1">
      <c r="A154" s="46" t="n">
        <v>150</v>
      </c>
      <c r="B154" s="47">
        <f>IFERROR(IF(C154&lt;=0.01,"",EDATE(B153,1)),"")</f>
        <v/>
      </c>
      <c r="C154" s="48">
        <f>IF(G153&lt;=0.01,0,G153)</f>
        <v/>
      </c>
      <c r="D154" s="48">
        <f>IF(C154&lt;=0.01,0,F154+E154)</f>
        <v/>
      </c>
      <c r="E154" s="49">
        <f>IF(C154&lt;=0.01,0,ROUND(C154*Calculadora!$C$7/12,2))</f>
        <v/>
      </c>
      <c r="F154" s="48">
        <f>IF(C154&lt;=0.01,0,ROUND(Calculadora!$C$6/Calculadora!$C$8,2))</f>
        <v/>
      </c>
      <c r="G154" s="48">
        <f>IF(C154&lt;=0.01,0,MAX(ROUND(C154-F154,2),0))</f>
        <v/>
      </c>
      <c r="H154" s="50">
        <f>IFERROR(IF(Calculadora!$C$6&gt;0,1-(G154/Calculadora!$C$6),0),0)</f>
        <v/>
      </c>
    </row>
    <row r="155" ht="18" customHeight="1">
      <c r="A155" s="46" t="n">
        <v>151</v>
      </c>
      <c r="B155" s="47">
        <f>IFERROR(IF(C155&lt;=0.01,"",EDATE(B154,1)),"")</f>
        <v/>
      </c>
      <c r="C155" s="48">
        <f>IF(G154&lt;=0.01,0,G154)</f>
        <v/>
      </c>
      <c r="D155" s="48">
        <f>IF(C155&lt;=0.01,0,F155+E155)</f>
        <v/>
      </c>
      <c r="E155" s="49">
        <f>IF(C155&lt;=0.01,0,ROUND(C155*Calculadora!$C$7/12,2))</f>
        <v/>
      </c>
      <c r="F155" s="48">
        <f>IF(C155&lt;=0.01,0,ROUND(Calculadora!$C$6/Calculadora!$C$8,2))</f>
        <v/>
      </c>
      <c r="G155" s="48">
        <f>IF(C155&lt;=0.01,0,MAX(ROUND(C155-F155,2),0))</f>
        <v/>
      </c>
      <c r="H155" s="50">
        <f>IFERROR(IF(Calculadora!$C$6&gt;0,1-(G155/Calculadora!$C$6),0),0)</f>
        <v/>
      </c>
    </row>
    <row r="156" ht="18" customHeight="1">
      <c r="A156" s="46" t="n">
        <v>152</v>
      </c>
      <c r="B156" s="47">
        <f>IFERROR(IF(C156&lt;=0.01,"",EDATE(B155,1)),"")</f>
        <v/>
      </c>
      <c r="C156" s="48">
        <f>IF(G155&lt;=0.01,0,G155)</f>
        <v/>
      </c>
      <c r="D156" s="48">
        <f>IF(C156&lt;=0.01,0,F156+E156)</f>
        <v/>
      </c>
      <c r="E156" s="49">
        <f>IF(C156&lt;=0.01,0,ROUND(C156*Calculadora!$C$7/12,2))</f>
        <v/>
      </c>
      <c r="F156" s="48">
        <f>IF(C156&lt;=0.01,0,ROUND(Calculadora!$C$6/Calculadora!$C$8,2))</f>
        <v/>
      </c>
      <c r="G156" s="48">
        <f>IF(C156&lt;=0.01,0,MAX(ROUND(C156-F156,2),0))</f>
        <v/>
      </c>
      <c r="H156" s="50">
        <f>IFERROR(IF(Calculadora!$C$6&gt;0,1-(G156/Calculadora!$C$6),0),0)</f>
        <v/>
      </c>
    </row>
    <row r="157" ht="18" customHeight="1">
      <c r="A157" s="46" t="n">
        <v>153</v>
      </c>
      <c r="B157" s="47">
        <f>IFERROR(IF(C157&lt;=0.01,"",EDATE(B156,1)),"")</f>
        <v/>
      </c>
      <c r="C157" s="48">
        <f>IF(G156&lt;=0.01,0,G156)</f>
        <v/>
      </c>
      <c r="D157" s="48">
        <f>IF(C157&lt;=0.01,0,F157+E157)</f>
        <v/>
      </c>
      <c r="E157" s="49">
        <f>IF(C157&lt;=0.01,0,ROUND(C157*Calculadora!$C$7/12,2))</f>
        <v/>
      </c>
      <c r="F157" s="48">
        <f>IF(C157&lt;=0.01,0,ROUND(Calculadora!$C$6/Calculadora!$C$8,2))</f>
        <v/>
      </c>
      <c r="G157" s="48">
        <f>IF(C157&lt;=0.01,0,MAX(ROUND(C157-F157,2),0))</f>
        <v/>
      </c>
      <c r="H157" s="50">
        <f>IFERROR(IF(Calculadora!$C$6&gt;0,1-(G157/Calculadora!$C$6),0),0)</f>
        <v/>
      </c>
    </row>
    <row r="158" ht="18" customHeight="1">
      <c r="A158" s="46" t="n">
        <v>154</v>
      </c>
      <c r="B158" s="47">
        <f>IFERROR(IF(C158&lt;=0.01,"",EDATE(B157,1)),"")</f>
        <v/>
      </c>
      <c r="C158" s="48">
        <f>IF(G157&lt;=0.01,0,G157)</f>
        <v/>
      </c>
      <c r="D158" s="48">
        <f>IF(C158&lt;=0.01,0,F158+E158)</f>
        <v/>
      </c>
      <c r="E158" s="49">
        <f>IF(C158&lt;=0.01,0,ROUND(C158*Calculadora!$C$7/12,2))</f>
        <v/>
      </c>
      <c r="F158" s="48">
        <f>IF(C158&lt;=0.01,0,ROUND(Calculadora!$C$6/Calculadora!$C$8,2))</f>
        <v/>
      </c>
      <c r="G158" s="48">
        <f>IF(C158&lt;=0.01,0,MAX(ROUND(C158-F158,2),0))</f>
        <v/>
      </c>
      <c r="H158" s="50">
        <f>IFERROR(IF(Calculadora!$C$6&gt;0,1-(G158/Calculadora!$C$6),0),0)</f>
        <v/>
      </c>
    </row>
    <row r="159" ht="18" customHeight="1">
      <c r="A159" s="46" t="n">
        <v>155</v>
      </c>
      <c r="B159" s="47">
        <f>IFERROR(IF(C159&lt;=0.01,"",EDATE(B158,1)),"")</f>
        <v/>
      </c>
      <c r="C159" s="48">
        <f>IF(G158&lt;=0.01,0,G158)</f>
        <v/>
      </c>
      <c r="D159" s="48">
        <f>IF(C159&lt;=0.01,0,F159+E159)</f>
        <v/>
      </c>
      <c r="E159" s="49">
        <f>IF(C159&lt;=0.01,0,ROUND(C159*Calculadora!$C$7/12,2))</f>
        <v/>
      </c>
      <c r="F159" s="48">
        <f>IF(C159&lt;=0.01,0,ROUND(Calculadora!$C$6/Calculadora!$C$8,2))</f>
        <v/>
      </c>
      <c r="G159" s="48">
        <f>IF(C159&lt;=0.01,0,MAX(ROUND(C159-F159,2),0))</f>
        <v/>
      </c>
      <c r="H159" s="50">
        <f>IFERROR(IF(Calculadora!$C$6&gt;0,1-(G159/Calculadora!$C$6),0),0)</f>
        <v/>
      </c>
    </row>
    <row r="160" ht="18" customHeight="1">
      <c r="A160" s="46" t="n">
        <v>156</v>
      </c>
      <c r="B160" s="47">
        <f>IFERROR(IF(C160&lt;=0.01,"",EDATE(B159,1)),"")</f>
        <v/>
      </c>
      <c r="C160" s="48">
        <f>IF(G159&lt;=0.01,0,G159)</f>
        <v/>
      </c>
      <c r="D160" s="48">
        <f>IF(C160&lt;=0.01,0,F160+E160)</f>
        <v/>
      </c>
      <c r="E160" s="49">
        <f>IF(C160&lt;=0.01,0,ROUND(C160*Calculadora!$C$7/12,2))</f>
        <v/>
      </c>
      <c r="F160" s="48">
        <f>IF(C160&lt;=0.01,0,ROUND(Calculadora!$C$6/Calculadora!$C$8,2))</f>
        <v/>
      </c>
      <c r="G160" s="48">
        <f>IF(C160&lt;=0.01,0,MAX(ROUND(C160-F160,2),0))</f>
        <v/>
      </c>
      <c r="H160" s="50">
        <f>IFERROR(IF(Calculadora!$C$6&gt;0,1-(G160/Calculadora!$C$6),0),0)</f>
        <v/>
      </c>
    </row>
    <row r="161" ht="18" customHeight="1">
      <c r="A161" s="46" t="n">
        <v>157</v>
      </c>
      <c r="B161" s="47">
        <f>IFERROR(IF(C161&lt;=0.01,"",EDATE(B160,1)),"")</f>
        <v/>
      </c>
      <c r="C161" s="48">
        <f>IF(G160&lt;=0.01,0,G160)</f>
        <v/>
      </c>
      <c r="D161" s="48">
        <f>IF(C161&lt;=0.01,0,F161+E161)</f>
        <v/>
      </c>
      <c r="E161" s="49">
        <f>IF(C161&lt;=0.01,0,ROUND(C161*Calculadora!$C$7/12,2))</f>
        <v/>
      </c>
      <c r="F161" s="48">
        <f>IF(C161&lt;=0.01,0,ROUND(Calculadora!$C$6/Calculadora!$C$8,2))</f>
        <v/>
      </c>
      <c r="G161" s="48">
        <f>IF(C161&lt;=0.01,0,MAX(ROUND(C161-F161,2),0))</f>
        <v/>
      </c>
      <c r="H161" s="50">
        <f>IFERROR(IF(Calculadora!$C$6&gt;0,1-(G161/Calculadora!$C$6),0),0)</f>
        <v/>
      </c>
    </row>
    <row r="162" ht="18" customHeight="1">
      <c r="A162" s="46" t="n">
        <v>158</v>
      </c>
      <c r="B162" s="47">
        <f>IFERROR(IF(C162&lt;=0.01,"",EDATE(B161,1)),"")</f>
        <v/>
      </c>
      <c r="C162" s="48">
        <f>IF(G161&lt;=0.01,0,G161)</f>
        <v/>
      </c>
      <c r="D162" s="48">
        <f>IF(C162&lt;=0.01,0,F162+E162)</f>
        <v/>
      </c>
      <c r="E162" s="49">
        <f>IF(C162&lt;=0.01,0,ROUND(C162*Calculadora!$C$7/12,2))</f>
        <v/>
      </c>
      <c r="F162" s="48">
        <f>IF(C162&lt;=0.01,0,ROUND(Calculadora!$C$6/Calculadora!$C$8,2))</f>
        <v/>
      </c>
      <c r="G162" s="48">
        <f>IF(C162&lt;=0.01,0,MAX(ROUND(C162-F162,2),0))</f>
        <v/>
      </c>
      <c r="H162" s="50">
        <f>IFERROR(IF(Calculadora!$C$6&gt;0,1-(G162/Calculadora!$C$6),0),0)</f>
        <v/>
      </c>
    </row>
    <row r="163" ht="18" customHeight="1">
      <c r="A163" s="46" t="n">
        <v>159</v>
      </c>
      <c r="B163" s="47">
        <f>IFERROR(IF(C163&lt;=0.01,"",EDATE(B162,1)),"")</f>
        <v/>
      </c>
      <c r="C163" s="48">
        <f>IF(G162&lt;=0.01,0,G162)</f>
        <v/>
      </c>
      <c r="D163" s="48">
        <f>IF(C163&lt;=0.01,0,F163+E163)</f>
        <v/>
      </c>
      <c r="E163" s="49">
        <f>IF(C163&lt;=0.01,0,ROUND(C163*Calculadora!$C$7/12,2))</f>
        <v/>
      </c>
      <c r="F163" s="48">
        <f>IF(C163&lt;=0.01,0,ROUND(Calculadora!$C$6/Calculadora!$C$8,2))</f>
        <v/>
      </c>
      <c r="G163" s="48">
        <f>IF(C163&lt;=0.01,0,MAX(ROUND(C163-F163,2),0))</f>
        <v/>
      </c>
      <c r="H163" s="50">
        <f>IFERROR(IF(Calculadora!$C$6&gt;0,1-(G163/Calculadora!$C$6),0),0)</f>
        <v/>
      </c>
    </row>
    <row r="164" ht="18" customHeight="1">
      <c r="A164" s="46" t="n">
        <v>160</v>
      </c>
      <c r="B164" s="47">
        <f>IFERROR(IF(C164&lt;=0.01,"",EDATE(B163,1)),"")</f>
        <v/>
      </c>
      <c r="C164" s="48">
        <f>IF(G163&lt;=0.01,0,G163)</f>
        <v/>
      </c>
      <c r="D164" s="48">
        <f>IF(C164&lt;=0.01,0,F164+E164)</f>
        <v/>
      </c>
      <c r="E164" s="49">
        <f>IF(C164&lt;=0.01,0,ROUND(C164*Calculadora!$C$7/12,2))</f>
        <v/>
      </c>
      <c r="F164" s="48">
        <f>IF(C164&lt;=0.01,0,ROUND(Calculadora!$C$6/Calculadora!$C$8,2))</f>
        <v/>
      </c>
      <c r="G164" s="48">
        <f>IF(C164&lt;=0.01,0,MAX(ROUND(C164-F164,2),0))</f>
        <v/>
      </c>
      <c r="H164" s="50">
        <f>IFERROR(IF(Calculadora!$C$6&gt;0,1-(G164/Calculadora!$C$6),0),0)</f>
        <v/>
      </c>
    </row>
    <row r="165" ht="18" customHeight="1">
      <c r="A165" s="46" t="n">
        <v>161</v>
      </c>
      <c r="B165" s="47">
        <f>IFERROR(IF(C165&lt;=0.01,"",EDATE(B164,1)),"")</f>
        <v/>
      </c>
      <c r="C165" s="48">
        <f>IF(G164&lt;=0.01,0,G164)</f>
        <v/>
      </c>
      <c r="D165" s="48">
        <f>IF(C165&lt;=0.01,0,F165+E165)</f>
        <v/>
      </c>
      <c r="E165" s="49">
        <f>IF(C165&lt;=0.01,0,ROUND(C165*Calculadora!$C$7/12,2))</f>
        <v/>
      </c>
      <c r="F165" s="48">
        <f>IF(C165&lt;=0.01,0,ROUND(Calculadora!$C$6/Calculadora!$C$8,2))</f>
        <v/>
      </c>
      <c r="G165" s="48">
        <f>IF(C165&lt;=0.01,0,MAX(ROUND(C165-F165,2),0))</f>
        <v/>
      </c>
      <c r="H165" s="50">
        <f>IFERROR(IF(Calculadora!$C$6&gt;0,1-(G165/Calculadora!$C$6),0),0)</f>
        <v/>
      </c>
    </row>
    <row r="166" ht="18" customHeight="1">
      <c r="A166" s="46" t="n">
        <v>162</v>
      </c>
      <c r="B166" s="47">
        <f>IFERROR(IF(C166&lt;=0.01,"",EDATE(B165,1)),"")</f>
        <v/>
      </c>
      <c r="C166" s="48">
        <f>IF(G165&lt;=0.01,0,G165)</f>
        <v/>
      </c>
      <c r="D166" s="48">
        <f>IF(C166&lt;=0.01,0,F166+E166)</f>
        <v/>
      </c>
      <c r="E166" s="49">
        <f>IF(C166&lt;=0.01,0,ROUND(C166*Calculadora!$C$7/12,2))</f>
        <v/>
      </c>
      <c r="F166" s="48">
        <f>IF(C166&lt;=0.01,0,ROUND(Calculadora!$C$6/Calculadora!$C$8,2))</f>
        <v/>
      </c>
      <c r="G166" s="48">
        <f>IF(C166&lt;=0.01,0,MAX(ROUND(C166-F166,2),0))</f>
        <v/>
      </c>
      <c r="H166" s="50">
        <f>IFERROR(IF(Calculadora!$C$6&gt;0,1-(G166/Calculadora!$C$6),0),0)</f>
        <v/>
      </c>
    </row>
    <row r="167" ht="18" customHeight="1">
      <c r="A167" s="46" t="n">
        <v>163</v>
      </c>
      <c r="B167" s="47">
        <f>IFERROR(IF(C167&lt;=0.01,"",EDATE(B166,1)),"")</f>
        <v/>
      </c>
      <c r="C167" s="48">
        <f>IF(G166&lt;=0.01,0,G166)</f>
        <v/>
      </c>
      <c r="D167" s="48">
        <f>IF(C167&lt;=0.01,0,F167+E167)</f>
        <v/>
      </c>
      <c r="E167" s="49">
        <f>IF(C167&lt;=0.01,0,ROUND(C167*Calculadora!$C$7/12,2))</f>
        <v/>
      </c>
      <c r="F167" s="48">
        <f>IF(C167&lt;=0.01,0,ROUND(Calculadora!$C$6/Calculadora!$C$8,2))</f>
        <v/>
      </c>
      <c r="G167" s="48">
        <f>IF(C167&lt;=0.01,0,MAX(ROUND(C167-F167,2),0))</f>
        <v/>
      </c>
      <c r="H167" s="50">
        <f>IFERROR(IF(Calculadora!$C$6&gt;0,1-(G167/Calculadora!$C$6),0),0)</f>
        <v/>
      </c>
    </row>
    <row r="168" ht="18" customHeight="1">
      <c r="A168" s="46" t="n">
        <v>164</v>
      </c>
      <c r="B168" s="47">
        <f>IFERROR(IF(C168&lt;=0.01,"",EDATE(B167,1)),"")</f>
        <v/>
      </c>
      <c r="C168" s="48">
        <f>IF(G167&lt;=0.01,0,G167)</f>
        <v/>
      </c>
      <c r="D168" s="48">
        <f>IF(C168&lt;=0.01,0,F168+E168)</f>
        <v/>
      </c>
      <c r="E168" s="49">
        <f>IF(C168&lt;=0.01,0,ROUND(C168*Calculadora!$C$7/12,2))</f>
        <v/>
      </c>
      <c r="F168" s="48">
        <f>IF(C168&lt;=0.01,0,ROUND(Calculadora!$C$6/Calculadora!$C$8,2))</f>
        <v/>
      </c>
      <c r="G168" s="48">
        <f>IF(C168&lt;=0.01,0,MAX(ROUND(C168-F168,2),0))</f>
        <v/>
      </c>
      <c r="H168" s="50">
        <f>IFERROR(IF(Calculadora!$C$6&gt;0,1-(G168/Calculadora!$C$6),0),0)</f>
        <v/>
      </c>
    </row>
    <row r="169" ht="18" customHeight="1">
      <c r="A169" s="46" t="n">
        <v>165</v>
      </c>
      <c r="B169" s="47">
        <f>IFERROR(IF(C169&lt;=0.01,"",EDATE(B168,1)),"")</f>
        <v/>
      </c>
      <c r="C169" s="48">
        <f>IF(G168&lt;=0.01,0,G168)</f>
        <v/>
      </c>
      <c r="D169" s="48">
        <f>IF(C169&lt;=0.01,0,F169+E169)</f>
        <v/>
      </c>
      <c r="E169" s="49">
        <f>IF(C169&lt;=0.01,0,ROUND(C169*Calculadora!$C$7/12,2))</f>
        <v/>
      </c>
      <c r="F169" s="48">
        <f>IF(C169&lt;=0.01,0,ROUND(Calculadora!$C$6/Calculadora!$C$8,2))</f>
        <v/>
      </c>
      <c r="G169" s="48">
        <f>IF(C169&lt;=0.01,0,MAX(ROUND(C169-F169,2),0))</f>
        <v/>
      </c>
      <c r="H169" s="50">
        <f>IFERROR(IF(Calculadora!$C$6&gt;0,1-(G169/Calculadora!$C$6),0),0)</f>
        <v/>
      </c>
    </row>
    <row r="170" ht="18" customHeight="1">
      <c r="A170" s="46" t="n">
        <v>166</v>
      </c>
      <c r="B170" s="47">
        <f>IFERROR(IF(C170&lt;=0.01,"",EDATE(B169,1)),"")</f>
        <v/>
      </c>
      <c r="C170" s="48">
        <f>IF(G169&lt;=0.01,0,G169)</f>
        <v/>
      </c>
      <c r="D170" s="48">
        <f>IF(C170&lt;=0.01,0,F170+E170)</f>
        <v/>
      </c>
      <c r="E170" s="49">
        <f>IF(C170&lt;=0.01,0,ROUND(C170*Calculadora!$C$7/12,2))</f>
        <v/>
      </c>
      <c r="F170" s="48">
        <f>IF(C170&lt;=0.01,0,ROUND(Calculadora!$C$6/Calculadora!$C$8,2))</f>
        <v/>
      </c>
      <c r="G170" s="48">
        <f>IF(C170&lt;=0.01,0,MAX(ROUND(C170-F170,2),0))</f>
        <v/>
      </c>
      <c r="H170" s="50">
        <f>IFERROR(IF(Calculadora!$C$6&gt;0,1-(G170/Calculadora!$C$6),0),0)</f>
        <v/>
      </c>
    </row>
    <row r="171" ht="18" customHeight="1">
      <c r="A171" s="46" t="n">
        <v>167</v>
      </c>
      <c r="B171" s="47">
        <f>IFERROR(IF(C171&lt;=0.01,"",EDATE(B170,1)),"")</f>
        <v/>
      </c>
      <c r="C171" s="48">
        <f>IF(G170&lt;=0.01,0,G170)</f>
        <v/>
      </c>
      <c r="D171" s="48">
        <f>IF(C171&lt;=0.01,0,F171+E171)</f>
        <v/>
      </c>
      <c r="E171" s="49">
        <f>IF(C171&lt;=0.01,0,ROUND(C171*Calculadora!$C$7/12,2))</f>
        <v/>
      </c>
      <c r="F171" s="48">
        <f>IF(C171&lt;=0.01,0,ROUND(Calculadora!$C$6/Calculadora!$C$8,2))</f>
        <v/>
      </c>
      <c r="G171" s="48">
        <f>IF(C171&lt;=0.01,0,MAX(ROUND(C171-F171,2),0))</f>
        <v/>
      </c>
      <c r="H171" s="50">
        <f>IFERROR(IF(Calculadora!$C$6&gt;0,1-(G171/Calculadora!$C$6),0),0)</f>
        <v/>
      </c>
    </row>
    <row r="172" ht="18" customHeight="1">
      <c r="A172" s="46" t="n">
        <v>168</v>
      </c>
      <c r="B172" s="47">
        <f>IFERROR(IF(C172&lt;=0.01,"",EDATE(B171,1)),"")</f>
        <v/>
      </c>
      <c r="C172" s="48">
        <f>IF(G171&lt;=0.01,0,G171)</f>
        <v/>
      </c>
      <c r="D172" s="48">
        <f>IF(C172&lt;=0.01,0,F172+E172)</f>
        <v/>
      </c>
      <c r="E172" s="49">
        <f>IF(C172&lt;=0.01,0,ROUND(C172*Calculadora!$C$7/12,2))</f>
        <v/>
      </c>
      <c r="F172" s="48">
        <f>IF(C172&lt;=0.01,0,ROUND(Calculadora!$C$6/Calculadora!$C$8,2))</f>
        <v/>
      </c>
      <c r="G172" s="48">
        <f>IF(C172&lt;=0.01,0,MAX(ROUND(C172-F172,2),0))</f>
        <v/>
      </c>
      <c r="H172" s="50">
        <f>IFERROR(IF(Calculadora!$C$6&gt;0,1-(G172/Calculadora!$C$6),0),0)</f>
        <v/>
      </c>
    </row>
    <row r="173" ht="18" customHeight="1">
      <c r="A173" s="46" t="n">
        <v>169</v>
      </c>
      <c r="B173" s="47">
        <f>IFERROR(IF(C173&lt;=0.01,"",EDATE(B172,1)),"")</f>
        <v/>
      </c>
      <c r="C173" s="48">
        <f>IF(G172&lt;=0.01,0,G172)</f>
        <v/>
      </c>
      <c r="D173" s="48">
        <f>IF(C173&lt;=0.01,0,F173+E173)</f>
        <v/>
      </c>
      <c r="E173" s="49">
        <f>IF(C173&lt;=0.01,0,ROUND(C173*Calculadora!$C$7/12,2))</f>
        <v/>
      </c>
      <c r="F173" s="48">
        <f>IF(C173&lt;=0.01,0,ROUND(Calculadora!$C$6/Calculadora!$C$8,2))</f>
        <v/>
      </c>
      <c r="G173" s="48">
        <f>IF(C173&lt;=0.01,0,MAX(ROUND(C173-F173,2),0))</f>
        <v/>
      </c>
      <c r="H173" s="50">
        <f>IFERROR(IF(Calculadora!$C$6&gt;0,1-(G173/Calculadora!$C$6),0),0)</f>
        <v/>
      </c>
    </row>
    <row r="174" ht="18" customHeight="1">
      <c r="A174" s="46" t="n">
        <v>170</v>
      </c>
      <c r="B174" s="47">
        <f>IFERROR(IF(C174&lt;=0.01,"",EDATE(B173,1)),"")</f>
        <v/>
      </c>
      <c r="C174" s="48">
        <f>IF(G173&lt;=0.01,0,G173)</f>
        <v/>
      </c>
      <c r="D174" s="48">
        <f>IF(C174&lt;=0.01,0,F174+E174)</f>
        <v/>
      </c>
      <c r="E174" s="49">
        <f>IF(C174&lt;=0.01,0,ROUND(C174*Calculadora!$C$7/12,2))</f>
        <v/>
      </c>
      <c r="F174" s="48">
        <f>IF(C174&lt;=0.01,0,ROUND(Calculadora!$C$6/Calculadora!$C$8,2))</f>
        <v/>
      </c>
      <c r="G174" s="48">
        <f>IF(C174&lt;=0.01,0,MAX(ROUND(C174-F174,2),0))</f>
        <v/>
      </c>
      <c r="H174" s="50">
        <f>IFERROR(IF(Calculadora!$C$6&gt;0,1-(G174/Calculadora!$C$6),0),0)</f>
        <v/>
      </c>
    </row>
    <row r="175" ht="18" customHeight="1">
      <c r="A175" s="46" t="n">
        <v>171</v>
      </c>
      <c r="B175" s="47">
        <f>IFERROR(IF(C175&lt;=0.01,"",EDATE(B174,1)),"")</f>
        <v/>
      </c>
      <c r="C175" s="48">
        <f>IF(G174&lt;=0.01,0,G174)</f>
        <v/>
      </c>
      <c r="D175" s="48">
        <f>IF(C175&lt;=0.01,0,F175+E175)</f>
        <v/>
      </c>
      <c r="E175" s="49">
        <f>IF(C175&lt;=0.01,0,ROUND(C175*Calculadora!$C$7/12,2))</f>
        <v/>
      </c>
      <c r="F175" s="48">
        <f>IF(C175&lt;=0.01,0,ROUND(Calculadora!$C$6/Calculadora!$C$8,2))</f>
        <v/>
      </c>
      <c r="G175" s="48">
        <f>IF(C175&lt;=0.01,0,MAX(ROUND(C175-F175,2),0))</f>
        <v/>
      </c>
      <c r="H175" s="50">
        <f>IFERROR(IF(Calculadora!$C$6&gt;0,1-(G175/Calculadora!$C$6),0),0)</f>
        <v/>
      </c>
    </row>
    <row r="176" ht="18" customHeight="1">
      <c r="A176" s="46" t="n">
        <v>172</v>
      </c>
      <c r="B176" s="47">
        <f>IFERROR(IF(C176&lt;=0.01,"",EDATE(B175,1)),"")</f>
        <v/>
      </c>
      <c r="C176" s="48">
        <f>IF(G175&lt;=0.01,0,G175)</f>
        <v/>
      </c>
      <c r="D176" s="48">
        <f>IF(C176&lt;=0.01,0,F176+E176)</f>
        <v/>
      </c>
      <c r="E176" s="49">
        <f>IF(C176&lt;=0.01,0,ROUND(C176*Calculadora!$C$7/12,2))</f>
        <v/>
      </c>
      <c r="F176" s="48">
        <f>IF(C176&lt;=0.01,0,ROUND(Calculadora!$C$6/Calculadora!$C$8,2))</f>
        <v/>
      </c>
      <c r="G176" s="48">
        <f>IF(C176&lt;=0.01,0,MAX(ROUND(C176-F176,2),0))</f>
        <v/>
      </c>
      <c r="H176" s="50">
        <f>IFERROR(IF(Calculadora!$C$6&gt;0,1-(G176/Calculadora!$C$6),0),0)</f>
        <v/>
      </c>
    </row>
    <row r="177" ht="18" customHeight="1">
      <c r="A177" s="46" t="n">
        <v>173</v>
      </c>
      <c r="B177" s="47">
        <f>IFERROR(IF(C177&lt;=0.01,"",EDATE(B176,1)),"")</f>
        <v/>
      </c>
      <c r="C177" s="48">
        <f>IF(G176&lt;=0.01,0,G176)</f>
        <v/>
      </c>
      <c r="D177" s="48">
        <f>IF(C177&lt;=0.01,0,F177+E177)</f>
        <v/>
      </c>
      <c r="E177" s="49">
        <f>IF(C177&lt;=0.01,0,ROUND(C177*Calculadora!$C$7/12,2))</f>
        <v/>
      </c>
      <c r="F177" s="48">
        <f>IF(C177&lt;=0.01,0,ROUND(Calculadora!$C$6/Calculadora!$C$8,2))</f>
        <v/>
      </c>
      <c r="G177" s="48">
        <f>IF(C177&lt;=0.01,0,MAX(ROUND(C177-F177,2),0))</f>
        <v/>
      </c>
      <c r="H177" s="50">
        <f>IFERROR(IF(Calculadora!$C$6&gt;0,1-(G177/Calculadora!$C$6),0),0)</f>
        <v/>
      </c>
    </row>
    <row r="178" ht="18" customHeight="1">
      <c r="A178" s="46" t="n">
        <v>174</v>
      </c>
      <c r="B178" s="47">
        <f>IFERROR(IF(C178&lt;=0.01,"",EDATE(B177,1)),"")</f>
        <v/>
      </c>
      <c r="C178" s="48">
        <f>IF(G177&lt;=0.01,0,G177)</f>
        <v/>
      </c>
      <c r="D178" s="48">
        <f>IF(C178&lt;=0.01,0,F178+E178)</f>
        <v/>
      </c>
      <c r="E178" s="49">
        <f>IF(C178&lt;=0.01,0,ROUND(C178*Calculadora!$C$7/12,2))</f>
        <v/>
      </c>
      <c r="F178" s="48">
        <f>IF(C178&lt;=0.01,0,ROUND(Calculadora!$C$6/Calculadora!$C$8,2))</f>
        <v/>
      </c>
      <c r="G178" s="48">
        <f>IF(C178&lt;=0.01,0,MAX(ROUND(C178-F178,2),0))</f>
        <v/>
      </c>
      <c r="H178" s="50">
        <f>IFERROR(IF(Calculadora!$C$6&gt;0,1-(G178/Calculadora!$C$6),0),0)</f>
        <v/>
      </c>
    </row>
    <row r="179" ht="18" customHeight="1">
      <c r="A179" s="46" t="n">
        <v>175</v>
      </c>
      <c r="B179" s="47">
        <f>IFERROR(IF(C179&lt;=0.01,"",EDATE(B178,1)),"")</f>
        <v/>
      </c>
      <c r="C179" s="48">
        <f>IF(G178&lt;=0.01,0,G178)</f>
        <v/>
      </c>
      <c r="D179" s="48">
        <f>IF(C179&lt;=0.01,0,F179+E179)</f>
        <v/>
      </c>
      <c r="E179" s="49">
        <f>IF(C179&lt;=0.01,0,ROUND(C179*Calculadora!$C$7/12,2))</f>
        <v/>
      </c>
      <c r="F179" s="48">
        <f>IF(C179&lt;=0.01,0,ROUND(Calculadora!$C$6/Calculadora!$C$8,2))</f>
        <v/>
      </c>
      <c r="G179" s="48">
        <f>IF(C179&lt;=0.01,0,MAX(ROUND(C179-F179,2),0))</f>
        <v/>
      </c>
      <c r="H179" s="50">
        <f>IFERROR(IF(Calculadora!$C$6&gt;0,1-(G179/Calculadora!$C$6),0),0)</f>
        <v/>
      </c>
    </row>
    <row r="180" ht="18" customHeight="1">
      <c r="A180" s="46" t="n">
        <v>176</v>
      </c>
      <c r="B180" s="47">
        <f>IFERROR(IF(C180&lt;=0.01,"",EDATE(B179,1)),"")</f>
        <v/>
      </c>
      <c r="C180" s="48">
        <f>IF(G179&lt;=0.01,0,G179)</f>
        <v/>
      </c>
      <c r="D180" s="48">
        <f>IF(C180&lt;=0.01,0,F180+E180)</f>
        <v/>
      </c>
      <c r="E180" s="49">
        <f>IF(C180&lt;=0.01,0,ROUND(C180*Calculadora!$C$7/12,2))</f>
        <v/>
      </c>
      <c r="F180" s="48">
        <f>IF(C180&lt;=0.01,0,ROUND(Calculadora!$C$6/Calculadora!$C$8,2))</f>
        <v/>
      </c>
      <c r="G180" s="48">
        <f>IF(C180&lt;=0.01,0,MAX(ROUND(C180-F180,2),0))</f>
        <v/>
      </c>
      <c r="H180" s="50">
        <f>IFERROR(IF(Calculadora!$C$6&gt;0,1-(G180/Calculadora!$C$6),0),0)</f>
        <v/>
      </c>
    </row>
    <row r="181" ht="18" customHeight="1">
      <c r="A181" s="46" t="n">
        <v>177</v>
      </c>
      <c r="B181" s="47">
        <f>IFERROR(IF(C181&lt;=0.01,"",EDATE(B180,1)),"")</f>
        <v/>
      </c>
      <c r="C181" s="48">
        <f>IF(G180&lt;=0.01,0,G180)</f>
        <v/>
      </c>
      <c r="D181" s="48">
        <f>IF(C181&lt;=0.01,0,F181+E181)</f>
        <v/>
      </c>
      <c r="E181" s="49">
        <f>IF(C181&lt;=0.01,0,ROUND(C181*Calculadora!$C$7/12,2))</f>
        <v/>
      </c>
      <c r="F181" s="48">
        <f>IF(C181&lt;=0.01,0,ROUND(Calculadora!$C$6/Calculadora!$C$8,2))</f>
        <v/>
      </c>
      <c r="G181" s="48">
        <f>IF(C181&lt;=0.01,0,MAX(ROUND(C181-F181,2),0))</f>
        <v/>
      </c>
      <c r="H181" s="50">
        <f>IFERROR(IF(Calculadora!$C$6&gt;0,1-(G181/Calculadora!$C$6),0),0)</f>
        <v/>
      </c>
    </row>
    <row r="182" ht="18" customHeight="1">
      <c r="A182" s="46" t="n">
        <v>178</v>
      </c>
      <c r="B182" s="47">
        <f>IFERROR(IF(C182&lt;=0.01,"",EDATE(B181,1)),"")</f>
        <v/>
      </c>
      <c r="C182" s="48">
        <f>IF(G181&lt;=0.01,0,G181)</f>
        <v/>
      </c>
      <c r="D182" s="48">
        <f>IF(C182&lt;=0.01,0,F182+E182)</f>
        <v/>
      </c>
      <c r="E182" s="49">
        <f>IF(C182&lt;=0.01,0,ROUND(C182*Calculadora!$C$7/12,2))</f>
        <v/>
      </c>
      <c r="F182" s="48">
        <f>IF(C182&lt;=0.01,0,ROUND(Calculadora!$C$6/Calculadora!$C$8,2))</f>
        <v/>
      </c>
      <c r="G182" s="48">
        <f>IF(C182&lt;=0.01,0,MAX(ROUND(C182-F182,2),0))</f>
        <v/>
      </c>
      <c r="H182" s="50">
        <f>IFERROR(IF(Calculadora!$C$6&gt;0,1-(G182/Calculadora!$C$6),0),0)</f>
        <v/>
      </c>
    </row>
    <row r="183" ht="18" customHeight="1">
      <c r="A183" s="46" t="n">
        <v>179</v>
      </c>
      <c r="B183" s="47">
        <f>IFERROR(IF(C183&lt;=0.01,"",EDATE(B182,1)),"")</f>
        <v/>
      </c>
      <c r="C183" s="48">
        <f>IF(G182&lt;=0.01,0,G182)</f>
        <v/>
      </c>
      <c r="D183" s="48">
        <f>IF(C183&lt;=0.01,0,F183+E183)</f>
        <v/>
      </c>
      <c r="E183" s="49">
        <f>IF(C183&lt;=0.01,0,ROUND(C183*Calculadora!$C$7/12,2))</f>
        <v/>
      </c>
      <c r="F183" s="48">
        <f>IF(C183&lt;=0.01,0,ROUND(Calculadora!$C$6/Calculadora!$C$8,2))</f>
        <v/>
      </c>
      <c r="G183" s="48">
        <f>IF(C183&lt;=0.01,0,MAX(ROUND(C183-F183,2),0))</f>
        <v/>
      </c>
      <c r="H183" s="50">
        <f>IFERROR(IF(Calculadora!$C$6&gt;0,1-(G183/Calculadora!$C$6),0),0)</f>
        <v/>
      </c>
    </row>
    <row r="184" ht="18" customHeight="1">
      <c r="A184" s="46" t="n">
        <v>180</v>
      </c>
      <c r="B184" s="47">
        <f>IFERROR(IF(C184&lt;=0.01,"",EDATE(B183,1)),"")</f>
        <v/>
      </c>
      <c r="C184" s="48">
        <f>IF(G183&lt;=0.01,0,G183)</f>
        <v/>
      </c>
      <c r="D184" s="48">
        <f>IF(C184&lt;=0.01,0,F184+E184)</f>
        <v/>
      </c>
      <c r="E184" s="49">
        <f>IF(C184&lt;=0.01,0,ROUND(C184*Calculadora!$C$7/12,2))</f>
        <v/>
      </c>
      <c r="F184" s="48">
        <f>IF(C184&lt;=0.01,0,ROUND(Calculadora!$C$6/Calculadora!$C$8,2))</f>
        <v/>
      </c>
      <c r="G184" s="48">
        <f>IF(C184&lt;=0.01,0,MAX(ROUND(C184-F184,2),0))</f>
        <v/>
      </c>
      <c r="H184" s="50">
        <f>IFERROR(IF(Calculadora!$C$6&gt;0,1-(G184/Calculadora!$C$6),0),0)</f>
        <v/>
      </c>
    </row>
    <row r="185" ht="18" customHeight="1">
      <c r="A185" s="46" t="n">
        <v>181</v>
      </c>
      <c r="B185" s="47">
        <f>IFERROR(IF(C185&lt;=0.01,"",EDATE(B184,1)),"")</f>
        <v/>
      </c>
      <c r="C185" s="48">
        <f>IF(G184&lt;=0.01,0,G184)</f>
        <v/>
      </c>
      <c r="D185" s="48">
        <f>IF(C185&lt;=0.01,0,F185+E185)</f>
        <v/>
      </c>
      <c r="E185" s="49">
        <f>IF(C185&lt;=0.01,0,ROUND(C185*Calculadora!$C$7/12,2))</f>
        <v/>
      </c>
      <c r="F185" s="48">
        <f>IF(C185&lt;=0.01,0,ROUND(Calculadora!$C$6/Calculadora!$C$8,2))</f>
        <v/>
      </c>
      <c r="G185" s="48">
        <f>IF(C185&lt;=0.01,0,MAX(ROUND(C185-F185,2),0))</f>
        <v/>
      </c>
      <c r="H185" s="50">
        <f>IFERROR(IF(Calculadora!$C$6&gt;0,1-(G185/Calculadora!$C$6),0),0)</f>
        <v/>
      </c>
    </row>
    <row r="186" ht="18" customHeight="1">
      <c r="A186" s="46" t="n">
        <v>182</v>
      </c>
      <c r="B186" s="47">
        <f>IFERROR(IF(C186&lt;=0.01,"",EDATE(B185,1)),"")</f>
        <v/>
      </c>
      <c r="C186" s="48">
        <f>IF(G185&lt;=0.01,0,G185)</f>
        <v/>
      </c>
      <c r="D186" s="48">
        <f>IF(C186&lt;=0.01,0,F186+E186)</f>
        <v/>
      </c>
      <c r="E186" s="49">
        <f>IF(C186&lt;=0.01,0,ROUND(C186*Calculadora!$C$7/12,2))</f>
        <v/>
      </c>
      <c r="F186" s="48">
        <f>IF(C186&lt;=0.01,0,ROUND(Calculadora!$C$6/Calculadora!$C$8,2))</f>
        <v/>
      </c>
      <c r="G186" s="48">
        <f>IF(C186&lt;=0.01,0,MAX(ROUND(C186-F186,2),0))</f>
        <v/>
      </c>
      <c r="H186" s="50">
        <f>IFERROR(IF(Calculadora!$C$6&gt;0,1-(G186/Calculadora!$C$6),0),0)</f>
        <v/>
      </c>
    </row>
    <row r="187" ht="18" customHeight="1">
      <c r="A187" s="46" t="n">
        <v>183</v>
      </c>
      <c r="B187" s="47">
        <f>IFERROR(IF(C187&lt;=0.01,"",EDATE(B186,1)),"")</f>
        <v/>
      </c>
      <c r="C187" s="48">
        <f>IF(G186&lt;=0.01,0,G186)</f>
        <v/>
      </c>
      <c r="D187" s="48">
        <f>IF(C187&lt;=0.01,0,F187+E187)</f>
        <v/>
      </c>
      <c r="E187" s="49">
        <f>IF(C187&lt;=0.01,0,ROUND(C187*Calculadora!$C$7/12,2))</f>
        <v/>
      </c>
      <c r="F187" s="48">
        <f>IF(C187&lt;=0.01,0,ROUND(Calculadora!$C$6/Calculadora!$C$8,2))</f>
        <v/>
      </c>
      <c r="G187" s="48">
        <f>IF(C187&lt;=0.01,0,MAX(ROUND(C187-F187,2),0))</f>
        <v/>
      </c>
      <c r="H187" s="50">
        <f>IFERROR(IF(Calculadora!$C$6&gt;0,1-(G187/Calculadora!$C$6),0),0)</f>
        <v/>
      </c>
    </row>
    <row r="188" ht="18" customHeight="1">
      <c r="A188" s="46" t="n">
        <v>184</v>
      </c>
      <c r="B188" s="47">
        <f>IFERROR(IF(C188&lt;=0.01,"",EDATE(B187,1)),"")</f>
        <v/>
      </c>
      <c r="C188" s="48">
        <f>IF(G187&lt;=0.01,0,G187)</f>
        <v/>
      </c>
      <c r="D188" s="48">
        <f>IF(C188&lt;=0.01,0,F188+E188)</f>
        <v/>
      </c>
      <c r="E188" s="49">
        <f>IF(C188&lt;=0.01,0,ROUND(C188*Calculadora!$C$7/12,2))</f>
        <v/>
      </c>
      <c r="F188" s="48">
        <f>IF(C188&lt;=0.01,0,ROUND(Calculadora!$C$6/Calculadora!$C$8,2))</f>
        <v/>
      </c>
      <c r="G188" s="48">
        <f>IF(C188&lt;=0.01,0,MAX(ROUND(C188-F188,2),0))</f>
        <v/>
      </c>
      <c r="H188" s="50">
        <f>IFERROR(IF(Calculadora!$C$6&gt;0,1-(G188/Calculadora!$C$6),0),0)</f>
        <v/>
      </c>
    </row>
    <row r="189" ht="18" customHeight="1">
      <c r="A189" s="46" t="n">
        <v>185</v>
      </c>
      <c r="B189" s="47">
        <f>IFERROR(IF(C189&lt;=0.01,"",EDATE(B188,1)),"")</f>
        <v/>
      </c>
      <c r="C189" s="48">
        <f>IF(G188&lt;=0.01,0,G188)</f>
        <v/>
      </c>
      <c r="D189" s="48">
        <f>IF(C189&lt;=0.01,0,F189+E189)</f>
        <v/>
      </c>
      <c r="E189" s="49">
        <f>IF(C189&lt;=0.01,0,ROUND(C189*Calculadora!$C$7/12,2))</f>
        <v/>
      </c>
      <c r="F189" s="48">
        <f>IF(C189&lt;=0.01,0,ROUND(Calculadora!$C$6/Calculadora!$C$8,2))</f>
        <v/>
      </c>
      <c r="G189" s="48">
        <f>IF(C189&lt;=0.01,0,MAX(ROUND(C189-F189,2),0))</f>
        <v/>
      </c>
      <c r="H189" s="50">
        <f>IFERROR(IF(Calculadora!$C$6&gt;0,1-(G189/Calculadora!$C$6),0),0)</f>
        <v/>
      </c>
    </row>
    <row r="190" ht="18" customHeight="1">
      <c r="A190" s="46" t="n">
        <v>186</v>
      </c>
      <c r="B190" s="47">
        <f>IFERROR(IF(C190&lt;=0.01,"",EDATE(B189,1)),"")</f>
        <v/>
      </c>
      <c r="C190" s="48">
        <f>IF(G189&lt;=0.01,0,G189)</f>
        <v/>
      </c>
      <c r="D190" s="48">
        <f>IF(C190&lt;=0.01,0,F190+E190)</f>
        <v/>
      </c>
      <c r="E190" s="49">
        <f>IF(C190&lt;=0.01,0,ROUND(C190*Calculadora!$C$7/12,2))</f>
        <v/>
      </c>
      <c r="F190" s="48">
        <f>IF(C190&lt;=0.01,0,ROUND(Calculadora!$C$6/Calculadora!$C$8,2))</f>
        <v/>
      </c>
      <c r="G190" s="48">
        <f>IF(C190&lt;=0.01,0,MAX(ROUND(C190-F190,2),0))</f>
        <v/>
      </c>
      <c r="H190" s="50">
        <f>IFERROR(IF(Calculadora!$C$6&gt;0,1-(G190/Calculadora!$C$6),0),0)</f>
        <v/>
      </c>
    </row>
    <row r="191" ht="18" customHeight="1">
      <c r="A191" s="46" t="n">
        <v>187</v>
      </c>
      <c r="B191" s="47">
        <f>IFERROR(IF(C191&lt;=0.01,"",EDATE(B190,1)),"")</f>
        <v/>
      </c>
      <c r="C191" s="48">
        <f>IF(G190&lt;=0.01,0,G190)</f>
        <v/>
      </c>
      <c r="D191" s="48">
        <f>IF(C191&lt;=0.01,0,F191+E191)</f>
        <v/>
      </c>
      <c r="E191" s="49">
        <f>IF(C191&lt;=0.01,0,ROUND(C191*Calculadora!$C$7/12,2))</f>
        <v/>
      </c>
      <c r="F191" s="48">
        <f>IF(C191&lt;=0.01,0,ROUND(Calculadora!$C$6/Calculadora!$C$8,2))</f>
        <v/>
      </c>
      <c r="G191" s="48">
        <f>IF(C191&lt;=0.01,0,MAX(ROUND(C191-F191,2),0))</f>
        <v/>
      </c>
      <c r="H191" s="50">
        <f>IFERROR(IF(Calculadora!$C$6&gt;0,1-(G191/Calculadora!$C$6),0),0)</f>
        <v/>
      </c>
    </row>
    <row r="192" ht="18" customHeight="1">
      <c r="A192" s="46" t="n">
        <v>188</v>
      </c>
      <c r="B192" s="47">
        <f>IFERROR(IF(C192&lt;=0.01,"",EDATE(B191,1)),"")</f>
        <v/>
      </c>
      <c r="C192" s="48">
        <f>IF(G191&lt;=0.01,0,G191)</f>
        <v/>
      </c>
      <c r="D192" s="48">
        <f>IF(C192&lt;=0.01,0,F192+E192)</f>
        <v/>
      </c>
      <c r="E192" s="49">
        <f>IF(C192&lt;=0.01,0,ROUND(C192*Calculadora!$C$7/12,2))</f>
        <v/>
      </c>
      <c r="F192" s="48">
        <f>IF(C192&lt;=0.01,0,ROUND(Calculadora!$C$6/Calculadora!$C$8,2))</f>
        <v/>
      </c>
      <c r="G192" s="48">
        <f>IF(C192&lt;=0.01,0,MAX(ROUND(C192-F192,2),0))</f>
        <v/>
      </c>
      <c r="H192" s="50">
        <f>IFERROR(IF(Calculadora!$C$6&gt;0,1-(G192/Calculadora!$C$6),0),0)</f>
        <v/>
      </c>
    </row>
    <row r="193" ht="18" customHeight="1">
      <c r="A193" s="46" t="n">
        <v>189</v>
      </c>
      <c r="B193" s="47">
        <f>IFERROR(IF(C193&lt;=0.01,"",EDATE(B192,1)),"")</f>
        <v/>
      </c>
      <c r="C193" s="48">
        <f>IF(G192&lt;=0.01,0,G192)</f>
        <v/>
      </c>
      <c r="D193" s="48">
        <f>IF(C193&lt;=0.01,0,F193+E193)</f>
        <v/>
      </c>
      <c r="E193" s="49">
        <f>IF(C193&lt;=0.01,0,ROUND(C193*Calculadora!$C$7/12,2))</f>
        <v/>
      </c>
      <c r="F193" s="48">
        <f>IF(C193&lt;=0.01,0,ROUND(Calculadora!$C$6/Calculadora!$C$8,2))</f>
        <v/>
      </c>
      <c r="G193" s="48">
        <f>IF(C193&lt;=0.01,0,MAX(ROUND(C193-F193,2),0))</f>
        <v/>
      </c>
      <c r="H193" s="50">
        <f>IFERROR(IF(Calculadora!$C$6&gt;0,1-(G193/Calculadora!$C$6),0),0)</f>
        <v/>
      </c>
    </row>
    <row r="194" ht="18" customHeight="1">
      <c r="A194" s="46" t="n">
        <v>190</v>
      </c>
      <c r="B194" s="47">
        <f>IFERROR(IF(C194&lt;=0.01,"",EDATE(B193,1)),"")</f>
        <v/>
      </c>
      <c r="C194" s="48">
        <f>IF(G193&lt;=0.01,0,G193)</f>
        <v/>
      </c>
      <c r="D194" s="48">
        <f>IF(C194&lt;=0.01,0,F194+E194)</f>
        <v/>
      </c>
      <c r="E194" s="49">
        <f>IF(C194&lt;=0.01,0,ROUND(C194*Calculadora!$C$7/12,2))</f>
        <v/>
      </c>
      <c r="F194" s="48">
        <f>IF(C194&lt;=0.01,0,ROUND(Calculadora!$C$6/Calculadora!$C$8,2))</f>
        <v/>
      </c>
      <c r="G194" s="48">
        <f>IF(C194&lt;=0.01,0,MAX(ROUND(C194-F194,2),0))</f>
        <v/>
      </c>
      <c r="H194" s="50">
        <f>IFERROR(IF(Calculadora!$C$6&gt;0,1-(G194/Calculadora!$C$6),0),0)</f>
        <v/>
      </c>
    </row>
    <row r="195" ht="18" customHeight="1">
      <c r="A195" s="46" t="n">
        <v>191</v>
      </c>
      <c r="B195" s="47">
        <f>IFERROR(IF(C195&lt;=0.01,"",EDATE(B194,1)),"")</f>
        <v/>
      </c>
      <c r="C195" s="48">
        <f>IF(G194&lt;=0.01,0,G194)</f>
        <v/>
      </c>
      <c r="D195" s="48">
        <f>IF(C195&lt;=0.01,0,F195+E195)</f>
        <v/>
      </c>
      <c r="E195" s="49">
        <f>IF(C195&lt;=0.01,0,ROUND(C195*Calculadora!$C$7/12,2))</f>
        <v/>
      </c>
      <c r="F195" s="48">
        <f>IF(C195&lt;=0.01,0,ROUND(Calculadora!$C$6/Calculadora!$C$8,2))</f>
        <v/>
      </c>
      <c r="G195" s="48">
        <f>IF(C195&lt;=0.01,0,MAX(ROUND(C195-F195,2),0))</f>
        <v/>
      </c>
      <c r="H195" s="50">
        <f>IFERROR(IF(Calculadora!$C$6&gt;0,1-(G195/Calculadora!$C$6),0),0)</f>
        <v/>
      </c>
    </row>
    <row r="196" ht="18" customHeight="1">
      <c r="A196" s="46" t="n">
        <v>192</v>
      </c>
      <c r="B196" s="47">
        <f>IFERROR(IF(C196&lt;=0.01,"",EDATE(B195,1)),"")</f>
        <v/>
      </c>
      <c r="C196" s="48">
        <f>IF(G195&lt;=0.01,0,G195)</f>
        <v/>
      </c>
      <c r="D196" s="48">
        <f>IF(C196&lt;=0.01,0,F196+E196)</f>
        <v/>
      </c>
      <c r="E196" s="49">
        <f>IF(C196&lt;=0.01,0,ROUND(C196*Calculadora!$C$7/12,2))</f>
        <v/>
      </c>
      <c r="F196" s="48">
        <f>IF(C196&lt;=0.01,0,ROUND(Calculadora!$C$6/Calculadora!$C$8,2))</f>
        <v/>
      </c>
      <c r="G196" s="48">
        <f>IF(C196&lt;=0.01,0,MAX(ROUND(C196-F196,2),0))</f>
        <v/>
      </c>
      <c r="H196" s="50">
        <f>IFERROR(IF(Calculadora!$C$6&gt;0,1-(G196/Calculadora!$C$6),0),0)</f>
        <v/>
      </c>
    </row>
    <row r="197" ht="18" customHeight="1">
      <c r="A197" s="46" t="n">
        <v>193</v>
      </c>
      <c r="B197" s="47">
        <f>IFERROR(IF(C197&lt;=0.01,"",EDATE(B196,1)),"")</f>
        <v/>
      </c>
      <c r="C197" s="48">
        <f>IF(G196&lt;=0.01,0,G196)</f>
        <v/>
      </c>
      <c r="D197" s="48">
        <f>IF(C197&lt;=0.01,0,F197+E197)</f>
        <v/>
      </c>
      <c r="E197" s="49">
        <f>IF(C197&lt;=0.01,0,ROUND(C197*Calculadora!$C$7/12,2))</f>
        <v/>
      </c>
      <c r="F197" s="48">
        <f>IF(C197&lt;=0.01,0,ROUND(Calculadora!$C$6/Calculadora!$C$8,2))</f>
        <v/>
      </c>
      <c r="G197" s="48">
        <f>IF(C197&lt;=0.01,0,MAX(ROUND(C197-F197,2),0))</f>
        <v/>
      </c>
      <c r="H197" s="50">
        <f>IFERROR(IF(Calculadora!$C$6&gt;0,1-(G197/Calculadora!$C$6),0),0)</f>
        <v/>
      </c>
    </row>
    <row r="198" ht="18" customHeight="1">
      <c r="A198" s="46" t="n">
        <v>194</v>
      </c>
      <c r="B198" s="47">
        <f>IFERROR(IF(C198&lt;=0.01,"",EDATE(B197,1)),"")</f>
        <v/>
      </c>
      <c r="C198" s="48">
        <f>IF(G197&lt;=0.01,0,G197)</f>
        <v/>
      </c>
      <c r="D198" s="48">
        <f>IF(C198&lt;=0.01,0,F198+E198)</f>
        <v/>
      </c>
      <c r="E198" s="49">
        <f>IF(C198&lt;=0.01,0,ROUND(C198*Calculadora!$C$7/12,2))</f>
        <v/>
      </c>
      <c r="F198" s="48">
        <f>IF(C198&lt;=0.01,0,ROUND(Calculadora!$C$6/Calculadora!$C$8,2))</f>
        <v/>
      </c>
      <c r="G198" s="48">
        <f>IF(C198&lt;=0.01,0,MAX(ROUND(C198-F198,2),0))</f>
        <v/>
      </c>
      <c r="H198" s="50">
        <f>IFERROR(IF(Calculadora!$C$6&gt;0,1-(G198/Calculadora!$C$6),0),0)</f>
        <v/>
      </c>
    </row>
    <row r="199" ht="18" customHeight="1">
      <c r="A199" s="46" t="n">
        <v>195</v>
      </c>
      <c r="B199" s="47">
        <f>IFERROR(IF(C199&lt;=0.01,"",EDATE(B198,1)),"")</f>
        <v/>
      </c>
      <c r="C199" s="48">
        <f>IF(G198&lt;=0.01,0,G198)</f>
        <v/>
      </c>
      <c r="D199" s="48">
        <f>IF(C199&lt;=0.01,0,F199+E199)</f>
        <v/>
      </c>
      <c r="E199" s="49">
        <f>IF(C199&lt;=0.01,0,ROUND(C199*Calculadora!$C$7/12,2))</f>
        <v/>
      </c>
      <c r="F199" s="48">
        <f>IF(C199&lt;=0.01,0,ROUND(Calculadora!$C$6/Calculadora!$C$8,2))</f>
        <v/>
      </c>
      <c r="G199" s="48">
        <f>IF(C199&lt;=0.01,0,MAX(ROUND(C199-F199,2),0))</f>
        <v/>
      </c>
      <c r="H199" s="50">
        <f>IFERROR(IF(Calculadora!$C$6&gt;0,1-(G199/Calculadora!$C$6),0),0)</f>
        <v/>
      </c>
    </row>
    <row r="200" ht="18" customHeight="1">
      <c r="A200" s="46" t="n">
        <v>196</v>
      </c>
      <c r="B200" s="47">
        <f>IFERROR(IF(C200&lt;=0.01,"",EDATE(B199,1)),"")</f>
        <v/>
      </c>
      <c r="C200" s="48">
        <f>IF(G199&lt;=0.01,0,G199)</f>
        <v/>
      </c>
      <c r="D200" s="48">
        <f>IF(C200&lt;=0.01,0,F200+E200)</f>
        <v/>
      </c>
      <c r="E200" s="49">
        <f>IF(C200&lt;=0.01,0,ROUND(C200*Calculadora!$C$7/12,2))</f>
        <v/>
      </c>
      <c r="F200" s="48">
        <f>IF(C200&lt;=0.01,0,ROUND(Calculadora!$C$6/Calculadora!$C$8,2))</f>
        <v/>
      </c>
      <c r="G200" s="48">
        <f>IF(C200&lt;=0.01,0,MAX(ROUND(C200-F200,2),0))</f>
        <v/>
      </c>
      <c r="H200" s="50">
        <f>IFERROR(IF(Calculadora!$C$6&gt;0,1-(G200/Calculadora!$C$6),0),0)</f>
        <v/>
      </c>
    </row>
    <row r="201" ht="18" customHeight="1">
      <c r="A201" s="46" t="n">
        <v>197</v>
      </c>
      <c r="B201" s="47">
        <f>IFERROR(IF(C201&lt;=0.01,"",EDATE(B200,1)),"")</f>
        <v/>
      </c>
      <c r="C201" s="48">
        <f>IF(G200&lt;=0.01,0,G200)</f>
        <v/>
      </c>
      <c r="D201" s="48">
        <f>IF(C201&lt;=0.01,0,F201+E201)</f>
        <v/>
      </c>
      <c r="E201" s="49">
        <f>IF(C201&lt;=0.01,0,ROUND(C201*Calculadora!$C$7/12,2))</f>
        <v/>
      </c>
      <c r="F201" s="48">
        <f>IF(C201&lt;=0.01,0,ROUND(Calculadora!$C$6/Calculadora!$C$8,2))</f>
        <v/>
      </c>
      <c r="G201" s="48">
        <f>IF(C201&lt;=0.01,0,MAX(ROUND(C201-F201,2),0))</f>
        <v/>
      </c>
      <c r="H201" s="50">
        <f>IFERROR(IF(Calculadora!$C$6&gt;0,1-(G201/Calculadora!$C$6),0),0)</f>
        <v/>
      </c>
    </row>
    <row r="202" ht="18" customHeight="1">
      <c r="A202" s="46" t="n">
        <v>198</v>
      </c>
      <c r="B202" s="47">
        <f>IFERROR(IF(C202&lt;=0.01,"",EDATE(B201,1)),"")</f>
        <v/>
      </c>
      <c r="C202" s="48">
        <f>IF(G201&lt;=0.01,0,G201)</f>
        <v/>
      </c>
      <c r="D202" s="48">
        <f>IF(C202&lt;=0.01,0,F202+E202)</f>
        <v/>
      </c>
      <c r="E202" s="49">
        <f>IF(C202&lt;=0.01,0,ROUND(C202*Calculadora!$C$7/12,2))</f>
        <v/>
      </c>
      <c r="F202" s="48">
        <f>IF(C202&lt;=0.01,0,ROUND(Calculadora!$C$6/Calculadora!$C$8,2))</f>
        <v/>
      </c>
      <c r="G202" s="48">
        <f>IF(C202&lt;=0.01,0,MAX(ROUND(C202-F202,2),0))</f>
        <v/>
      </c>
      <c r="H202" s="50">
        <f>IFERROR(IF(Calculadora!$C$6&gt;0,1-(G202/Calculadora!$C$6),0),0)</f>
        <v/>
      </c>
    </row>
    <row r="203" ht="18" customHeight="1">
      <c r="A203" s="46" t="n">
        <v>199</v>
      </c>
      <c r="B203" s="47">
        <f>IFERROR(IF(C203&lt;=0.01,"",EDATE(B202,1)),"")</f>
        <v/>
      </c>
      <c r="C203" s="48">
        <f>IF(G202&lt;=0.01,0,G202)</f>
        <v/>
      </c>
      <c r="D203" s="48">
        <f>IF(C203&lt;=0.01,0,F203+E203)</f>
        <v/>
      </c>
      <c r="E203" s="49">
        <f>IF(C203&lt;=0.01,0,ROUND(C203*Calculadora!$C$7/12,2))</f>
        <v/>
      </c>
      <c r="F203" s="48">
        <f>IF(C203&lt;=0.01,0,ROUND(Calculadora!$C$6/Calculadora!$C$8,2))</f>
        <v/>
      </c>
      <c r="G203" s="48">
        <f>IF(C203&lt;=0.01,0,MAX(ROUND(C203-F203,2),0))</f>
        <v/>
      </c>
      <c r="H203" s="50">
        <f>IFERROR(IF(Calculadora!$C$6&gt;0,1-(G203/Calculadora!$C$6),0),0)</f>
        <v/>
      </c>
    </row>
    <row r="204" ht="18" customHeight="1">
      <c r="A204" s="46" t="n">
        <v>200</v>
      </c>
      <c r="B204" s="47">
        <f>IFERROR(IF(C204&lt;=0.01,"",EDATE(B203,1)),"")</f>
        <v/>
      </c>
      <c r="C204" s="48">
        <f>IF(G203&lt;=0.01,0,G203)</f>
        <v/>
      </c>
      <c r="D204" s="48">
        <f>IF(C204&lt;=0.01,0,F204+E204)</f>
        <v/>
      </c>
      <c r="E204" s="49">
        <f>IF(C204&lt;=0.01,0,ROUND(C204*Calculadora!$C$7/12,2))</f>
        <v/>
      </c>
      <c r="F204" s="48">
        <f>IF(C204&lt;=0.01,0,ROUND(Calculadora!$C$6/Calculadora!$C$8,2))</f>
        <v/>
      </c>
      <c r="G204" s="48">
        <f>IF(C204&lt;=0.01,0,MAX(ROUND(C204-F204,2),0))</f>
        <v/>
      </c>
      <c r="H204" s="50">
        <f>IFERROR(IF(Calculadora!$C$6&gt;0,1-(G204/Calculadora!$C$6),0),0)</f>
        <v/>
      </c>
    </row>
    <row r="205" ht="18" customHeight="1">
      <c r="A205" s="46" t="n">
        <v>201</v>
      </c>
      <c r="B205" s="47">
        <f>IFERROR(IF(C205&lt;=0.01,"",EDATE(B204,1)),"")</f>
        <v/>
      </c>
      <c r="C205" s="48">
        <f>IF(G204&lt;=0.01,0,G204)</f>
        <v/>
      </c>
      <c r="D205" s="48">
        <f>IF(C205&lt;=0.01,0,F205+E205)</f>
        <v/>
      </c>
      <c r="E205" s="49">
        <f>IF(C205&lt;=0.01,0,ROUND(C205*Calculadora!$C$7/12,2))</f>
        <v/>
      </c>
      <c r="F205" s="48">
        <f>IF(C205&lt;=0.01,0,ROUND(Calculadora!$C$6/Calculadora!$C$8,2))</f>
        <v/>
      </c>
      <c r="G205" s="48">
        <f>IF(C205&lt;=0.01,0,MAX(ROUND(C205-F205,2),0))</f>
        <v/>
      </c>
      <c r="H205" s="50">
        <f>IFERROR(IF(Calculadora!$C$6&gt;0,1-(G205/Calculadora!$C$6),0),0)</f>
        <v/>
      </c>
    </row>
    <row r="206" ht="18" customHeight="1">
      <c r="A206" s="46" t="n">
        <v>202</v>
      </c>
      <c r="B206" s="47">
        <f>IFERROR(IF(C206&lt;=0.01,"",EDATE(B205,1)),"")</f>
        <v/>
      </c>
      <c r="C206" s="48">
        <f>IF(G205&lt;=0.01,0,G205)</f>
        <v/>
      </c>
      <c r="D206" s="48">
        <f>IF(C206&lt;=0.01,0,F206+E206)</f>
        <v/>
      </c>
      <c r="E206" s="49">
        <f>IF(C206&lt;=0.01,0,ROUND(C206*Calculadora!$C$7/12,2))</f>
        <v/>
      </c>
      <c r="F206" s="48">
        <f>IF(C206&lt;=0.01,0,ROUND(Calculadora!$C$6/Calculadora!$C$8,2))</f>
        <v/>
      </c>
      <c r="G206" s="48">
        <f>IF(C206&lt;=0.01,0,MAX(ROUND(C206-F206,2),0))</f>
        <v/>
      </c>
      <c r="H206" s="50">
        <f>IFERROR(IF(Calculadora!$C$6&gt;0,1-(G206/Calculadora!$C$6),0),0)</f>
        <v/>
      </c>
    </row>
    <row r="207" ht="18" customHeight="1">
      <c r="A207" s="46" t="n">
        <v>203</v>
      </c>
      <c r="B207" s="47">
        <f>IFERROR(IF(C207&lt;=0.01,"",EDATE(B206,1)),"")</f>
        <v/>
      </c>
      <c r="C207" s="48">
        <f>IF(G206&lt;=0.01,0,G206)</f>
        <v/>
      </c>
      <c r="D207" s="48">
        <f>IF(C207&lt;=0.01,0,F207+E207)</f>
        <v/>
      </c>
      <c r="E207" s="49">
        <f>IF(C207&lt;=0.01,0,ROUND(C207*Calculadora!$C$7/12,2))</f>
        <v/>
      </c>
      <c r="F207" s="48">
        <f>IF(C207&lt;=0.01,0,ROUND(Calculadora!$C$6/Calculadora!$C$8,2))</f>
        <v/>
      </c>
      <c r="G207" s="48">
        <f>IF(C207&lt;=0.01,0,MAX(ROUND(C207-F207,2),0))</f>
        <v/>
      </c>
      <c r="H207" s="50">
        <f>IFERROR(IF(Calculadora!$C$6&gt;0,1-(G207/Calculadora!$C$6),0),0)</f>
        <v/>
      </c>
    </row>
    <row r="208" ht="18" customHeight="1">
      <c r="A208" s="46" t="n">
        <v>204</v>
      </c>
      <c r="B208" s="47">
        <f>IFERROR(IF(C208&lt;=0.01,"",EDATE(B207,1)),"")</f>
        <v/>
      </c>
      <c r="C208" s="48">
        <f>IF(G207&lt;=0.01,0,G207)</f>
        <v/>
      </c>
      <c r="D208" s="48">
        <f>IF(C208&lt;=0.01,0,F208+E208)</f>
        <v/>
      </c>
      <c r="E208" s="49">
        <f>IF(C208&lt;=0.01,0,ROUND(C208*Calculadora!$C$7/12,2))</f>
        <v/>
      </c>
      <c r="F208" s="48">
        <f>IF(C208&lt;=0.01,0,ROUND(Calculadora!$C$6/Calculadora!$C$8,2))</f>
        <v/>
      </c>
      <c r="G208" s="48">
        <f>IF(C208&lt;=0.01,0,MAX(ROUND(C208-F208,2),0))</f>
        <v/>
      </c>
      <c r="H208" s="50">
        <f>IFERROR(IF(Calculadora!$C$6&gt;0,1-(G208/Calculadora!$C$6),0),0)</f>
        <v/>
      </c>
    </row>
    <row r="209" ht="18" customHeight="1">
      <c r="A209" s="46" t="n">
        <v>205</v>
      </c>
      <c r="B209" s="47">
        <f>IFERROR(IF(C209&lt;=0.01,"",EDATE(B208,1)),"")</f>
        <v/>
      </c>
      <c r="C209" s="48">
        <f>IF(G208&lt;=0.01,0,G208)</f>
        <v/>
      </c>
      <c r="D209" s="48">
        <f>IF(C209&lt;=0.01,0,F209+E209)</f>
        <v/>
      </c>
      <c r="E209" s="49">
        <f>IF(C209&lt;=0.01,0,ROUND(C209*Calculadora!$C$7/12,2))</f>
        <v/>
      </c>
      <c r="F209" s="48">
        <f>IF(C209&lt;=0.01,0,ROUND(Calculadora!$C$6/Calculadora!$C$8,2))</f>
        <v/>
      </c>
      <c r="G209" s="48">
        <f>IF(C209&lt;=0.01,0,MAX(ROUND(C209-F209,2),0))</f>
        <v/>
      </c>
      <c r="H209" s="50">
        <f>IFERROR(IF(Calculadora!$C$6&gt;0,1-(G209/Calculadora!$C$6),0),0)</f>
        <v/>
      </c>
    </row>
    <row r="210" ht="18" customHeight="1">
      <c r="A210" s="46" t="n">
        <v>206</v>
      </c>
      <c r="B210" s="47">
        <f>IFERROR(IF(C210&lt;=0.01,"",EDATE(B209,1)),"")</f>
        <v/>
      </c>
      <c r="C210" s="48">
        <f>IF(G209&lt;=0.01,0,G209)</f>
        <v/>
      </c>
      <c r="D210" s="48">
        <f>IF(C210&lt;=0.01,0,F210+E210)</f>
        <v/>
      </c>
      <c r="E210" s="49">
        <f>IF(C210&lt;=0.01,0,ROUND(C210*Calculadora!$C$7/12,2))</f>
        <v/>
      </c>
      <c r="F210" s="48">
        <f>IF(C210&lt;=0.01,0,ROUND(Calculadora!$C$6/Calculadora!$C$8,2))</f>
        <v/>
      </c>
      <c r="G210" s="48">
        <f>IF(C210&lt;=0.01,0,MAX(ROUND(C210-F210,2),0))</f>
        <v/>
      </c>
      <c r="H210" s="50">
        <f>IFERROR(IF(Calculadora!$C$6&gt;0,1-(G210/Calculadora!$C$6),0),0)</f>
        <v/>
      </c>
    </row>
    <row r="211" ht="18" customHeight="1">
      <c r="A211" s="46" t="n">
        <v>207</v>
      </c>
      <c r="B211" s="47">
        <f>IFERROR(IF(C211&lt;=0.01,"",EDATE(B210,1)),"")</f>
        <v/>
      </c>
      <c r="C211" s="48">
        <f>IF(G210&lt;=0.01,0,G210)</f>
        <v/>
      </c>
      <c r="D211" s="48">
        <f>IF(C211&lt;=0.01,0,F211+E211)</f>
        <v/>
      </c>
      <c r="E211" s="49">
        <f>IF(C211&lt;=0.01,0,ROUND(C211*Calculadora!$C$7/12,2))</f>
        <v/>
      </c>
      <c r="F211" s="48">
        <f>IF(C211&lt;=0.01,0,ROUND(Calculadora!$C$6/Calculadora!$C$8,2))</f>
        <v/>
      </c>
      <c r="G211" s="48">
        <f>IF(C211&lt;=0.01,0,MAX(ROUND(C211-F211,2),0))</f>
        <v/>
      </c>
      <c r="H211" s="50">
        <f>IFERROR(IF(Calculadora!$C$6&gt;0,1-(G211/Calculadora!$C$6),0),0)</f>
        <v/>
      </c>
    </row>
    <row r="212" ht="18" customHeight="1">
      <c r="A212" s="46" t="n">
        <v>208</v>
      </c>
      <c r="B212" s="47">
        <f>IFERROR(IF(C212&lt;=0.01,"",EDATE(B211,1)),"")</f>
        <v/>
      </c>
      <c r="C212" s="48">
        <f>IF(G211&lt;=0.01,0,G211)</f>
        <v/>
      </c>
      <c r="D212" s="48">
        <f>IF(C212&lt;=0.01,0,F212+E212)</f>
        <v/>
      </c>
      <c r="E212" s="49">
        <f>IF(C212&lt;=0.01,0,ROUND(C212*Calculadora!$C$7/12,2))</f>
        <v/>
      </c>
      <c r="F212" s="48">
        <f>IF(C212&lt;=0.01,0,ROUND(Calculadora!$C$6/Calculadora!$C$8,2))</f>
        <v/>
      </c>
      <c r="G212" s="48">
        <f>IF(C212&lt;=0.01,0,MAX(ROUND(C212-F212,2),0))</f>
        <v/>
      </c>
      <c r="H212" s="50">
        <f>IFERROR(IF(Calculadora!$C$6&gt;0,1-(G212/Calculadora!$C$6),0),0)</f>
        <v/>
      </c>
    </row>
    <row r="213" ht="18" customHeight="1">
      <c r="A213" s="46" t="n">
        <v>209</v>
      </c>
      <c r="B213" s="47">
        <f>IFERROR(IF(C213&lt;=0.01,"",EDATE(B212,1)),"")</f>
        <v/>
      </c>
      <c r="C213" s="48">
        <f>IF(G212&lt;=0.01,0,G212)</f>
        <v/>
      </c>
      <c r="D213" s="48">
        <f>IF(C213&lt;=0.01,0,F213+E213)</f>
        <v/>
      </c>
      <c r="E213" s="49">
        <f>IF(C213&lt;=0.01,0,ROUND(C213*Calculadora!$C$7/12,2))</f>
        <v/>
      </c>
      <c r="F213" s="48">
        <f>IF(C213&lt;=0.01,0,ROUND(Calculadora!$C$6/Calculadora!$C$8,2))</f>
        <v/>
      </c>
      <c r="G213" s="48">
        <f>IF(C213&lt;=0.01,0,MAX(ROUND(C213-F213,2),0))</f>
        <v/>
      </c>
      <c r="H213" s="50">
        <f>IFERROR(IF(Calculadora!$C$6&gt;0,1-(G213/Calculadora!$C$6),0),0)</f>
        <v/>
      </c>
    </row>
    <row r="214" ht="18" customHeight="1">
      <c r="A214" s="46" t="n">
        <v>210</v>
      </c>
      <c r="B214" s="47">
        <f>IFERROR(IF(C214&lt;=0.01,"",EDATE(B213,1)),"")</f>
        <v/>
      </c>
      <c r="C214" s="48">
        <f>IF(G213&lt;=0.01,0,G213)</f>
        <v/>
      </c>
      <c r="D214" s="48">
        <f>IF(C214&lt;=0.01,0,F214+E214)</f>
        <v/>
      </c>
      <c r="E214" s="49">
        <f>IF(C214&lt;=0.01,0,ROUND(C214*Calculadora!$C$7/12,2))</f>
        <v/>
      </c>
      <c r="F214" s="48">
        <f>IF(C214&lt;=0.01,0,ROUND(Calculadora!$C$6/Calculadora!$C$8,2))</f>
        <v/>
      </c>
      <c r="G214" s="48">
        <f>IF(C214&lt;=0.01,0,MAX(ROUND(C214-F214,2),0))</f>
        <v/>
      </c>
      <c r="H214" s="50">
        <f>IFERROR(IF(Calculadora!$C$6&gt;0,1-(G214/Calculadora!$C$6),0),0)</f>
        <v/>
      </c>
    </row>
    <row r="215" ht="18" customHeight="1">
      <c r="A215" s="46" t="n">
        <v>211</v>
      </c>
      <c r="B215" s="47">
        <f>IFERROR(IF(C215&lt;=0.01,"",EDATE(B214,1)),"")</f>
        <v/>
      </c>
      <c r="C215" s="48">
        <f>IF(G214&lt;=0.01,0,G214)</f>
        <v/>
      </c>
      <c r="D215" s="48">
        <f>IF(C215&lt;=0.01,0,F215+E215)</f>
        <v/>
      </c>
      <c r="E215" s="49">
        <f>IF(C215&lt;=0.01,0,ROUND(C215*Calculadora!$C$7/12,2))</f>
        <v/>
      </c>
      <c r="F215" s="48">
        <f>IF(C215&lt;=0.01,0,ROUND(Calculadora!$C$6/Calculadora!$C$8,2))</f>
        <v/>
      </c>
      <c r="G215" s="48">
        <f>IF(C215&lt;=0.01,0,MAX(ROUND(C215-F215,2),0))</f>
        <v/>
      </c>
      <c r="H215" s="50">
        <f>IFERROR(IF(Calculadora!$C$6&gt;0,1-(G215/Calculadora!$C$6),0),0)</f>
        <v/>
      </c>
    </row>
    <row r="216" ht="18" customHeight="1">
      <c r="A216" s="46" t="n">
        <v>212</v>
      </c>
      <c r="B216" s="47">
        <f>IFERROR(IF(C216&lt;=0.01,"",EDATE(B215,1)),"")</f>
        <v/>
      </c>
      <c r="C216" s="48">
        <f>IF(G215&lt;=0.01,0,G215)</f>
        <v/>
      </c>
      <c r="D216" s="48">
        <f>IF(C216&lt;=0.01,0,F216+E216)</f>
        <v/>
      </c>
      <c r="E216" s="49">
        <f>IF(C216&lt;=0.01,0,ROUND(C216*Calculadora!$C$7/12,2))</f>
        <v/>
      </c>
      <c r="F216" s="48">
        <f>IF(C216&lt;=0.01,0,ROUND(Calculadora!$C$6/Calculadora!$C$8,2))</f>
        <v/>
      </c>
      <c r="G216" s="48">
        <f>IF(C216&lt;=0.01,0,MAX(ROUND(C216-F216,2),0))</f>
        <v/>
      </c>
      <c r="H216" s="50">
        <f>IFERROR(IF(Calculadora!$C$6&gt;0,1-(G216/Calculadora!$C$6),0),0)</f>
        <v/>
      </c>
    </row>
    <row r="217" ht="18" customHeight="1">
      <c r="A217" s="46" t="n">
        <v>213</v>
      </c>
      <c r="B217" s="47">
        <f>IFERROR(IF(C217&lt;=0.01,"",EDATE(B216,1)),"")</f>
        <v/>
      </c>
      <c r="C217" s="48">
        <f>IF(G216&lt;=0.01,0,G216)</f>
        <v/>
      </c>
      <c r="D217" s="48">
        <f>IF(C217&lt;=0.01,0,F217+E217)</f>
        <v/>
      </c>
      <c r="E217" s="49">
        <f>IF(C217&lt;=0.01,0,ROUND(C217*Calculadora!$C$7/12,2))</f>
        <v/>
      </c>
      <c r="F217" s="48">
        <f>IF(C217&lt;=0.01,0,ROUND(Calculadora!$C$6/Calculadora!$C$8,2))</f>
        <v/>
      </c>
      <c r="G217" s="48">
        <f>IF(C217&lt;=0.01,0,MAX(ROUND(C217-F217,2),0))</f>
        <v/>
      </c>
      <c r="H217" s="50">
        <f>IFERROR(IF(Calculadora!$C$6&gt;0,1-(G217/Calculadora!$C$6),0),0)</f>
        <v/>
      </c>
    </row>
    <row r="218" ht="18" customHeight="1">
      <c r="A218" s="46" t="n">
        <v>214</v>
      </c>
      <c r="B218" s="47">
        <f>IFERROR(IF(C218&lt;=0.01,"",EDATE(B217,1)),"")</f>
        <v/>
      </c>
      <c r="C218" s="48">
        <f>IF(G217&lt;=0.01,0,G217)</f>
        <v/>
      </c>
      <c r="D218" s="48">
        <f>IF(C218&lt;=0.01,0,F218+E218)</f>
        <v/>
      </c>
      <c r="E218" s="49">
        <f>IF(C218&lt;=0.01,0,ROUND(C218*Calculadora!$C$7/12,2))</f>
        <v/>
      </c>
      <c r="F218" s="48">
        <f>IF(C218&lt;=0.01,0,ROUND(Calculadora!$C$6/Calculadora!$C$8,2))</f>
        <v/>
      </c>
      <c r="G218" s="48">
        <f>IF(C218&lt;=0.01,0,MAX(ROUND(C218-F218,2),0))</f>
        <v/>
      </c>
      <c r="H218" s="50">
        <f>IFERROR(IF(Calculadora!$C$6&gt;0,1-(G218/Calculadora!$C$6),0),0)</f>
        <v/>
      </c>
    </row>
    <row r="219" ht="18" customHeight="1">
      <c r="A219" s="46" t="n">
        <v>215</v>
      </c>
      <c r="B219" s="47">
        <f>IFERROR(IF(C219&lt;=0.01,"",EDATE(B218,1)),"")</f>
        <v/>
      </c>
      <c r="C219" s="48">
        <f>IF(G218&lt;=0.01,0,G218)</f>
        <v/>
      </c>
      <c r="D219" s="48">
        <f>IF(C219&lt;=0.01,0,F219+E219)</f>
        <v/>
      </c>
      <c r="E219" s="49">
        <f>IF(C219&lt;=0.01,0,ROUND(C219*Calculadora!$C$7/12,2))</f>
        <v/>
      </c>
      <c r="F219" s="48">
        <f>IF(C219&lt;=0.01,0,ROUND(Calculadora!$C$6/Calculadora!$C$8,2))</f>
        <v/>
      </c>
      <c r="G219" s="48">
        <f>IF(C219&lt;=0.01,0,MAX(ROUND(C219-F219,2),0))</f>
        <v/>
      </c>
      <c r="H219" s="50">
        <f>IFERROR(IF(Calculadora!$C$6&gt;0,1-(G219/Calculadora!$C$6),0),0)</f>
        <v/>
      </c>
    </row>
    <row r="220" ht="18" customHeight="1">
      <c r="A220" s="46" t="n">
        <v>216</v>
      </c>
      <c r="B220" s="47">
        <f>IFERROR(IF(C220&lt;=0.01,"",EDATE(B219,1)),"")</f>
        <v/>
      </c>
      <c r="C220" s="48">
        <f>IF(G219&lt;=0.01,0,G219)</f>
        <v/>
      </c>
      <c r="D220" s="48">
        <f>IF(C220&lt;=0.01,0,F220+E220)</f>
        <v/>
      </c>
      <c r="E220" s="49">
        <f>IF(C220&lt;=0.01,0,ROUND(C220*Calculadora!$C$7/12,2))</f>
        <v/>
      </c>
      <c r="F220" s="48">
        <f>IF(C220&lt;=0.01,0,ROUND(Calculadora!$C$6/Calculadora!$C$8,2))</f>
        <v/>
      </c>
      <c r="G220" s="48">
        <f>IF(C220&lt;=0.01,0,MAX(ROUND(C220-F220,2),0))</f>
        <v/>
      </c>
      <c r="H220" s="50">
        <f>IFERROR(IF(Calculadora!$C$6&gt;0,1-(G220/Calculadora!$C$6),0),0)</f>
        <v/>
      </c>
    </row>
    <row r="221" ht="18" customHeight="1">
      <c r="A221" s="46" t="n">
        <v>217</v>
      </c>
      <c r="B221" s="47">
        <f>IFERROR(IF(C221&lt;=0.01,"",EDATE(B220,1)),"")</f>
        <v/>
      </c>
      <c r="C221" s="48">
        <f>IF(G220&lt;=0.01,0,G220)</f>
        <v/>
      </c>
      <c r="D221" s="48">
        <f>IF(C221&lt;=0.01,0,F221+E221)</f>
        <v/>
      </c>
      <c r="E221" s="49">
        <f>IF(C221&lt;=0.01,0,ROUND(C221*Calculadora!$C$7/12,2))</f>
        <v/>
      </c>
      <c r="F221" s="48">
        <f>IF(C221&lt;=0.01,0,ROUND(Calculadora!$C$6/Calculadora!$C$8,2))</f>
        <v/>
      </c>
      <c r="G221" s="48">
        <f>IF(C221&lt;=0.01,0,MAX(ROUND(C221-F221,2),0))</f>
        <v/>
      </c>
      <c r="H221" s="50">
        <f>IFERROR(IF(Calculadora!$C$6&gt;0,1-(G221/Calculadora!$C$6),0),0)</f>
        <v/>
      </c>
    </row>
    <row r="222" ht="18" customHeight="1">
      <c r="A222" s="46" t="n">
        <v>218</v>
      </c>
      <c r="B222" s="47">
        <f>IFERROR(IF(C222&lt;=0.01,"",EDATE(B221,1)),"")</f>
        <v/>
      </c>
      <c r="C222" s="48">
        <f>IF(G221&lt;=0.01,0,G221)</f>
        <v/>
      </c>
      <c r="D222" s="48">
        <f>IF(C222&lt;=0.01,0,F222+E222)</f>
        <v/>
      </c>
      <c r="E222" s="49">
        <f>IF(C222&lt;=0.01,0,ROUND(C222*Calculadora!$C$7/12,2))</f>
        <v/>
      </c>
      <c r="F222" s="48">
        <f>IF(C222&lt;=0.01,0,ROUND(Calculadora!$C$6/Calculadora!$C$8,2))</f>
        <v/>
      </c>
      <c r="G222" s="48">
        <f>IF(C222&lt;=0.01,0,MAX(ROUND(C222-F222,2),0))</f>
        <v/>
      </c>
      <c r="H222" s="50">
        <f>IFERROR(IF(Calculadora!$C$6&gt;0,1-(G222/Calculadora!$C$6),0),0)</f>
        <v/>
      </c>
    </row>
    <row r="223" ht="18" customHeight="1">
      <c r="A223" s="46" t="n">
        <v>219</v>
      </c>
      <c r="B223" s="47">
        <f>IFERROR(IF(C223&lt;=0.01,"",EDATE(B222,1)),"")</f>
        <v/>
      </c>
      <c r="C223" s="48">
        <f>IF(G222&lt;=0.01,0,G222)</f>
        <v/>
      </c>
      <c r="D223" s="48">
        <f>IF(C223&lt;=0.01,0,F223+E223)</f>
        <v/>
      </c>
      <c r="E223" s="49">
        <f>IF(C223&lt;=0.01,0,ROUND(C223*Calculadora!$C$7/12,2))</f>
        <v/>
      </c>
      <c r="F223" s="48">
        <f>IF(C223&lt;=0.01,0,ROUND(Calculadora!$C$6/Calculadora!$C$8,2))</f>
        <v/>
      </c>
      <c r="G223" s="48">
        <f>IF(C223&lt;=0.01,0,MAX(ROUND(C223-F223,2),0))</f>
        <v/>
      </c>
      <c r="H223" s="50">
        <f>IFERROR(IF(Calculadora!$C$6&gt;0,1-(G223/Calculadora!$C$6),0),0)</f>
        <v/>
      </c>
    </row>
    <row r="224" ht="18" customHeight="1">
      <c r="A224" s="46" t="n">
        <v>220</v>
      </c>
      <c r="B224" s="47">
        <f>IFERROR(IF(C224&lt;=0.01,"",EDATE(B223,1)),"")</f>
        <v/>
      </c>
      <c r="C224" s="48">
        <f>IF(G223&lt;=0.01,0,G223)</f>
        <v/>
      </c>
      <c r="D224" s="48">
        <f>IF(C224&lt;=0.01,0,F224+E224)</f>
        <v/>
      </c>
      <c r="E224" s="49">
        <f>IF(C224&lt;=0.01,0,ROUND(C224*Calculadora!$C$7/12,2))</f>
        <v/>
      </c>
      <c r="F224" s="48">
        <f>IF(C224&lt;=0.01,0,ROUND(Calculadora!$C$6/Calculadora!$C$8,2))</f>
        <v/>
      </c>
      <c r="G224" s="48">
        <f>IF(C224&lt;=0.01,0,MAX(ROUND(C224-F224,2),0))</f>
        <v/>
      </c>
      <c r="H224" s="50">
        <f>IFERROR(IF(Calculadora!$C$6&gt;0,1-(G224/Calculadora!$C$6),0),0)</f>
        <v/>
      </c>
    </row>
    <row r="225" ht="18" customHeight="1">
      <c r="A225" s="46" t="n">
        <v>221</v>
      </c>
      <c r="B225" s="47">
        <f>IFERROR(IF(C225&lt;=0.01,"",EDATE(B224,1)),"")</f>
        <v/>
      </c>
      <c r="C225" s="48">
        <f>IF(G224&lt;=0.01,0,G224)</f>
        <v/>
      </c>
      <c r="D225" s="48">
        <f>IF(C225&lt;=0.01,0,F225+E225)</f>
        <v/>
      </c>
      <c r="E225" s="49">
        <f>IF(C225&lt;=0.01,0,ROUND(C225*Calculadora!$C$7/12,2))</f>
        <v/>
      </c>
      <c r="F225" s="48">
        <f>IF(C225&lt;=0.01,0,ROUND(Calculadora!$C$6/Calculadora!$C$8,2))</f>
        <v/>
      </c>
      <c r="G225" s="48">
        <f>IF(C225&lt;=0.01,0,MAX(ROUND(C225-F225,2),0))</f>
        <v/>
      </c>
      <c r="H225" s="50">
        <f>IFERROR(IF(Calculadora!$C$6&gt;0,1-(G225/Calculadora!$C$6),0),0)</f>
        <v/>
      </c>
    </row>
    <row r="226" ht="18" customHeight="1">
      <c r="A226" s="46" t="n">
        <v>222</v>
      </c>
      <c r="B226" s="47">
        <f>IFERROR(IF(C226&lt;=0.01,"",EDATE(B225,1)),"")</f>
        <v/>
      </c>
      <c r="C226" s="48">
        <f>IF(G225&lt;=0.01,0,G225)</f>
        <v/>
      </c>
      <c r="D226" s="48">
        <f>IF(C226&lt;=0.01,0,F226+E226)</f>
        <v/>
      </c>
      <c r="E226" s="49">
        <f>IF(C226&lt;=0.01,0,ROUND(C226*Calculadora!$C$7/12,2))</f>
        <v/>
      </c>
      <c r="F226" s="48">
        <f>IF(C226&lt;=0.01,0,ROUND(Calculadora!$C$6/Calculadora!$C$8,2))</f>
        <v/>
      </c>
      <c r="G226" s="48">
        <f>IF(C226&lt;=0.01,0,MAX(ROUND(C226-F226,2),0))</f>
        <v/>
      </c>
      <c r="H226" s="50">
        <f>IFERROR(IF(Calculadora!$C$6&gt;0,1-(G226/Calculadora!$C$6),0),0)</f>
        <v/>
      </c>
    </row>
    <row r="227" ht="18" customHeight="1">
      <c r="A227" s="46" t="n">
        <v>223</v>
      </c>
      <c r="B227" s="47">
        <f>IFERROR(IF(C227&lt;=0.01,"",EDATE(B226,1)),"")</f>
        <v/>
      </c>
      <c r="C227" s="48">
        <f>IF(G226&lt;=0.01,0,G226)</f>
        <v/>
      </c>
      <c r="D227" s="48">
        <f>IF(C227&lt;=0.01,0,F227+E227)</f>
        <v/>
      </c>
      <c r="E227" s="49">
        <f>IF(C227&lt;=0.01,0,ROUND(C227*Calculadora!$C$7/12,2))</f>
        <v/>
      </c>
      <c r="F227" s="48">
        <f>IF(C227&lt;=0.01,0,ROUND(Calculadora!$C$6/Calculadora!$C$8,2))</f>
        <v/>
      </c>
      <c r="G227" s="48">
        <f>IF(C227&lt;=0.01,0,MAX(ROUND(C227-F227,2),0))</f>
        <v/>
      </c>
      <c r="H227" s="50">
        <f>IFERROR(IF(Calculadora!$C$6&gt;0,1-(G227/Calculadora!$C$6),0),0)</f>
        <v/>
      </c>
    </row>
    <row r="228" ht="18" customHeight="1">
      <c r="A228" s="46" t="n">
        <v>224</v>
      </c>
      <c r="B228" s="47">
        <f>IFERROR(IF(C228&lt;=0.01,"",EDATE(B227,1)),"")</f>
        <v/>
      </c>
      <c r="C228" s="48">
        <f>IF(G227&lt;=0.01,0,G227)</f>
        <v/>
      </c>
      <c r="D228" s="48">
        <f>IF(C228&lt;=0.01,0,F228+E228)</f>
        <v/>
      </c>
      <c r="E228" s="49">
        <f>IF(C228&lt;=0.01,0,ROUND(C228*Calculadora!$C$7/12,2))</f>
        <v/>
      </c>
      <c r="F228" s="48">
        <f>IF(C228&lt;=0.01,0,ROUND(Calculadora!$C$6/Calculadora!$C$8,2))</f>
        <v/>
      </c>
      <c r="G228" s="48">
        <f>IF(C228&lt;=0.01,0,MAX(ROUND(C228-F228,2),0))</f>
        <v/>
      </c>
      <c r="H228" s="50">
        <f>IFERROR(IF(Calculadora!$C$6&gt;0,1-(G228/Calculadora!$C$6),0),0)</f>
        <v/>
      </c>
    </row>
    <row r="229" ht="18" customHeight="1">
      <c r="A229" s="46" t="n">
        <v>225</v>
      </c>
      <c r="B229" s="47">
        <f>IFERROR(IF(C229&lt;=0.01,"",EDATE(B228,1)),"")</f>
        <v/>
      </c>
      <c r="C229" s="48">
        <f>IF(G228&lt;=0.01,0,G228)</f>
        <v/>
      </c>
      <c r="D229" s="48">
        <f>IF(C229&lt;=0.01,0,F229+E229)</f>
        <v/>
      </c>
      <c r="E229" s="49">
        <f>IF(C229&lt;=0.01,0,ROUND(C229*Calculadora!$C$7/12,2))</f>
        <v/>
      </c>
      <c r="F229" s="48">
        <f>IF(C229&lt;=0.01,0,ROUND(Calculadora!$C$6/Calculadora!$C$8,2))</f>
        <v/>
      </c>
      <c r="G229" s="48">
        <f>IF(C229&lt;=0.01,0,MAX(ROUND(C229-F229,2),0))</f>
        <v/>
      </c>
      <c r="H229" s="50">
        <f>IFERROR(IF(Calculadora!$C$6&gt;0,1-(G229/Calculadora!$C$6),0),0)</f>
        <v/>
      </c>
    </row>
    <row r="230" ht="18" customHeight="1">
      <c r="A230" s="46" t="n">
        <v>226</v>
      </c>
      <c r="B230" s="47">
        <f>IFERROR(IF(C230&lt;=0.01,"",EDATE(B229,1)),"")</f>
        <v/>
      </c>
      <c r="C230" s="48">
        <f>IF(G229&lt;=0.01,0,G229)</f>
        <v/>
      </c>
      <c r="D230" s="48">
        <f>IF(C230&lt;=0.01,0,F230+E230)</f>
        <v/>
      </c>
      <c r="E230" s="49">
        <f>IF(C230&lt;=0.01,0,ROUND(C230*Calculadora!$C$7/12,2))</f>
        <v/>
      </c>
      <c r="F230" s="48">
        <f>IF(C230&lt;=0.01,0,ROUND(Calculadora!$C$6/Calculadora!$C$8,2))</f>
        <v/>
      </c>
      <c r="G230" s="48">
        <f>IF(C230&lt;=0.01,0,MAX(ROUND(C230-F230,2),0))</f>
        <v/>
      </c>
      <c r="H230" s="50">
        <f>IFERROR(IF(Calculadora!$C$6&gt;0,1-(G230/Calculadora!$C$6),0),0)</f>
        <v/>
      </c>
    </row>
    <row r="231" ht="18" customHeight="1">
      <c r="A231" s="46" t="n">
        <v>227</v>
      </c>
      <c r="B231" s="47">
        <f>IFERROR(IF(C231&lt;=0.01,"",EDATE(B230,1)),"")</f>
        <v/>
      </c>
      <c r="C231" s="48">
        <f>IF(G230&lt;=0.01,0,G230)</f>
        <v/>
      </c>
      <c r="D231" s="48">
        <f>IF(C231&lt;=0.01,0,F231+E231)</f>
        <v/>
      </c>
      <c r="E231" s="49">
        <f>IF(C231&lt;=0.01,0,ROUND(C231*Calculadora!$C$7/12,2))</f>
        <v/>
      </c>
      <c r="F231" s="48">
        <f>IF(C231&lt;=0.01,0,ROUND(Calculadora!$C$6/Calculadora!$C$8,2))</f>
        <v/>
      </c>
      <c r="G231" s="48">
        <f>IF(C231&lt;=0.01,0,MAX(ROUND(C231-F231,2),0))</f>
        <v/>
      </c>
      <c r="H231" s="50">
        <f>IFERROR(IF(Calculadora!$C$6&gt;0,1-(G231/Calculadora!$C$6),0),0)</f>
        <v/>
      </c>
    </row>
    <row r="232" ht="18" customHeight="1">
      <c r="A232" s="46" t="n">
        <v>228</v>
      </c>
      <c r="B232" s="47">
        <f>IFERROR(IF(C232&lt;=0.01,"",EDATE(B231,1)),"")</f>
        <v/>
      </c>
      <c r="C232" s="48">
        <f>IF(G231&lt;=0.01,0,G231)</f>
        <v/>
      </c>
      <c r="D232" s="48">
        <f>IF(C232&lt;=0.01,0,F232+E232)</f>
        <v/>
      </c>
      <c r="E232" s="49">
        <f>IF(C232&lt;=0.01,0,ROUND(C232*Calculadora!$C$7/12,2))</f>
        <v/>
      </c>
      <c r="F232" s="48">
        <f>IF(C232&lt;=0.01,0,ROUND(Calculadora!$C$6/Calculadora!$C$8,2))</f>
        <v/>
      </c>
      <c r="G232" s="48">
        <f>IF(C232&lt;=0.01,0,MAX(ROUND(C232-F232,2),0))</f>
        <v/>
      </c>
      <c r="H232" s="50">
        <f>IFERROR(IF(Calculadora!$C$6&gt;0,1-(G232/Calculadora!$C$6),0),0)</f>
        <v/>
      </c>
    </row>
    <row r="233" ht="18" customHeight="1">
      <c r="A233" s="46" t="n">
        <v>229</v>
      </c>
      <c r="B233" s="47">
        <f>IFERROR(IF(C233&lt;=0.01,"",EDATE(B232,1)),"")</f>
        <v/>
      </c>
      <c r="C233" s="48">
        <f>IF(G232&lt;=0.01,0,G232)</f>
        <v/>
      </c>
      <c r="D233" s="48">
        <f>IF(C233&lt;=0.01,0,F233+E233)</f>
        <v/>
      </c>
      <c r="E233" s="49">
        <f>IF(C233&lt;=0.01,0,ROUND(C233*Calculadora!$C$7/12,2))</f>
        <v/>
      </c>
      <c r="F233" s="48">
        <f>IF(C233&lt;=0.01,0,ROUND(Calculadora!$C$6/Calculadora!$C$8,2))</f>
        <v/>
      </c>
      <c r="G233" s="48">
        <f>IF(C233&lt;=0.01,0,MAX(ROUND(C233-F233,2),0))</f>
        <v/>
      </c>
      <c r="H233" s="50">
        <f>IFERROR(IF(Calculadora!$C$6&gt;0,1-(G233/Calculadora!$C$6),0),0)</f>
        <v/>
      </c>
    </row>
    <row r="234" ht="18" customHeight="1">
      <c r="A234" s="46" t="n">
        <v>230</v>
      </c>
      <c r="B234" s="47">
        <f>IFERROR(IF(C234&lt;=0.01,"",EDATE(B233,1)),"")</f>
        <v/>
      </c>
      <c r="C234" s="48">
        <f>IF(G233&lt;=0.01,0,G233)</f>
        <v/>
      </c>
      <c r="D234" s="48">
        <f>IF(C234&lt;=0.01,0,F234+E234)</f>
        <v/>
      </c>
      <c r="E234" s="49">
        <f>IF(C234&lt;=0.01,0,ROUND(C234*Calculadora!$C$7/12,2))</f>
        <v/>
      </c>
      <c r="F234" s="48">
        <f>IF(C234&lt;=0.01,0,ROUND(Calculadora!$C$6/Calculadora!$C$8,2))</f>
        <v/>
      </c>
      <c r="G234" s="48">
        <f>IF(C234&lt;=0.01,0,MAX(ROUND(C234-F234,2),0))</f>
        <v/>
      </c>
      <c r="H234" s="50">
        <f>IFERROR(IF(Calculadora!$C$6&gt;0,1-(G234/Calculadora!$C$6),0),0)</f>
        <v/>
      </c>
    </row>
    <row r="235" ht="18" customHeight="1">
      <c r="A235" s="46" t="n">
        <v>231</v>
      </c>
      <c r="B235" s="47">
        <f>IFERROR(IF(C235&lt;=0.01,"",EDATE(B234,1)),"")</f>
        <v/>
      </c>
      <c r="C235" s="48">
        <f>IF(G234&lt;=0.01,0,G234)</f>
        <v/>
      </c>
      <c r="D235" s="48">
        <f>IF(C235&lt;=0.01,0,F235+E235)</f>
        <v/>
      </c>
      <c r="E235" s="49">
        <f>IF(C235&lt;=0.01,0,ROUND(C235*Calculadora!$C$7/12,2))</f>
        <v/>
      </c>
      <c r="F235" s="48">
        <f>IF(C235&lt;=0.01,0,ROUND(Calculadora!$C$6/Calculadora!$C$8,2))</f>
        <v/>
      </c>
      <c r="G235" s="48">
        <f>IF(C235&lt;=0.01,0,MAX(ROUND(C235-F235,2),0))</f>
        <v/>
      </c>
      <c r="H235" s="50">
        <f>IFERROR(IF(Calculadora!$C$6&gt;0,1-(G235/Calculadora!$C$6),0),0)</f>
        <v/>
      </c>
    </row>
    <row r="236" ht="18" customHeight="1">
      <c r="A236" s="46" t="n">
        <v>232</v>
      </c>
      <c r="B236" s="47">
        <f>IFERROR(IF(C236&lt;=0.01,"",EDATE(B235,1)),"")</f>
        <v/>
      </c>
      <c r="C236" s="48">
        <f>IF(G235&lt;=0.01,0,G235)</f>
        <v/>
      </c>
      <c r="D236" s="48">
        <f>IF(C236&lt;=0.01,0,F236+E236)</f>
        <v/>
      </c>
      <c r="E236" s="49">
        <f>IF(C236&lt;=0.01,0,ROUND(C236*Calculadora!$C$7/12,2))</f>
        <v/>
      </c>
      <c r="F236" s="48">
        <f>IF(C236&lt;=0.01,0,ROUND(Calculadora!$C$6/Calculadora!$C$8,2))</f>
        <v/>
      </c>
      <c r="G236" s="48">
        <f>IF(C236&lt;=0.01,0,MAX(ROUND(C236-F236,2),0))</f>
        <v/>
      </c>
      <c r="H236" s="50">
        <f>IFERROR(IF(Calculadora!$C$6&gt;0,1-(G236/Calculadora!$C$6),0),0)</f>
        <v/>
      </c>
    </row>
    <row r="237" ht="18" customHeight="1">
      <c r="A237" s="46" t="n">
        <v>233</v>
      </c>
      <c r="B237" s="47">
        <f>IFERROR(IF(C237&lt;=0.01,"",EDATE(B236,1)),"")</f>
        <v/>
      </c>
      <c r="C237" s="48">
        <f>IF(G236&lt;=0.01,0,G236)</f>
        <v/>
      </c>
      <c r="D237" s="48">
        <f>IF(C237&lt;=0.01,0,F237+E237)</f>
        <v/>
      </c>
      <c r="E237" s="49">
        <f>IF(C237&lt;=0.01,0,ROUND(C237*Calculadora!$C$7/12,2))</f>
        <v/>
      </c>
      <c r="F237" s="48">
        <f>IF(C237&lt;=0.01,0,ROUND(Calculadora!$C$6/Calculadora!$C$8,2))</f>
        <v/>
      </c>
      <c r="G237" s="48">
        <f>IF(C237&lt;=0.01,0,MAX(ROUND(C237-F237,2),0))</f>
        <v/>
      </c>
      <c r="H237" s="50">
        <f>IFERROR(IF(Calculadora!$C$6&gt;0,1-(G237/Calculadora!$C$6),0),0)</f>
        <v/>
      </c>
    </row>
    <row r="238" ht="18" customHeight="1">
      <c r="A238" s="46" t="n">
        <v>234</v>
      </c>
      <c r="B238" s="47">
        <f>IFERROR(IF(C238&lt;=0.01,"",EDATE(B237,1)),"")</f>
        <v/>
      </c>
      <c r="C238" s="48">
        <f>IF(G237&lt;=0.01,0,G237)</f>
        <v/>
      </c>
      <c r="D238" s="48">
        <f>IF(C238&lt;=0.01,0,F238+E238)</f>
        <v/>
      </c>
      <c r="E238" s="49">
        <f>IF(C238&lt;=0.01,0,ROUND(C238*Calculadora!$C$7/12,2))</f>
        <v/>
      </c>
      <c r="F238" s="48">
        <f>IF(C238&lt;=0.01,0,ROUND(Calculadora!$C$6/Calculadora!$C$8,2))</f>
        <v/>
      </c>
      <c r="G238" s="48">
        <f>IF(C238&lt;=0.01,0,MAX(ROUND(C238-F238,2),0))</f>
        <v/>
      </c>
      <c r="H238" s="50">
        <f>IFERROR(IF(Calculadora!$C$6&gt;0,1-(G238/Calculadora!$C$6),0),0)</f>
        <v/>
      </c>
    </row>
    <row r="239" ht="18" customHeight="1">
      <c r="A239" s="46" t="n">
        <v>235</v>
      </c>
      <c r="B239" s="47">
        <f>IFERROR(IF(C239&lt;=0.01,"",EDATE(B238,1)),"")</f>
        <v/>
      </c>
      <c r="C239" s="48">
        <f>IF(G238&lt;=0.01,0,G238)</f>
        <v/>
      </c>
      <c r="D239" s="48">
        <f>IF(C239&lt;=0.01,0,F239+E239)</f>
        <v/>
      </c>
      <c r="E239" s="49">
        <f>IF(C239&lt;=0.01,0,ROUND(C239*Calculadora!$C$7/12,2))</f>
        <v/>
      </c>
      <c r="F239" s="48">
        <f>IF(C239&lt;=0.01,0,ROUND(Calculadora!$C$6/Calculadora!$C$8,2))</f>
        <v/>
      </c>
      <c r="G239" s="48">
        <f>IF(C239&lt;=0.01,0,MAX(ROUND(C239-F239,2),0))</f>
        <v/>
      </c>
      <c r="H239" s="50">
        <f>IFERROR(IF(Calculadora!$C$6&gt;0,1-(G239/Calculadora!$C$6),0),0)</f>
        <v/>
      </c>
    </row>
    <row r="240" ht="18" customHeight="1">
      <c r="A240" s="46" t="n">
        <v>236</v>
      </c>
      <c r="B240" s="47">
        <f>IFERROR(IF(C240&lt;=0.01,"",EDATE(B239,1)),"")</f>
        <v/>
      </c>
      <c r="C240" s="48">
        <f>IF(G239&lt;=0.01,0,G239)</f>
        <v/>
      </c>
      <c r="D240" s="48">
        <f>IF(C240&lt;=0.01,0,F240+E240)</f>
        <v/>
      </c>
      <c r="E240" s="49">
        <f>IF(C240&lt;=0.01,0,ROUND(C240*Calculadora!$C$7/12,2))</f>
        <v/>
      </c>
      <c r="F240" s="48">
        <f>IF(C240&lt;=0.01,0,ROUND(Calculadora!$C$6/Calculadora!$C$8,2))</f>
        <v/>
      </c>
      <c r="G240" s="48">
        <f>IF(C240&lt;=0.01,0,MAX(ROUND(C240-F240,2),0))</f>
        <v/>
      </c>
      <c r="H240" s="50">
        <f>IFERROR(IF(Calculadora!$C$6&gt;0,1-(G240/Calculadora!$C$6),0),0)</f>
        <v/>
      </c>
    </row>
    <row r="241" ht="18" customHeight="1">
      <c r="A241" s="46" t="n">
        <v>237</v>
      </c>
      <c r="B241" s="47">
        <f>IFERROR(IF(C241&lt;=0.01,"",EDATE(B240,1)),"")</f>
        <v/>
      </c>
      <c r="C241" s="48">
        <f>IF(G240&lt;=0.01,0,G240)</f>
        <v/>
      </c>
      <c r="D241" s="48">
        <f>IF(C241&lt;=0.01,0,F241+E241)</f>
        <v/>
      </c>
      <c r="E241" s="49">
        <f>IF(C241&lt;=0.01,0,ROUND(C241*Calculadora!$C$7/12,2))</f>
        <v/>
      </c>
      <c r="F241" s="48">
        <f>IF(C241&lt;=0.01,0,ROUND(Calculadora!$C$6/Calculadora!$C$8,2))</f>
        <v/>
      </c>
      <c r="G241" s="48">
        <f>IF(C241&lt;=0.01,0,MAX(ROUND(C241-F241,2),0))</f>
        <v/>
      </c>
      <c r="H241" s="50">
        <f>IFERROR(IF(Calculadora!$C$6&gt;0,1-(G241/Calculadora!$C$6),0),0)</f>
        <v/>
      </c>
    </row>
    <row r="242" ht="18" customHeight="1">
      <c r="A242" s="46" t="n">
        <v>238</v>
      </c>
      <c r="B242" s="47">
        <f>IFERROR(IF(C242&lt;=0.01,"",EDATE(B241,1)),"")</f>
        <v/>
      </c>
      <c r="C242" s="48">
        <f>IF(G241&lt;=0.01,0,G241)</f>
        <v/>
      </c>
      <c r="D242" s="48">
        <f>IF(C242&lt;=0.01,0,F242+E242)</f>
        <v/>
      </c>
      <c r="E242" s="49">
        <f>IF(C242&lt;=0.01,0,ROUND(C242*Calculadora!$C$7/12,2))</f>
        <v/>
      </c>
      <c r="F242" s="48">
        <f>IF(C242&lt;=0.01,0,ROUND(Calculadora!$C$6/Calculadora!$C$8,2))</f>
        <v/>
      </c>
      <c r="G242" s="48">
        <f>IF(C242&lt;=0.01,0,MAX(ROUND(C242-F242,2),0))</f>
        <v/>
      </c>
      <c r="H242" s="50">
        <f>IFERROR(IF(Calculadora!$C$6&gt;0,1-(G242/Calculadora!$C$6),0),0)</f>
        <v/>
      </c>
    </row>
    <row r="243" ht="18" customHeight="1">
      <c r="A243" s="46" t="n">
        <v>239</v>
      </c>
      <c r="B243" s="47">
        <f>IFERROR(IF(C243&lt;=0.01,"",EDATE(B242,1)),"")</f>
        <v/>
      </c>
      <c r="C243" s="48">
        <f>IF(G242&lt;=0.01,0,G242)</f>
        <v/>
      </c>
      <c r="D243" s="48">
        <f>IF(C243&lt;=0.01,0,F243+E243)</f>
        <v/>
      </c>
      <c r="E243" s="49">
        <f>IF(C243&lt;=0.01,0,ROUND(C243*Calculadora!$C$7/12,2))</f>
        <v/>
      </c>
      <c r="F243" s="48">
        <f>IF(C243&lt;=0.01,0,ROUND(Calculadora!$C$6/Calculadora!$C$8,2))</f>
        <v/>
      </c>
      <c r="G243" s="48">
        <f>IF(C243&lt;=0.01,0,MAX(ROUND(C243-F243,2),0))</f>
        <v/>
      </c>
      <c r="H243" s="50">
        <f>IFERROR(IF(Calculadora!$C$6&gt;0,1-(G243/Calculadora!$C$6),0),0)</f>
        <v/>
      </c>
    </row>
    <row r="244" ht="18" customHeight="1">
      <c r="A244" s="46" t="n">
        <v>240</v>
      </c>
      <c r="B244" s="47">
        <f>IFERROR(IF(C244&lt;=0.01,"",EDATE(B243,1)),"")</f>
        <v/>
      </c>
      <c r="C244" s="48">
        <f>IF(G243&lt;=0.01,0,G243)</f>
        <v/>
      </c>
      <c r="D244" s="48">
        <f>IF(C244&lt;=0.01,0,F244+E244)</f>
        <v/>
      </c>
      <c r="E244" s="49">
        <f>IF(C244&lt;=0.01,0,ROUND(C244*Calculadora!$C$7/12,2))</f>
        <v/>
      </c>
      <c r="F244" s="48">
        <f>IF(C244&lt;=0.01,0,ROUND(Calculadora!$C$6/Calculadora!$C$8,2))</f>
        <v/>
      </c>
      <c r="G244" s="48">
        <f>IF(C244&lt;=0.01,0,MAX(ROUND(C244-F244,2),0))</f>
        <v/>
      </c>
      <c r="H244" s="50">
        <f>IFERROR(IF(Calculadora!$C$6&gt;0,1-(G244/Calculadora!$C$6),0),0)</f>
        <v/>
      </c>
    </row>
    <row r="245" ht="18" customHeight="1">
      <c r="A245" s="46" t="n">
        <v>241</v>
      </c>
      <c r="B245" s="47">
        <f>IFERROR(IF(C245&lt;=0.01,"",EDATE(B244,1)),"")</f>
        <v/>
      </c>
      <c r="C245" s="48">
        <f>IF(G244&lt;=0.01,0,G244)</f>
        <v/>
      </c>
      <c r="D245" s="48">
        <f>IF(C245&lt;=0.01,0,F245+E245)</f>
        <v/>
      </c>
      <c r="E245" s="49">
        <f>IF(C245&lt;=0.01,0,ROUND(C245*Calculadora!$C$7/12,2))</f>
        <v/>
      </c>
      <c r="F245" s="48">
        <f>IF(C245&lt;=0.01,0,ROUND(Calculadora!$C$6/Calculadora!$C$8,2))</f>
        <v/>
      </c>
      <c r="G245" s="48">
        <f>IF(C245&lt;=0.01,0,MAX(ROUND(C245-F245,2),0))</f>
        <v/>
      </c>
      <c r="H245" s="50">
        <f>IFERROR(IF(Calculadora!$C$6&gt;0,1-(G245/Calculadora!$C$6),0),0)</f>
        <v/>
      </c>
    </row>
    <row r="246" ht="18" customHeight="1">
      <c r="A246" s="46" t="n">
        <v>242</v>
      </c>
      <c r="B246" s="47">
        <f>IFERROR(IF(C246&lt;=0.01,"",EDATE(B245,1)),"")</f>
        <v/>
      </c>
      <c r="C246" s="48">
        <f>IF(G245&lt;=0.01,0,G245)</f>
        <v/>
      </c>
      <c r="D246" s="48">
        <f>IF(C246&lt;=0.01,0,F246+E246)</f>
        <v/>
      </c>
      <c r="E246" s="49">
        <f>IF(C246&lt;=0.01,0,ROUND(C246*Calculadora!$C$7/12,2))</f>
        <v/>
      </c>
      <c r="F246" s="48">
        <f>IF(C246&lt;=0.01,0,ROUND(Calculadora!$C$6/Calculadora!$C$8,2))</f>
        <v/>
      </c>
      <c r="G246" s="48">
        <f>IF(C246&lt;=0.01,0,MAX(ROUND(C246-F246,2),0))</f>
        <v/>
      </c>
      <c r="H246" s="50">
        <f>IFERROR(IF(Calculadora!$C$6&gt;0,1-(G246/Calculadora!$C$6),0),0)</f>
        <v/>
      </c>
    </row>
    <row r="247" ht="18" customHeight="1">
      <c r="A247" s="46" t="n">
        <v>243</v>
      </c>
      <c r="B247" s="47">
        <f>IFERROR(IF(C247&lt;=0.01,"",EDATE(B246,1)),"")</f>
        <v/>
      </c>
      <c r="C247" s="48">
        <f>IF(G246&lt;=0.01,0,G246)</f>
        <v/>
      </c>
      <c r="D247" s="48">
        <f>IF(C247&lt;=0.01,0,F247+E247)</f>
        <v/>
      </c>
      <c r="E247" s="49">
        <f>IF(C247&lt;=0.01,0,ROUND(C247*Calculadora!$C$7/12,2))</f>
        <v/>
      </c>
      <c r="F247" s="48">
        <f>IF(C247&lt;=0.01,0,ROUND(Calculadora!$C$6/Calculadora!$C$8,2))</f>
        <v/>
      </c>
      <c r="G247" s="48">
        <f>IF(C247&lt;=0.01,0,MAX(ROUND(C247-F247,2),0))</f>
        <v/>
      </c>
      <c r="H247" s="50">
        <f>IFERROR(IF(Calculadora!$C$6&gt;0,1-(G247/Calculadora!$C$6),0),0)</f>
        <v/>
      </c>
    </row>
    <row r="248" ht="18" customHeight="1">
      <c r="A248" s="46" t="n">
        <v>244</v>
      </c>
      <c r="B248" s="47">
        <f>IFERROR(IF(C248&lt;=0.01,"",EDATE(B247,1)),"")</f>
        <v/>
      </c>
      <c r="C248" s="48">
        <f>IF(G247&lt;=0.01,0,G247)</f>
        <v/>
      </c>
      <c r="D248" s="48">
        <f>IF(C248&lt;=0.01,0,F248+E248)</f>
        <v/>
      </c>
      <c r="E248" s="49">
        <f>IF(C248&lt;=0.01,0,ROUND(C248*Calculadora!$C$7/12,2))</f>
        <v/>
      </c>
      <c r="F248" s="48">
        <f>IF(C248&lt;=0.01,0,ROUND(Calculadora!$C$6/Calculadora!$C$8,2))</f>
        <v/>
      </c>
      <c r="G248" s="48">
        <f>IF(C248&lt;=0.01,0,MAX(ROUND(C248-F248,2),0))</f>
        <v/>
      </c>
      <c r="H248" s="50">
        <f>IFERROR(IF(Calculadora!$C$6&gt;0,1-(G248/Calculadora!$C$6),0),0)</f>
        <v/>
      </c>
    </row>
    <row r="249" ht="18" customHeight="1">
      <c r="A249" s="46" t="n">
        <v>245</v>
      </c>
      <c r="B249" s="47">
        <f>IFERROR(IF(C249&lt;=0.01,"",EDATE(B248,1)),"")</f>
        <v/>
      </c>
      <c r="C249" s="48">
        <f>IF(G248&lt;=0.01,0,G248)</f>
        <v/>
      </c>
      <c r="D249" s="48">
        <f>IF(C249&lt;=0.01,0,F249+E249)</f>
        <v/>
      </c>
      <c r="E249" s="49">
        <f>IF(C249&lt;=0.01,0,ROUND(C249*Calculadora!$C$7/12,2))</f>
        <v/>
      </c>
      <c r="F249" s="48">
        <f>IF(C249&lt;=0.01,0,ROUND(Calculadora!$C$6/Calculadora!$C$8,2))</f>
        <v/>
      </c>
      <c r="G249" s="48">
        <f>IF(C249&lt;=0.01,0,MAX(ROUND(C249-F249,2),0))</f>
        <v/>
      </c>
      <c r="H249" s="50">
        <f>IFERROR(IF(Calculadora!$C$6&gt;0,1-(G249/Calculadora!$C$6),0),0)</f>
        <v/>
      </c>
    </row>
    <row r="250" ht="18" customHeight="1">
      <c r="A250" s="46" t="n">
        <v>246</v>
      </c>
      <c r="B250" s="47">
        <f>IFERROR(IF(C250&lt;=0.01,"",EDATE(B249,1)),"")</f>
        <v/>
      </c>
      <c r="C250" s="48">
        <f>IF(G249&lt;=0.01,0,G249)</f>
        <v/>
      </c>
      <c r="D250" s="48">
        <f>IF(C250&lt;=0.01,0,F250+E250)</f>
        <v/>
      </c>
      <c r="E250" s="49">
        <f>IF(C250&lt;=0.01,0,ROUND(C250*Calculadora!$C$7/12,2))</f>
        <v/>
      </c>
      <c r="F250" s="48">
        <f>IF(C250&lt;=0.01,0,ROUND(Calculadora!$C$6/Calculadora!$C$8,2))</f>
        <v/>
      </c>
      <c r="G250" s="48">
        <f>IF(C250&lt;=0.01,0,MAX(ROUND(C250-F250,2),0))</f>
        <v/>
      </c>
      <c r="H250" s="50">
        <f>IFERROR(IF(Calculadora!$C$6&gt;0,1-(G250/Calculadora!$C$6),0),0)</f>
        <v/>
      </c>
    </row>
    <row r="251" ht="18" customHeight="1">
      <c r="A251" s="46" t="n">
        <v>247</v>
      </c>
      <c r="B251" s="47">
        <f>IFERROR(IF(C251&lt;=0.01,"",EDATE(B250,1)),"")</f>
        <v/>
      </c>
      <c r="C251" s="48">
        <f>IF(G250&lt;=0.01,0,G250)</f>
        <v/>
      </c>
      <c r="D251" s="48">
        <f>IF(C251&lt;=0.01,0,F251+E251)</f>
        <v/>
      </c>
      <c r="E251" s="49">
        <f>IF(C251&lt;=0.01,0,ROUND(C251*Calculadora!$C$7/12,2))</f>
        <v/>
      </c>
      <c r="F251" s="48">
        <f>IF(C251&lt;=0.01,0,ROUND(Calculadora!$C$6/Calculadora!$C$8,2))</f>
        <v/>
      </c>
      <c r="G251" s="48">
        <f>IF(C251&lt;=0.01,0,MAX(ROUND(C251-F251,2),0))</f>
        <v/>
      </c>
      <c r="H251" s="50">
        <f>IFERROR(IF(Calculadora!$C$6&gt;0,1-(G251/Calculadora!$C$6),0),0)</f>
        <v/>
      </c>
    </row>
    <row r="252" ht="18" customHeight="1">
      <c r="A252" s="46" t="n">
        <v>248</v>
      </c>
      <c r="B252" s="47">
        <f>IFERROR(IF(C252&lt;=0.01,"",EDATE(B251,1)),"")</f>
        <v/>
      </c>
      <c r="C252" s="48">
        <f>IF(G251&lt;=0.01,0,G251)</f>
        <v/>
      </c>
      <c r="D252" s="48">
        <f>IF(C252&lt;=0.01,0,F252+E252)</f>
        <v/>
      </c>
      <c r="E252" s="49">
        <f>IF(C252&lt;=0.01,0,ROUND(C252*Calculadora!$C$7/12,2))</f>
        <v/>
      </c>
      <c r="F252" s="48">
        <f>IF(C252&lt;=0.01,0,ROUND(Calculadora!$C$6/Calculadora!$C$8,2))</f>
        <v/>
      </c>
      <c r="G252" s="48">
        <f>IF(C252&lt;=0.01,0,MAX(ROUND(C252-F252,2),0))</f>
        <v/>
      </c>
      <c r="H252" s="50">
        <f>IFERROR(IF(Calculadora!$C$6&gt;0,1-(G252/Calculadora!$C$6),0),0)</f>
        <v/>
      </c>
    </row>
    <row r="253" ht="18" customHeight="1">
      <c r="A253" s="46" t="n">
        <v>249</v>
      </c>
      <c r="B253" s="47">
        <f>IFERROR(IF(C253&lt;=0.01,"",EDATE(B252,1)),"")</f>
        <v/>
      </c>
      <c r="C253" s="48">
        <f>IF(G252&lt;=0.01,0,G252)</f>
        <v/>
      </c>
      <c r="D253" s="48">
        <f>IF(C253&lt;=0.01,0,F253+E253)</f>
        <v/>
      </c>
      <c r="E253" s="49">
        <f>IF(C253&lt;=0.01,0,ROUND(C253*Calculadora!$C$7/12,2))</f>
        <v/>
      </c>
      <c r="F253" s="48">
        <f>IF(C253&lt;=0.01,0,ROUND(Calculadora!$C$6/Calculadora!$C$8,2))</f>
        <v/>
      </c>
      <c r="G253" s="48">
        <f>IF(C253&lt;=0.01,0,MAX(ROUND(C253-F253,2),0))</f>
        <v/>
      </c>
      <c r="H253" s="50">
        <f>IFERROR(IF(Calculadora!$C$6&gt;0,1-(G253/Calculadora!$C$6),0),0)</f>
        <v/>
      </c>
    </row>
    <row r="254" ht="18" customHeight="1">
      <c r="A254" s="46" t="n">
        <v>250</v>
      </c>
      <c r="B254" s="47">
        <f>IFERROR(IF(C254&lt;=0.01,"",EDATE(B253,1)),"")</f>
        <v/>
      </c>
      <c r="C254" s="48">
        <f>IF(G253&lt;=0.01,0,G253)</f>
        <v/>
      </c>
      <c r="D254" s="48">
        <f>IF(C254&lt;=0.01,0,F254+E254)</f>
        <v/>
      </c>
      <c r="E254" s="49">
        <f>IF(C254&lt;=0.01,0,ROUND(C254*Calculadora!$C$7/12,2))</f>
        <v/>
      </c>
      <c r="F254" s="48">
        <f>IF(C254&lt;=0.01,0,ROUND(Calculadora!$C$6/Calculadora!$C$8,2))</f>
        <v/>
      </c>
      <c r="G254" s="48">
        <f>IF(C254&lt;=0.01,0,MAX(ROUND(C254-F254,2),0))</f>
        <v/>
      </c>
      <c r="H254" s="50">
        <f>IFERROR(IF(Calculadora!$C$6&gt;0,1-(G254/Calculadora!$C$6),0),0)</f>
        <v/>
      </c>
    </row>
    <row r="255" ht="18" customHeight="1">
      <c r="A255" s="46" t="n">
        <v>251</v>
      </c>
      <c r="B255" s="47">
        <f>IFERROR(IF(C255&lt;=0.01,"",EDATE(B254,1)),"")</f>
        <v/>
      </c>
      <c r="C255" s="48">
        <f>IF(G254&lt;=0.01,0,G254)</f>
        <v/>
      </c>
      <c r="D255" s="48">
        <f>IF(C255&lt;=0.01,0,F255+E255)</f>
        <v/>
      </c>
      <c r="E255" s="49">
        <f>IF(C255&lt;=0.01,0,ROUND(C255*Calculadora!$C$7/12,2))</f>
        <v/>
      </c>
      <c r="F255" s="48">
        <f>IF(C255&lt;=0.01,0,ROUND(Calculadora!$C$6/Calculadora!$C$8,2))</f>
        <v/>
      </c>
      <c r="G255" s="48">
        <f>IF(C255&lt;=0.01,0,MAX(ROUND(C255-F255,2),0))</f>
        <v/>
      </c>
      <c r="H255" s="50">
        <f>IFERROR(IF(Calculadora!$C$6&gt;0,1-(G255/Calculadora!$C$6),0),0)</f>
        <v/>
      </c>
    </row>
    <row r="256" ht="18" customHeight="1">
      <c r="A256" s="46" t="n">
        <v>252</v>
      </c>
      <c r="B256" s="47">
        <f>IFERROR(IF(C256&lt;=0.01,"",EDATE(B255,1)),"")</f>
        <v/>
      </c>
      <c r="C256" s="48">
        <f>IF(G255&lt;=0.01,0,G255)</f>
        <v/>
      </c>
      <c r="D256" s="48">
        <f>IF(C256&lt;=0.01,0,F256+E256)</f>
        <v/>
      </c>
      <c r="E256" s="49">
        <f>IF(C256&lt;=0.01,0,ROUND(C256*Calculadora!$C$7/12,2))</f>
        <v/>
      </c>
      <c r="F256" s="48">
        <f>IF(C256&lt;=0.01,0,ROUND(Calculadora!$C$6/Calculadora!$C$8,2))</f>
        <v/>
      </c>
      <c r="G256" s="48">
        <f>IF(C256&lt;=0.01,0,MAX(ROUND(C256-F256,2),0))</f>
        <v/>
      </c>
      <c r="H256" s="50">
        <f>IFERROR(IF(Calculadora!$C$6&gt;0,1-(G256/Calculadora!$C$6),0),0)</f>
        <v/>
      </c>
    </row>
    <row r="257" ht="18" customHeight="1">
      <c r="A257" s="46" t="n">
        <v>253</v>
      </c>
      <c r="B257" s="47">
        <f>IFERROR(IF(C257&lt;=0.01,"",EDATE(B256,1)),"")</f>
        <v/>
      </c>
      <c r="C257" s="48">
        <f>IF(G256&lt;=0.01,0,G256)</f>
        <v/>
      </c>
      <c r="D257" s="48">
        <f>IF(C257&lt;=0.01,0,F257+E257)</f>
        <v/>
      </c>
      <c r="E257" s="49">
        <f>IF(C257&lt;=0.01,0,ROUND(C257*Calculadora!$C$7/12,2))</f>
        <v/>
      </c>
      <c r="F257" s="48">
        <f>IF(C257&lt;=0.01,0,ROUND(Calculadora!$C$6/Calculadora!$C$8,2))</f>
        <v/>
      </c>
      <c r="G257" s="48">
        <f>IF(C257&lt;=0.01,0,MAX(ROUND(C257-F257,2),0))</f>
        <v/>
      </c>
      <c r="H257" s="50">
        <f>IFERROR(IF(Calculadora!$C$6&gt;0,1-(G257/Calculadora!$C$6),0),0)</f>
        <v/>
      </c>
    </row>
    <row r="258" ht="18" customHeight="1">
      <c r="A258" s="46" t="n">
        <v>254</v>
      </c>
      <c r="B258" s="47">
        <f>IFERROR(IF(C258&lt;=0.01,"",EDATE(B257,1)),"")</f>
        <v/>
      </c>
      <c r="C258" s="48">
        <f>IF(G257&lt;=0.01,0,G257)</f>
        <v/>
      </c>
      <c r="D258" s="48">
        <f>IF(C258&lt;=0.01,0,F258+E258)</f>
        <v/>
      </c>
      <c r="E258" s="49">
        <f>IF(C258&lt;=0.01,0,ROUND(C258*Calculadora!$C$7/12,2))</f>
        <v/>
      </c>
      <c r="F258" s="48">
        <f>IF(C258&lt;=0.01,0,ROUND(Calculadora!$C$6/Calculadora!$C$8,2))</f>
        <v/>
      </c>
      <c r="G258" s="48">
        <f>IF(C258&lt;=0.01,0,MAX(ROUND(C258-F258,2),0))</f>
        <v/>
      </c>
      <c r="H258" s="50">
        <f>IFERROR(IF(Calculadora!$C$6&gt;0,1-(G258/Calculadora!$C$6),0),0)</f>
        <v/>
      </c>
    </row>
    <row r="259" ht="18" customHeight="1">
      <c r="A259" s="46" t="n">
        <v>255</v>
      </c>
      <c r="B259" s="47">
        <f>IFERROR(IF(C259&lt;=0.01,"",EDATE(B258,1)),"")</f>
        <v/>
      </c>
      <c r="C259" s="48">
        <f>IF(G258&lt;=0.01,0,G258)</f>
        <v/>
      </c>
      <c r="D259" s="48">
        <f>IF(C259&lt;=0.01,0,F259+E259)</f>
        <v/>
      </c>
      <c r="E259" s="49">
        <f>IF(C259&lt;=0.01,0,ROUND(C259*Calculadora!$C$7/12,2))</f>
        <v/>
      </c>
      <c r="F259" s="48">
        <f>IF(C259&lt;=0.01,0,ROUND(Calculadora!$C$6/Calculadora!$C$8,2))</f>
        <v/>
      </c>
      <c r="G259" s="48">
        <f>IF(C259&lt;=0.01,0,MAX(ROUND(C259-F259,2),0))</f>
        <v/>
      </c>
      <c r="H259" s="50">
        <f>IFERROR(IF(Calculadora!$C$6&gt;0,1-(G259/Calculadora!$C$6),0),0)</f>
        <v/>
      </c>
    </row>
    <row r="260" ht="18" customHeight="1">
      <c r="A260" s="46" t="n">
        <v>256</v>
      </c>
      <c r="B260" s="47">
        <f>IFERROR(IF(C260&lt;=0.01,"",EDATE(B259,1)),"")</f>
        <v/>
      </c>
      <c r="C260" s="48">
        <f>IF(G259&lt;=0.01,0,G259)</f>
        <v/>
      </c>
      <c r="D260" s="48">
        <f>IF(C260&lt;=0.01,0,F260+E260)</f>
        <v/>
      </c>
      <c r="E260" s="49">
        <f>IF(C260&lt;=0.01,0,ROUND(C260*Calculadora!$C$7/12,2))</f>
        <v/>
      </c>
      <c r="F260" s="48">
        <f>IF(C260&lt;=0.01,0,ROUND(Calculadora!$C$6/Calculadora!$C$8,2))</f>
        <v/>
      </c>
      <c r="G260" s="48">
        <f>IF(C260&lt;=0.01,0,MAX(ROUND(C260-F260,2),0))</f>
        <v/>
      </c>
      <c r="H260" s="50">
        <f>IFERROR(IF(Calculadora!$C$6&gt;0,1-(G260/Calculadora!$C$6),0),0)</f>
        <v/>
      </c>
    </row>
    <row r="261" ht="18" customHeight="1">
      <c r="A261" s="46" t="n">
        <v>257</v>
      </c>
      <c r="B261" s="47">
        <f>IFERROR(IF(C261&lt;=0.01,"",EDATE(B260,1)),"")</f>
        <v/>
      </c>
      <c r="C261" s="48">
        <f>IF(G260&lt;=0.01,0,G260)</f>
        <v/>
      </c>
      <c r="D261" s="48">
        <f>IF(C261&lt;=0.01,0,F261+E261)</f>
        <v/>
      </c>
      <c r="E261" s="49">
        <f>IF(C261&lt;=0.01,0,ROUND(C261*Calculadora!$C$7/12,2))</f>
        <v/>
      </c>
      <c r="F261" s="48">
        <f>IF(C261&lt;=0.01,0,ROUND(Calculadora!$C$6/Calculadora!$C$8,2))</f>
        <v/>
      </c>
      <c r="G261" s="48">
        <f>IF(C261&lt;=0.01,0,MAX(ROUND(C261-F261,2),0))</f>
        <v/>
      </c>
      <c r="H261" s="50">
        <f>IFERROR(IF(Calculadora!$C$6&gt;0,1-(G261/Calculadora!$C$6),0),0)</f>
        <v/>
      </c>
    </row>
    <row r="262" ht="18" customHeight="1">
      <c r="A262" s="46" t="n">
        <v>258</v>
      </c>
      <c r="B262" s="47">
        <f>IFERROR(IF(C262&lt;=0.01,"",EDATE(B261,1)),"")</f>
        <v/>
      </c>
      <c r="C262" s="48">
        <f>IF(G261&lt;=0.01,0,G261)</f>
        <v/>
      </c>
      <c r="D262" s="48">
        <f>IF(C262&lt;=0.01,0,F262+E262)</f>
        <v/>
      </c>
      <c r="E262" s="49">
        <f>IF(C262&lt;=0.01,0,ROUND(C262*Calculadora!$C$7/12,2))</f>
        <v/>
      </c>
      <c r="F262" s="48">
        <f>IF(C262&lt;=0.01,0,ROUND(Calculadora!$C$6/Calculadora!$C$8,2))</f>
        <v/>
      </c>
      <c r="G262" s="48">
        <f>IF(C262&lt;=0.01,0,MAX(ROUND(C262-F262,2),0))</f>
        <v/>
      </c>
      <c r="H262" s="50">
        <f>IFERROR(IF(Calculadora!$C$6&gt;0,1-(G262/Calculadora!$C$6),0),0)</f>
        <v/>
      </c>
    </row>
    <row r="263" ht="18" customHeight="1">
      <c r="A263" s="46" t="n">
        <v>259</v>
      </c>
      <c r="B263" s="47">
        <f>IFERROR(IF(C263&lt;=0.01,"",EDATE(B262,1)),"")</f>
        <v/>
      </c>
      <c r="C263" s="48">
        <f>IF(G262&lt;=0.01,0,G262)</f>
        <v/>
      </c>
      <c r="D263" s="48">
        <f>IF(C263&lt;=0.01,0,F263+E263)</f>
        <v/>
      </c>
      <c r="E263" s="49">
        <f>IF(C263&lt;=0.01,0,ROUND(C263*Calculadora!$C$7/12,2))</f>
        <v/>
      </c>
      <c r="F263" s="48">
        <f>IF(C263&lt;=0.01,0,ROUND(Calculadora!$C$6/Calculadora!$C$8,2))</f>
        <v/>
      </c>
      <c r="G263" s="48">
        <f>IF(C263&lt;=0.01,0,MAX(ROUND(C263-F263,2),0))</f>
        <v/>
      </c>
      <c r="H263" s="50">
        <f>IFERROR(IF(Calculadora!$C$6&gt;0,1-(G263/Calculadora!$C$6),0),0)</f>
        <v/>
      </c>
    </row>
    <row r="264" ht="18" customHeight="1">
      <c r="A264" s="46" t="n">
        <v>260</v>
      </c>
      <c r="B264" s="47">
        <f>IFERROR(IF(C264&lt;=0.01,"",EDATE(B263,1)),"")</f>
        <v/>
      </c>
      <c r="C264" s="48">
        <f>IF(G263&lt;=0.01,0,G263)</f>
        <v/>
      </c>
      <c r="D264" s="48">
        <f>IF(C264&lt;=0.01,0,F264+E264)</f>
        <v/>
      </c>
      <c r="E264" s="49">
        <f>IF(C264&lt;=0.01,0,ROUND(C264*Calculadora!$C$7/12,2))</f>
        <v/>
      </c>
      <c r="F264" s="48">
        <f>IF(C264&lt;=0.01,0,ROUND(Calculadora!$C$6/Calculadora!$C$8,2))</f>
        <v/>
      </c>
      <c r="G264" s="48">
        <f>IF(C264&lt;=0.01,0,MAX(ROUND(C264-F264,2),0))</f>
        <v/>
      </c>
      <c r="H264" s="50">
        <f>IFERROR(IF(Calculadora!$C$6&gt;0,1-(G264/Calculadora!$C$6),0),0)</f>
        <v/>
      </c>
    </row>
    <row r="265" ht="18" customHeight="1">
      <c r="A265" s="46" t="n">
        <v>261</v>
      </c>
      <c r="B265" s="47">
        <f>IFERROR(IF(C265&lt;=0.01,"",EDATE(B264,1)),"")</f>
        <v/>
      </c>
      <c r="C265" s="48">
        <f>IF(G264&lt;=0.01,0,G264)</f>
        <v/>
      </c>
      <c r="D265" s="48">
        <f>IF(C265&lt;=0.01,0,F265+E265)</f>
        <v/>
      </c>
      <c r="E265" s="49">
        <f>IF(C265&lt;=0.01,0,ROUND(C265*Calculadora!$C$7/12,2))</f>
        <v/>
      </c>
      <c r="F265" s="48">
        <f>IF(C265&lt;=0.01,0,ROUND(Calculadora!$C$6/Calculadora!$C$8,2))</f>
        <v/>
      </c>
      <c r="G265" s="48">
        <f>IF(C265&lt;=0.01,0,MAX(ROUND(C265-F265,2),0))</f>
        <v/>
      </c>
      <c r="H265" s="50">
        <f>IFERROR(IF(Calculadora!$C$6&gt;0,1-(G265/Calculadora!$C$6),0),0)</f>
        <v/>
      </c>
    </row>
    <row r="266" ht="18" customHeight="1">
      <c r="A266" s="46" t="n">
        <v>262</v>
      </c>
      <c r="B266" s="47">
        <f>IFERROR(IF(C266&lt;=0.01,"",EDATE(B265,1)),"")</f>
        <v/>
      </c>
      <c r="C266" s="48">
        <f>IF(G265&lt;=0.01,0,G265)</f>
        <v/>
      </c>
      <c r="D266" s="48">
        <f>IF(C266&lt;=0.01,0,F266+E266)</f>
        <v/>
      </c>
      <c r="E266" s="49">
        <f>IF(C266&lt;=0.01,0,ROUND(C266*Calculadora!$C$7/12,2))</f>
        <v/>
      </c>
      <c r="F266" s="48">
        <f>IF(C266&lt;=0.01,0,ROUND(Calculadora!$C$6/Calculadora!$C$8,2))</f>
        <v/>
      </c>
      <c r="G266" s="48">
        <f>IF(C266&lt;=0.01,0,MAX(ROUND(C266-F266,2),0))</f>
        <v/>
      </c>
      <c r="H266" s="50">
        <f>IFERROR(IF(Calculadora!$C$6&gt;0,1-(G266/Calculadora!$C$6),0),0)</f>
        <v/>
      </c>
    </row>
    <row r="267" ht="18" customHeight="1">
      <c r="A267" s="46" t="n">
        <v>263</v>
      </c>
      <c r="B267" s="47">
        <f>IFERROR(IF(C267&lt;=0.01,"",EDATE(B266,1)),"")</f>
        <v/>
      </c>
      <c r="C267" s="48">
        <f>IF(G266&lt;=0.01,0,G266)</f>
        <v/>
      </c>
      <c r="D267" s="48">
        <f>IF(C267&lt;=0.01,0,F267+E267)</f>
        <v/>
      </c>
      <c r="E267" s="49">
        <f>IF(C267&lt;=0.01,0,ROUND(C267*Calculadora!$C$7/12,2))</f>
        <v/>
      </c>
      <c r="F267" s="48">
        <f>IF(C267&lt;=0.01,0,ROUND(Calculadora!$C$6/Calculadora!$C$8,2))</f>
        <v/>
      </c>
      <c r="G267" s="48">
        <f>IF(C267&lt;=0.01,0,MAX(ROUND(C267-F267,2),0))</f>
        <v/>
      </c>
      <c r="H267" s="50">
        <f>IFERROR(IF(Calculadora!$C$6&gt;0,1-(G267/Calculadora!$C$6),0),0)</f>
        <v/>
      </c>
    </row>
    <row r="268" ht="18" customHeight="1">
      <c r="A268" s="46" t="n">
        <v>264</v>
      </c>
      <c r="B268" s="47">
        <f>IFERROR(IF(C268&lt;=0.01,"",EDATE(B267,1)),"")</f>
        <v/>
      </c>
      <c r="C268" s="48">
        <f>IF(G267&lt;=0.01,0,G267)</f>
        <v/>
      </c>
      <c r="D268" s="48">
        <f>IF(C268&lt;=0.01,0,F268+E268)</f>
        <v/>
      </c>
      <c r="E268" s="49">
        <f>IF(C268&lt;=0.01,0,ROUND(C268*Calculadora!$C$7/12,2))</f>
        <v/>
      </c>
      <c r="F268" s="48">
        <f>IF(C268&lt;=0.01,0,ROUND(Calculadora!$C$6/Calculadora!$C$8,2))</f>
        <v/>
      </c>
      <c r="G268" s="48">
        <f>IF(C268&lt;=0.01,0,MAX(ROUND(C268-F268,2),0))</f>
        <v/>
      </c>
      <c r="H268" s="50">
        <f>IFERROR(IF(Calculadora!$C$6&gt;0,1-(G268/Calculadora!$C$6),0),0)</f>
        <v/>
      </c>
    </row>
    <row r="269" ht="18" customHeight="1">
      <c r="A269" s="46" t="n">
        <v>265</v>
      </c>
      <c r="B269" s="47">
        <f>IFERROR(IF(C269&lt;=0.01,"",EDATE(B268,1)),"")</f>
        <v/>
      </c>
      <c r="C269" s="48">
        <f>IF(G268&lt;=0.01,0,G268)</f>
        <v/>
      </c>
      <c r="D269" s="48">
        <f>IF(C269&lt;=0.01,0,F269+E269)</f>
        <v/>
      </c>
      <c r="E269" s="49">
        <f>IF(C269&lt;=0.01,0,ROUND(C269*Calculadora!$C$7/12,2))</f>
        <v/>
      </c>
      <c r="F269" s="48">
        <f>IF(C269&lt;=0.01,0,ROUND(Calculadora!$C$6/Calculadora!$C$8,2))</f>
        <v/>
      </c>
      <c r="G269" s="48">
        <f>IF(C269&lt;=0.01,0,MAX(ROUND(C269-F269,2),0))</f>
        <v/>
      </c>
      <c r="H269" s="50">
        <f>IFERROR(IF(Calculadora!$C$6&gt;0,1-(G269/Calculadora!$C$6),0),0)</f>
        <v/>
      </c>
    </row>
    <row r="270" ht="18" customHeight="1">
      <c r="A270" s="46" t="n">
        <v>266</v>
      </c>
      <c r="B270" s="47">
        <f>IFERROR(IF(C270&lt;=0.01,"",EDATE(B269,1)),"")</f>
        <v/>
      </c>
      <c r="C270" s="48">
        <f>IF(G269&lt;=0.01,0,G269)</f>
        <v/>
      </c>
      <c r="D270" s="48">
        <f>IF(C270&lt;=0.01,0,F270+E270)</f>
        <v/>
      </c>
      <c r="E270" s="49">
        <f>IF(C270&lt;=0.01,0,ROUND(C270*Calculadora!$C$7/12,2))</f>
        <v/>
      </c>
      <c r="F270" s="48">
        <f>IF(C270&lt;=0.01,0,ROUND(Calculadora!$C$6/Calculadora!$C$8,2))</f>
        <v/>
      </c>
      <c r="G270" s="48">
        <f>IF(C270&lt;=0.01,0,MAX(ROUND(C270-F270,2),0))</f>
        <v/>
      </c>
      <c r="H270" s="50">
        <f>IFERROR(IF(Calculadora!$C$6&gt;0,1-(G270/Calculadora!$C$6),0),0)</f>
        <v/>
      </c>
    </row>
    <row r="271" ht="18" customHeight="1">
      <c r="A271" s="46" t="n">
        <v>267</v>
      </c>
      <c r="B271" s="47">
        <f>IFERROR(IF(C271&lt;=0.01,"",EDATE(B270,1)),"")</f>
        <v/>
      </c>
      <c r="C271" s="48">
        <f>IF(G270&lt;=0.01,0,G270)</f>
        <v/>
      </c>
      <c r="D271" s="48">
        <f>IF(C271&lt;=0.01,0,F271+E271)</f>
        <v/>
      </c>
      <c r="E271" s="49">
        <f>IF(C271&lt;=0.01,0,ROUND(C271*Calculadora!$C$7/12,2))</f>
        <v/>
      </c>
      <c r="F271" s="48">
        <f>IF(C271&lt;=0.01,0,ROUND(Calculadora!$C$6/Calculadora!$C$8,2))</f>
        <v/>
      </c>
      <c r="G271" s="48">
        <f>IF(C271&lt;=0.01,0,MAX(ROUND(C271-F271,2),0))</f>
        <v/>
      </c>
      <c r="H271" s="50">
        <f>IFERROR(IF(Calculadora!$C$6&gt;0,1-(G271/Calculadora!$C$6),0),0)</f>
        <v/>
      </c>
    </row>
    <row r="272" ht="18" customHeight="1">
      <c r="A272" s="46" t="n">
        <v>268</v>
      </c>
      <c r="B272" s="47">
        <f>IFERROR(IF(C272&lt;=0.01,"",EDATE(B271,1)),"")</f>
        <v/>
      </c>
      <c r="C272" s="48">
        <f>IF(G271&lt;=0.01,0,G271)</f>
        <v/>
      </c>
      <c r="D272" s="48">
        <f>IF(C272&lt;=0.01,0,F272+E272)</f>
        <v/>
      </c>
      <c r="E272" s="49">
        <f>IF(C272&lt;=0.01,0,ROUND(C272*Calculadora!$C$7/12,2))</f>
        <v/>
      </c>
      <c r="F272" s="48">
        <f>IF(C272&lt;=0.01,0,ROUND(Calculadora!$C$6/Calculadora!$C$8,2))</f>
        <v/>
      </c>
      <c r="G272" s="48">
        <f>IF(C272&lt;=0.01,0,MAX(ROUND(C272-F272,2),0))</f>
        <v/>
      </c>
      <c r="H272" s="50">
        <f>IFERROR(IF(Calculadora!$C$6&gt;0,1-(G272/Calculadora!$C$6),0),0)</f>
        <v/>
      </c>
    </row>
    <row r="273" ht="18" customHeight="1">
      <c r="A273" s="46" t="n">
        <v>269</v>
      </c>
      <c r="B273" s="47">
        <f>IFERROR(IF(C273&lt;=0.01,"",EDATE(B272,1)),"")</f>
        <v/>
      </c>
      <c r="C273" s="48">
        <f>IF(G272&lt;=0.01,0,G272)</f>
        <v/>
      </c>
      <c r="D273" s="48">
        <f>IF(C273&lt;=0.01,0,F273+E273)</f>
        <v/>
      </c>
      <c r="E273" s="49">
        <f>IF(C273&lt;=0.01,0,ROUND(C273*Calculadora!$C$7/12,2))</f>
        <v/>
      </c>
      <c r="F273" s="48">
        <f>IF(C273&lt;=0.01,0,ROUND(Calculadora!$C$6/Calculadora!$C$8,2))</f>
        <v/>
      </c>
      <c r="G273" s="48">
        <f>IF(C273&lt;=0.01,0,MAX(ROUND(C273-F273,2),0))</f>
        <v/>
      </c>
      <c r="H273" s="50">
        <f>IFERROR(IF(Calculadora!$C$6&gt;0,1-(G273/Calculadora!$C$6),0),0)</f>
        <v/>
      </c>
    </row>
    <row r="274" ht="18" customHeight="1">
      <c r="A274" s="46" t="n">
        <v>270</v>
      </c>
      <c r="B274" s="47">
        <f>IFERROR(IF(C274&lt;=0.01,"",EDATE(B273,1)),"")</f>
        <v/>
      </c>
      <c r="C274" s="48">
        <f>IF(G273&lt;=0.01,0,G273)</f>
        <v/>
      </c>
      <c r="D274" s="48">
        <f>IF(C274&lt;=0.01,0,F274+E274)</f>
        <v/>
      </c>
      <c r="E274" s="49">
        <f>IF(C274&lt;=0.01,0,ROUND(C274*Calculadora!$C$7/12,2))</f>
        <v/>
      </c>
      <c r="F274" s="48">
        <f>IF(C274&lt;=0.01,0,ROUND(Calculadora!$C$6/Calculadora!$C$8,2))</f>
        <v/>
      </c>
      <c r="G274" s="48">
        <f>IF(C274&lt;=0.01,0,MAX(ROUND(C274-F274,2),0))</f>
        <v/>
      </c>
      <c r="H274" s="50">
        <f>IFERROR(IF(Calculadora!$C$6&gt;0,1-(G274/Calculadora!$C$6),0),0)</f>
        <v/>
      </c>
    </row>
    <row r="275" ht="18" customHeight="1">
      <c r="A275" s="46" t="n">
        <v>271</v>
      </c>
      <c r="B275" s="47">
        <f>IFERROR(IF(C275&lt;=0.01,"",EDATE(B274,1)),"")</f>
        <v/>
      </c>
      <c r="C275" s="48">
        <f>IF(G274&lt;=0.01,0,G274)</f>
        <v/>
      </c>
      <c r="D275" s="48">
        <f>IF(C275&lt;=0.01,0,F275+E275)</f>
        <v/>
      </c>
      <c r="E275" s="49">
        <f>IF(C275&lt;=0.01,0,ROUND(C275*Calculadora!$C$7/12,2))</f>
        <v/>
      </c>
      <c r="F275" s="48">
        <f>IF(C275&lt;=0.01,0,ROUND(Calculadora!$C$6/Calculadora!$C$8,2))</f>
        <v/>
      </c>
      <c r="G275" s="48">
        <f>IF(C275&lt;=0.01,0,MAX(ROUND(C275-F275,2),0))</f>
        <v/>
      </c>
      <c r="H275" s="50">
        <f>IFERROR(IF(Calculadora!$C$6&gt;0,1-(G275/Calculadora!$C$6),0),0)</f>
        <v/>
      </c>
    </row>
    <row r="276" ht="18" customHeight="1">
      <c r="A276" s="46" t="n">
        <v>272</v>
      </c>
      <c r="B276" s="47">
        <f>IFERROR(IF(C276&lt;=0.01,"",EDATE(B275,1)),"")</f>
        <v/>
      </c>
      <c r="C276" s="48">
        <f>IF(G275&lt;=0.01,0,G275)</f>
        <v/>
      </c>
      <c r="D276" s="48">
        <f>IF(C276&lt;=0.01,0,F276+E276)</f>
        <v/>
      </c>
      <c r="E276" s="49">
        <f>IF(C276&lt;=0.01,0,ROUND(C276*Calculadora!$C$7/12,2))</f>
        <v/>
      </c>
      <c r="F276" s="48">
        <f>IF(C276&lt;=0.01,0,ROUND(Calculadora!$C$6/Calculadora!$C$8,2))</f>
        <v/>
      </c>
      <c r="G276" s="48">
        <f>IF(C276&lt;=0.01,0,MAX(ROUND(C276-F276,2),0))</f>
        <v/>
      </c>
      <c r="H276" s="50">
        <f>IFERROR(IF(Calculadora!$C$6&gt;0,1-(G276/Calculadora!$C$6),0),0)</f>
        <v/>
      </c>
    </row>
    <row r="277" ht="18" customHeight="1">
      <c r="A277" s="46" t="n">
        <v>273</v>
      </c>
      <c r="B277" s="47">
        <f>IFERROR(IF(C277&lt;=0.01,"",EDATE(B276,1)),"")</f>
        <v/>
      </c>
      <c r="C277" s="48">
        <f>IF(G276&lt;=0.01,0,G276)</f>
        <v/>
      </c>
      <c r="D277" s="48">
        <f>IF(C277&lt;=0.01,0,F277+E277)</f>
        <v/>
      </c>
      <c r="E277" s="49">
        <f>IF(C277&lt;=0.01,0,ROUND(C277*Calculadora!$C$7/12,2))</f>
        <v/>
      </c>
      <c r="F277" s="48">
        <f>IF(C277&lt;=0.01,0,ROUND(Calculadora!$C$6/Calculadora!$C$8,2))</f>
        <v/>
      </c>
      <c r="G277" s="48">
        <f>IF(C277&lt;=0.01,0,MAX(ROUND(C277-F277,2),0))</f>
        <v/>
      </c>
      <c r="H277" s="50">
        <f>IFERROR(IF(Calculadora!$C$6&gt;0,1-(G277/Calculadora!$C$6),0),0)</f>
        <v/>
      </c>
    </row>
    <row r="278" ht="18" customHeight="1">
      <c r="A278" s="46" t="n">
        <v>274</v>
      </c>
      <c r="B278" s="47">
        <f>IFERROR(IF(C278&lt;=0.01,"",EDATE(B277,1)),"")</f>
        <v/>
      </c>
      <c r="C278" s="48">
        <f>IF(G277&lt;=0.01,0,G277)</f>
        <v/>
      </c>
      <c r="D278" s="48">
        <f>IF(C278&lt;=0.01,0,F278+E278)</f>
        <v/>
      </c>
      <c r="E278" s="49">
        <f>IF(C278&lt;=0.01,0,ROUND(C278*Calculadora!$C$7/12,2))</f>
        <v/>
      </c>
      <c r="F278" s="48">
        <f>IF(C278&lt;=0.01,0,ROUND(Calculadora!$C$6/Calculadora!$C$8,2))</f>
        <v/>
      </c>
      <c r="G278" s="48">
        <f>IF(C278&lt;=0.01,0,MAX(ROUND(C278-F278,2),0))</f>
        <v/>
      </c>
      <c r="H278" s="50">
        <f>IFERROR(IF(Calculadora!$C$6&gt;0,1-(G278/Calculadora!$C$6),0),0)</f>
        <v/>
      </c>
    </row>
    <row r="279" ht="18" customHeight="1">
      <c r="A279" s="46" t="n">
        <v>275</v>
      </c>
      <c r="B279" s="47">
        <f>IFERROR(IF(C279&lt;=0.01,"",EDATE(B278,1)),"")</f>
        <v/>
      </c>
      <c r="C279" s="48">
        <f>IF(G278&lt;=0.01,0,G278)</f>
        <v/>
      </c>
      <c r="D279" s="48">
        <f>IF(C279&lt;=0.01,0,F279+E279)</f>
        <v/>
      </c>
      <c r="E279" s="49">
        <f>IF(C279&lt;=0.01,0,ROUND(C279*Calculadora!$C$7/12,2))</f>
        <v/>
      </c>
      <c r="F279" s="48">
        <f>IF(C279&lt;=0.01,0,ROUND(Calculadora!$C$6/Calculadora!$C$8,2))</f>
        <v/>
      </c>
      <c r="G279" s="48">
        <f>IF(C279&lt;=0.01,0,MAX(ROUND(C279-F279,2),0))</f>
        <v/>
      </c>
      <c r="H279" s="50">
        <f>IFERROR(IF(Calculadora!$C$6&gt;0,1-(G279/Calculadora!$C$6),0),0)</f>
        <v/>
      </c>
    </row>
    <row r="280" ht="18" customHeight="1">
      <c r="A280" s="46" t="n">
        <v>276</v>
      </c>
      <c r="B280" s="47">
        <f>IFERROR(IF(C280&lt;=0.01,"",EDATE(B279,1)),"")</f>
        <v/>
      </c>
      <c r="C280" s="48">
        <f>IF(G279&lt;=0.01,0,G279)</f>
        <v/>
      </c>
      <c r="D280" s="48">
        <f>IF(C280&lt;=0.01,0,F280+E280)</f>
        <v/>
      </c>
      <c r="E280" s="49">
        <f>IF(C280&lt;=0.01,0,ROUND(C280*Calculadora!$C$7/12,2))</f>
        <v/>
      </c>
      <c r="F280" s="48">
        <f>IF(C280&lt;=0.01,0,ROUND(Calculadora!$C$6/Calculadora!$C$8,2))</f>
        <v/>
      </c>
      <c r="G280" s="48">
        <f>IF(C280&lt;=0.01,0,MAX(ROUND(C280-F280,2),0))</f>
        <v/>
      </c>
      <c r="H280" s="50">
        <f>IFERROR(IF(Calculadora!$C$6&gt;0,1-(G280/Calculadora!$C$6),0),0)</f>
        <v/>
      </c>
    </row>
    <row r="281" ht="18" customHeight="1">
      <c r="A281" s="46" t="n">
        <v>277</v>
      </c>
      <c r="B281" s="47">
        <f>IFERROR(IF(C281&lt;=0.01,"",EDATE(B280,1)),"")</f>
        <v/>
      </c>
      <c r="C281" s="48">
        <f>IF(G280&lt;=0.01,0,G280)</f>
        <v/>
      </c>
      <c r="D281" s="48">
        <f>IF(C281&lt;=0.01,0,F281+E281)</f>
        <v/>
      </c>
      <c r="E281" s="49">
        <f>IF(C281&lt;=0.01,0,ROUND(C281*Calculadora!$C$7/12,2))</f>
        <v/>
      </c>
      <c r="F281" s="48">
        <f>IF(C281&lt;=0.01,0,ROUND(Calculadora!$C$6/Calculadora!$C$8,2))</f>
        <v/>
      </c>
      <c r="G281" s="48">
        <f>IF(C281&lt;=0.01,0,MAX(ROUND(C281-F281,2),0))</f>
        <v/>
      </c>
      <c r="H281" s="50">
        <f>IFERROR(IF(Calculadora!$C$6&gt;0,1-(G281/Calculadora!$C$6),0),0)</f>
        <v/>
      </c>
    </row>
    <row r="282" ht="18" customHeight="1">
      <c r="A282" s="46" t="n">
        <v>278</v>
      </c>
      <c r="B282" s="47">
        <f>IFERROR(IF(C282&lt;=0.01,"",EDATE(B281,1)),"")</f>
        <v/>
      </c>
      <c r="C282" s="48">
        <f>IF(G281&lt;=0.01,0,G281)</f>
        <v/>
      </c>
      <c r="D282" s="48">
        <f>IF(C282&lt;=0.01,0,F282+E282)</f>
        <v/>
      </c>
      <c r="E282" s="49">
        <f>IF(C282&lt;=0.01,0,ROUND(C282*Calculadora!$C$7/12,2))</f>
        <v/>
      </c>
      <c r="F282" s="48">
        <f>IF(C282&lt;=0.01,0,ROUND(Calculadora!$C$6/Calculadora!$C$8,2))</f>
        <v/>
      </c>
      <c r="G282" s="48">
        <f>IF(C282&lt;=0.01,0,MAX(ROUND(C282-F282,2),0))</f>
        <v/>
      </c>
      <c r="H282" s="50">
        <f>IFERROR(IF(Calculadora!$C$6&gt;0,1-(G282/Calculadora!$C$6),0),0)</f>
        <v/>
      </c>
    </row>
    <row r="283" ht="18" customHeight="1">
      <c r="A283" s="46" t="n">
        <v>279</v>
      </c>
      <c r="B283" s="47">
        <f>IFERROR(IF(C283&lt;=0.01,"",EDATE(B282,1)),"")</f>
        <v/>
      </c>
      <c r="C283" s="48">
        <f>IF(G282&lt;=0.01,0,G282)</f>
        <v/>
      </c>
      <c r="D283" s="48">
        <f>IF(C283&lt;=0.01,0,F283+E283)</f>
        <v/>
      </c>
      <c r="E283" s="49">
        <f>IF(C283&lt;=0.01,0,ROUND(C283*Calculadora!$C$7/12,2))</f>
        <v/>
      </c>
      <c r="F283" s="48">
        <f>IF(C283&lt;=0.01,0,ROUND(Calculadora!$C$6/Calculadora!$C$8,2))</f>
        <v/>
      </c>
      <c r="G283" s="48">
        <f>IF(C283&lt;=0.01,0,MAX(ROUND(C283-F283,2),0))</f>
        <v/>
      </c>
      <c r="H283" s="50">
        <f>IFERROR(IF(Calculadora!$C$6&gt;0,1-(G283/Calculadora!$C$6),0),0)</f>
        <v/>
      </c>
    </row>
    <row r="284" ht="18" customHeight="1">
      <c r="A284" s="46" t="n">
        <v>280</v>
      </c>
      <c r="B284" s="47">
        <f>IFERROR(IF(C284&lt;=0.01,"",EDATE(B283,1)),"")</f>
        <v/>
      </c>
      <c r="C284" s="48">
        <f>IF(G283&lt;=0.01,0,G283)</f>
        <v/>
      </c>
      <c r="D284" s="48">
        <f>IF(C284&lt;=0.01,0,F284+E284)</f>
        <v/>
      </c>
      <c r="E284" s="49">
        <f>IF(C284&lt;=0.01,0,ROUND(C284*Calculadora!$C$7/12,2))</f>
        <v/>
      </c>
      <c r="F284" s="48">
        <f>IF(C284&lt;=0.01,0,ROUND(Calculadora!$C$6/Calculadora!$C$8,2))</f>
        <v/>
      </c>
      <c r="G284" s="48">
        <f>IF(C284&lt;=0.01,0,MAX(ROUND(C284-F284,2),0))</f>
        <v/>
      </c>
      <c r="H284" s="50">
        <f>IFERROR(IF(Calculadora!$C$6&gt;0,1-(G284/Calculadora!$C$6),0),0)</f>
        <v/>
      </c>
    </row>
    <row r="285" ht="18" customHeight="1">
      <c r="A285" s="46" t="n">
        <v>281</v>
      </c>
      <c r="B285" s="47">
        <f>IFERROR(IF(C285&lt;=0.01,"",EDATE(B284,1)),"")</f>
        <v/>
      </c>
      <c r="C285" s="48">
        <f>IF(G284&lt;=0.01,0,G284)</f>
        <v/>
      </c>
      <c r="D285" s="48">
        <f>IF(C285&lt;=0.01,0,F285+E285)</f>
        <v/>
      </c>
      <c r="E285" s="49">
        <f>IF(C285&lt;=0.01,0,ROUND(C285*Calculadora!$C$7/12,2))</f>
        <v/>
      </c>
      <c r="F285" s="48">
        <f>IF(C285&lt;=0.01,0,ROUND(Calculadora!$C$6/Calculadora!$C$8,2))</f>
        <v/>
      </c>
      <c r="G285" s="48">
        <f>IF(C285&lt;=0.01,0,MAX(ROUND(C285-F285,2),0))</f>
        <v/>
      </c>
      <c r="H285" s="50">
        <f>IFERROR(IF(Calculadora!$C$6&gt;0,1-(G285/Calculadora!$C$6),0),0)</f>
        <v/>
      </c>
    </row>
    <row r="286" ht="18" customHeight="1">
      <c r="A286" s="46" t="n">
        <v>282</v>
      </c>
      <c r="B286" s="47">
        <f>IFERROR(IF(C286&lt;=0.01,"",EDATE(B285,1)),"")</f>
        <v/>
      </c>
      <c r="C286" s="48">
        <f>IF(G285&lt;=0.01,0,G285)</f>
        <v/>
      </c>
      <c r="D286" s="48">
        <f>IF(C286&lt;=0.01,0,F286+E286)</f>
        <v/>
      </c>
      <c r="E286" s="49">
        <f>IF(C286&lt;=0.01,0,ROUND(C286*Calculadora!$C$7/12,2))</f>
        <v/>
      </c>
      <c r="F286" s="48">
        <f>IF(C286&lt;=0.01,0,ROUND(Calculadora!$C$6/Calculadora!$C$8,2))</f>
        <v/>
      </c>
      <c r="G286" s="48">
        <f>IF(C286&lt;=0.01,0,MAX(ROUND(C286-F286,2),0))</f>
        <v/>
      </c>
      <c r="H286" s="50">
        <f>IFERROR(IF(Calculadora!$C$6&gt;0,1-(G286/Calculadora!$C$6),0),0)</f>
        <v/>
      </c>
    </row>
    <row r="287" ht="18" customHeight="1">
      <c r="A287" s="46" t="n">
        <v>283</v>
      </c>
      <c r="B287" s="47">
        <f>IFERROR(IF(C287&lt;=0.01,"",EDATE(B286,1)),"")</f>
        <v/>
      </c>
      <c r="C287" s="48">
        <f>IF(G286&lt;=0.01,0,G286)</f>
        <v/>
      </c>
      <c r="D287" s="48">
        <f>IF(C287&lt;=0.01,0,F287+E287)</f>
        <v/>
      </c>
      <c r="E287" s="49">
        <f>IF(C287&lt;=0.01,0,ROUND(C287*Calculadora!$C$7/12,2))</f>
        <v/>
      </c>
      <c r="F287" s="48">
        <f>IF(C287&lt;=0.01,0,ROUND(Calculadora!$C$6/Calculadora!$C$8,2))</f>
        <v/>
      </c>
      <c r="G287" s="48">
        <f>IF(C287&lt;=0.01,0,MAX(ROUND(C287-F287,2),0))</f>
        <v/>
      </c>
      <c r="H287" s="50">
        <f>IFERROR(IF(Calculadora!$C$6&gt;0,1-(G287/Calculadora!$C$6),0),0)</f>
        <v/>
      </c>
    </row>
    <row r="288" ht="18" customHeight="1">
      <c r="A288" s="46" t="n">
        <v>284</v>
      </c>
      <c r="B288" s="47">
        <f>IFERROR(IF(C288&lt;=0.01,"",EDATE(B287,1)),"")</f>
        <v/>
      </c>
      <c r="C288" s="48">
        <f>IF(G287&lt;=0.01,0,G287)</f>
        <v/>
      </c>
      <c r="D288" s="48">
        <f>IF(C288&lt;=0.01,0,F288+E288)</f>
        <v/>
      </c>
      <c r="E288" s="49">
        <f>IF(C288&lt;=0.01,0,ROUND(C288*Calculadora!$C$7/12,2))</f>
        <v/>
      </c>
      <c r="F288" s="48">
        <f>IF(C288&lt;=0.01,0,ROUND(Calculadora!$C$6/Calculadora!$C$8,2))</f>
        <v/>
      </c>
      <c r="G288" s="48">
        <f>IF(C288&lt;=0.01,0,MAX(ROUND(C288-F288,2),0))</f>
        <v/>
      </c>
      <c r="H288" s="50">
        <f>IFERROR(IF(Calculadora!$C$6&gt;0,1-(G288/Calculadora!$C$6),0),0)</f>
        <v/>
      </c>
    </row>
    <row r="289" ht="18" customHeight="1">
      <c r="A289" s="46" t="n">
        <v>285</v>
      </c>
      <c r="B289" s="47">
        <f>IFERROR(IF(C289&lt;=0.01,"",EDATE(B288,1)),"")</f>
        <v/>
      </c>
      <c r="C289" s="48">
        <f>IF(G288&lt;=0.01,0,G288)</f>
        <v/>
      </c>
      <c r="D289" s="48">
        <f>IF(C289&lt;=0.01,0,F289+E289)</f>
        <v/>
      </c>
      <c r="E289" s="49">
        <f>IF(C289&lt;=0.01,0,ROUND(C289*Calculadora!$C$7/12,2))</f>
        <v/>
      </c>
      <c r="F289" s="48">
        <f>IF(C289&lt;=0.01,0,ROUND(Calculadora!$C$6/Calculadora!$C$8,2))</f>
        <v/>
      </c>
      <c r="G289" s="48">
        <f>IF(C289&lt;=0.01,0,MAX(ROUND(C289-F289,2),0))</f>
        <v/>
      </c>
      <c r="H289" s="50">
        <f>IFERROR(IF(Calculadora!$C$6&gt;0,1-(G289/Calculadora!$C$6),0),0)</f>
        <v/>
      </c>
    </row>
    <row r="290" ht="18" customHeight="1">
      <c r="A290" s="46" t="n">
        <v>286</v>
      </c>
      <c r="B290" s="47">
        <f>IFERROR(IF(C290&lt;=0.01,"",EDATE(B289,1)),"")</f>
        <v/>
      </c>
      <c r="C290" s="48">
        <f>IF(G289&lt;=0.01,0,G289)</f>
        <v/>
      </c>
      <c r="D290" s="48">
        <f>IF(C290&lt;=0.01,0,F290+E290)</f>
        <v/>
      </c>
      <c r="E290" s="49">
        <f>IF(C290&lt;=0.01,0,ROUND(C290*Calculadora!$C$7/12,2))</f>
        <v/>
      </c>
      <c r="F290" s="48">
        <f>IF(C290&lt;=0.01,0,ROUND(Calculadora!$C$6/Calculadora!$C$8,2))</f>
        <v/>
      </c>
      <c r="G290" s="48">
        <f>IF(C290&lt;=0.01,0,MAX(ROUND(C290-F290,2),0))</f>
        <v/>
      </c>
      <c r="H290" s="50">
        <f>IFERROR(IF(Calculadora!$C$6&gt;0,1-(G290/Calculadora!$C$6),0),0)</f>
        <v/>
      </c>
    </row>
    <row r="291" ht="18" customHeight="1">
      <c r="A291" s="46" t="n">
        <v>287</v>
      </c>
      <c r="B291" s="47">
        <f>IFERROR(IF(C291&lt;=0.01,"",EDATE(B290,1)),"")</f>
        <v/>
      </c>
      <c r="C291" s="48">
        <f>IF(G290&lt;=0.01,0,G290)</f>
        <v/>
      </c>
      <c r="D291" s="48">
        <f>IF(C291&lt;=0.01,0,F291+E291)</f>
        <v/>
      </c>
      <c r="E291" s="49">
        <f>IF(C291&lt;=0.01,0,ROUND(C291*Calculadora!$C$7/12,2))</f>
        <v/>
      </c>
      <c r="F291" s="48">
        <f>IF(C291&lt;=0.01,0,ROUND(Calculadora!$C$6/Calculadora!$C$8,2))</f>
        <v/>
      </c>
      <c r="G291" s="48">
        <f>IF(C291&lt;=0.01,0,MAX(ROUND(C291-F291,2),0))</f>
        <v/>
      </c>
      <c r="H291" s="50">
        <f>IFERROR(IF(Calculadora!$C$6&gt;0,1-(G291/Calculadora!$C$6),0),0)</f>
        <v/>
      </c>
    </row>
    <row r="292" ht="18" customHeight="1">
      <c r="A292" s="46" t="n">
        <v>288</v>
      </c>
      <c r="B292" s="47">
        <f>IFERROR(IF(C292&lt;=0.01,"",EDATE(B291,1)),"")</f>
        <v/>
      </c>
      <c r="C292" s="48">
        <f>IF(G291&lt;=0.01,0,G291)</f>
        <v/>
      </c>
      <c r="D292" s="48">
        <f>IF(C292&lt;=0.01,0,F292+E292)</f>
        <v/>
      </c>
      <c r="E292" s="49">
        <f>IF(C292&lt;=0.01,0,ROUND(C292*Calculadora!$C$7/12,2))</f>
        <v/>
      </c>
      <c r="F292" s="48">
        <f>IF(C292&lt;=0.01,0,ROUND(Calculadora!$C$6/Calculadora!$C$8,2))</f>
        <v/>
      </c>
      <c r="G292" s="48">
        <f>IF(C292&lt;=0.01,0,MAX(ROUND(C292-F292,2),0))</f>
        <v/>
      </c>
      <c r="H292" s="50">
        <f>IFERROR(IF(Calculadora!$C$6&gt;0,1-(G292/Calculadora!$C$6),0),0)</f>
        <v/>
      </c>
    </row>
    <row r="293" ht="18" customHeight="1">
      <c r="A293" s="46" t="n">
        <v>289</v>
      </c>
      <c r="B293" s="47">
        <f>IFERROR(IF(C293&lt;=0.01,"",EDATE(B292,1)),"")</f>
        <v/>
      </c>
      <c r="C293" s="48">
        <f>IF(G292&lt;=0.01,0,G292)</f>
        <v/>
      </c>
      <c r="D293" s="48">
        <f>IF(C293&lt;=0.01,0,F293+E293)</f>
        <v/>
      </c>
      <c r="E293" s="49">
        <f>IF(C293&lt;=0.01,0,ROUND(C293*Calculadora!$C$7/12,2))</f>
        <v/>
      </c>
      <c r="F293" s="48">
        <f>IF(C293&lt;=0.01,0,ROUND(Calculadora!$C$6/Calculadora!$C$8,2))</f>
        <v/>
      </c>
      <c r="G293" s="48">
        <f>IF(C293&lt;=0.01,0,MAX(ROUND(C293-F293,2),0))</f>
        <v/>
      </c>
      <c r="H293" s="50">
        <f>IFERROR(IF(Calculadora!$C$6&gt;0,1-(G293/Calculadora!$C$6),0),0)</f>
        <v/>
      </c>
    </row>
    <row r="294" ht="18" customHeight="1">
      <c r="A294" s="46" t="n">
        <v>290</v>
      </c>
      <c r="B294" s="47">
        <f>IFERROR(IF(C294&lt;=0.01,"",EDATE(B293,1)),"")</f>
        <v/>
      </c>
      <c r="C294" s="48">
        <f>IF(G293&lt;=0.01,0,G293)</f>
        <v/>
      </c>
      <c r="D294" s="48">
        <f>IF(C294&lt;=0.01,0,F294+E294)</f>
        <v/>
      </c>
      <c r="E294" s="49">
        <f>IF(C294&lt;=0.01,0,ROUND(C294*Calculadora!$C$7/12,2))</f>
        <v/>
      </c>
      <c r="F294" s="48">
        <f>IF(C294&lt;=0.01,0,ROUND(Calculadora!$C$6/Calculadora!$C$8,2))</f>
        <v/>
      </c>
      <c r="G294" s="48">
        <f>IF(C294&lt;=0.01,0,MAX(ROUND(C294-F294,2),0))</f>
        <v/>
      </c>
      <c r="H294" s="50">
        <f>IFERROR(IF(Calculadora!$C$6&gt;0,1-(G294/Calculadora!$C$6),0),0)</f>
        <v/>
      </c>
    </row>
    <row r="295" ht="18" customHeight="1">
      <c r="A295" s="46" t="n">
        <v>291</v>
      </c>
      <c r="B295" s="47">
        <f>IFERROR(IF(C295&lt;=0.01,"",EDATE(B294,1)),"")</f>
        <v/>
      </c>
      <c r="C295" s="48">
        <f>IF(G294&lt;=0.01,0,G294)</f>
        <v/>
      </c>
      <c r="D295" s="48">
        <f>IF(C295&lt;=0.01,0,F295+E295)</f>
        <v/>
      </c>
      <c r="E295" s="49">
        <f>IF(C295&lt;=0.01,0,ROUND(C295*Calculadora!$C$7/12,2))</f>
        <v/>
      </c>
      <c r="F295" s="48">
        <f>IF(C295&lt;=0.01,0,ROUND(Calculadora!$C$6/Calculadora!$C$8,2))</f>
        <v/>
      </c>
      <c r="G295" s="48">
        <f>IF(C295&lt;=0.01,0,MAX(ROUND(C295-F295,2),0))</f>
        <v/>
      </c>
      <c r="H295" s="50">
        <f>IFERROR(IF(Calculadora!$C$6&gt;0,1-(G295/Calculadora!$C$6),0),0)</f>
        <v/>
      </c>
    </row>
    <row r="296" ht="18" customHeight="1">
      <c r="A296" s="46" t="n">
        <v>292</v>
      </c>
      <c r="B296" s="47">
        <f>IFERROR(IF(C296&lt;=0.01,"",EDATE(B295,1)),"")</f>
        <v/>
      </c>
      <c r="C296" s="48">
        <f>IF(G295&lt;=0.01,0,G295)</f>
        <v/>
      </c>
      <c r="D296" s="48">
        <f>IF(C296&lt;=0.01,0,F296+E296)</f>
        <v/>
      </c>
      <c r="E296" s="49">
        <f>IF(C296&lt;=0.01,0,ROUND(C296*Calculadora!$C$7/12,2))</f>
        <v/>
      </c>
      <c r="F296" s="48">
        <f>IF(C296&lt;=0.01,0,ROUND(Calculadora!$C$6/Calculadora!$C$8,2))</f>
        <v/>
      </c>
      <c r="G296" s="48">
        <f>IF(C296&lt;=0.01,0,MAX(ROUND(C296-F296,2),0))</f>
        <v/>
      </c>
      <c r="H296" s="50">
        <f>IFERROR(IF(Calculadora!$C$6&gt;0,1-(G296/Calculadora!$C$6),0),0)</f>
        <v/>
      </c>
    </row>
    <row r="297" ht="18" customHeight="1">
      <c r="A297" s="46" t="n">
        <v>293</v>
      </c>
      <c r="B297" s="47">
        <f>IFERROR(IF(C297&lt;=0.01,"",EDATE(B296,1)),"")</f>
        <v/>
      </c>
      <c r="C297" s="48">
        <f>IF(G296&lt;=0.01,0,G296)</f>
        <v/>
      </c>
      <c r="D297" s="48">
        <f>IF(C297&lt;=0.01,0,F297+E297)</f>
        <v/>
      </c>
      <c r="E297" s="49">
        <f>IF(C297&lt;=0.01,0,ROUND(C297*Calculadora!$C$7/12,2))</f>
        <v/>
      </c>
      <c r="F297" s="48">
        <f>IF(C297&lt;=0.01,0,ROUND(Calculadora!$C$6/Calculadora!$C$8,2))</f>
        <v/>
      </c>
      <c r="G297" s="48">
        <f>IF(C297&lt;=0.01,0,MAX(ROUND(C297-F297,2),0))</f>
        <v/>
      </c>
      <c r="H297" s="50">
        <f>IFERROR(IF(Calculadora!$C$6&gt;0,1-(G297/Calculadora!$C$6),0),0)</f>
        <v/>
      </c>
    </row>
    <row r="298" ht="18" customHeight="1">
      <c r="A298" s="46" t="n">
        <v>294</v>
      </c>
      <c r="B298" s="47">
        <f>IFERROR(IF(C298&lt;=0.01,"",EDATE(B297,1)),"")</f>
        <v/>
      </c>
      <c r="C298" s="48">
        <f>IF(G297&lt;=0.01,0,G297)</f>
        <v/>
      </c>
      <c r="D298" s="48">
        <f>IF(C298&lt;=0.01,0,F298+E298)</f>
        <v/>
      </c>
      <c r="E298" s="49">
        <f>IF(C298&lt;=0.01,0,ROUND(C298*Calculadora!$C$7/12,2))</f>
        <v/>
      </c>
      <c r="F298" s="48">
        <f>IF(C298&lt;=0.01,0,ROUND(Calculadora!$C$6/Calculadora!$C$8,2))</f>
        <v/>
      </c>
      <c r="G298" s="48">
        <f>IF(C298&lt;=0.01,0,MAX(ROUND(C298-F298,2),0))</f>
        <v/>
      </c>
      <c r="H298" s="50">
        <f>IFERROR(IF(Calculadora!$C$6&gt;0,1-(G298/Calculadora!$C$6),0),0)</f>
        <v/>
      </c>
    </row>
    <row r="299" ht="18" customHeight="1">
      <c r="A299" s="46" t="n">
        <v>295</v>
      </c>
      <c r="B299" s="47">
        <f>IFERROR(IF(C299&lt;=0.01,"",EDATE(B298,1)),"")</f>
        <v/>
      </c>
      <c r="C299" s="48">
        <f>IF(G298&lt;=0.01,0,G298)</f>
        <v/>
      </c>
      <c r="D299" s="48">
        <f>IF(C299&lt;=0.01,0,F299+E299)</f>
        <v/>
      </c>
      <c r="E299" s="49">
        <f>IF(C299&lt;=0.01,0,ROUND(C299*Calculadora!$C$7/12,2))</f>
        <v/>
      </c>
      <c r="F299" s="48">
        <f>IF(C299&lt;=0.01,0,ROUND(Calculadora!$C$6/Calculadora!$C$8,2))</f>
        <v/>
      </c>
      <c r="G299" s="48">
        <f>IF(C299&lt;=0.01,0,MAX(ROUND(C299-F299,2),0))</f>
        <v/>
      </c>
      <c r="H299" s="50">
        <f>IFERROR(IF(Calculadora!$C$6&gt;0,1-(G299/Calculadora!$C$6),0),0)</f>
        <v/>
      </c>
    </row>
    <row r="300" ht="18" customHeight="1">
      <c r="A300" s="46" t="n">
        <v>296</v>
      </c>
      <c r="B300" s="47">
        <f>IFERROR(IF(C300&lt;=0.01,"",EDATE(B299,1)),"")</f>
        <v/>
      </c>
      <c r="C300" s="48">
        <f>IF(G299&lt;=0.01,0,G299)</f>
        <v/>
      </c>
      <c r="D300" s="48">
        <f>IF(C300&lt;=0.01,0,F300+E300)</f>
        <v/>
      </c>
      <c r="E300" s="49">
        <f>IF(C300&lt;=0.01,0,ROUND(C300*Calculadora!$C$7/12,2))</f>
        <v/>
      </c>
      <c r="F300" s="48">
        <f>IF(C300&lt;=0.01,0,ROUND(Calculadora!$C$6/Calculadora!$C$8,2))</f>
        <v/>
      </c>
      <c r="G300" s="48">
        <f>IF(C300&lt;=0.01,0,MAX(ROUND(C300-F300,2),0))</f>
        <v/>
      </c>
      <c r="H300" s="50">
        <f>IFERROR(IF(Calculadora!$C$6&gt;0,1-(G300/Calculadora!$C$6),0),0)</f>
        <v/>
      </c>
    </row>
    <row r="301" ht="18" customHeight="1">
      <c r="A301" s="46" t="n">
        <v>297</v>
      </c>
      <c r="B301" s="47">
        <f>IFERROR(IF(C301&lt;=0.01,"",EDATE(B300,1)),"")</f>
        <v/>
      </c>
      <c r="C301" s="48">
        <f>IF(G300&lt;=0.01,0,G300)</f>
        <v/>
      </c>
      <c r="D301" s="48">
        <f>IF(C301&lt;=0.01,0,F301+E301)</f>
        <v/>
      </c>
      <c r="E301" s="49">
        <f>IF(C301&lt;=0.01,0,ROUND(C301*Calculadora!$C$7/12,2))</f>
        <v/>
      </c>
      <c r="F301" s="48">
        <f>IF(C301&lt;=0.01,0,ROUND(Calculadora!$C$6/Calculadora!$C$8,2))</f>
        <v/>
      </c>
      <c r="G301" s="48">
        <f>IF(C301&lt;=0.01,0,MAX(ROUND(C301-F301,2),0))</f>
        <v/>
      </c>
      <c r="H301" s="50">
        <f>IFERROR(IF(Calculadora!$C$6&gt;0,1-(G301/Calculadora!$C$6),0),0)</f>
        <v/>
      </c>
    </row>
    <row r="302" ht="18" customHeight="1">
      <c r="A302" s="46" t="n">
        <v>298</v>
      </c>
      <c r="B302" s="47">
        <f>IFERROR(IF(C302&lt;=0.01,"",EDATE(B301,1)),"")</f>
        <v/>
      </c>
      <c r="C302" s="48">
        <f>IF(G301&lt;=0.01,0,G301)</f>
        <v/>
      </c>
      <c r="D302" s="48">
        <f>IF(C302&lt;=0.01,0,F302+E302)</f>
        <v/>
      </c>
      <c r="E302" s="49">
        <f>IF(C302&lt;=0.01,0,ROUND(C302*Calculadora!$C$7/12,2))</f>
        <v/>
      </c>
      <c r="F302" s="48">
        <f>IF(C302&lt;=0.01,0,ROUND(Calculadora!$C$6/Calculadora!$C$8,2))</f>
        <v/>
      </c>
      <c r="G302" s="48">
        <f>IF(C302&lt;=0.01,0,MAX(ROUND(C302-F302,2),0))</f>
        <v/>
      </c>
      <c r="H302" s="50">
        <f>IFERROR(IF(Calculadora!$C$6&gt;0,1-(G302/Calculadora!$C$6),0),0)</f>
        <v/>
      </c>
    </row>
    <row r="303" ht="18" customHeight="1">
      <c r="A303" s="46" t="n">
        <v>299</v>
      </c>
      <c r="B303" s="47">
        <f>IFERROR(IF(C303&lt;=0.01,"",EDATE(B302,1)),"")</f>
        <v/>
      </c>
      <c r="C303" s="48">
        <f>IF(G302&lt;=0.01,0,G302)</f>
        <v/>
      </c>
      <c r="D303" s="48">
        <f>IF(C303&lt;=0.01,0,F303+E303)</f>
        <v/>
      </c>
      <c r="E303" s="49">
        <f>IF(C303&lt;=0.01,0,ROUND(C303*Calculadora!$C$7/12,2))</f>
        <v/>
      </c>
      <c r="F303" s="48">
        <f>IF(C303&lt;=0.01,0,ROUND(Calculadora!$C$6/Calculadora!$C$8,2))</f>
        <v/>
      </c>
      <c r="G303" s="48">
        <f>IF(C303&lt;=0.01,0,MAX(ROUND(C303-F303,2),0))</f>
        <v/>
      </c>
      <c r="H303" s="50">
        <f>IFERROR(IF(Calculadora!$C$6&gt;0,1-(G303/Calculadora!$C$6),0),0)</f>
        <v/>
      </c>
    </row>
    <row r="304" ht="18" customHeight="1">
      <c r="A304" s="46" t="n">
        <v>300</v>
      </c>
      <c r="B304" s="47">
        <f>IFERROR(IF(C304&lt;=0.01,"",EDATE(B303,1)),"")</f>
        <v/>
      </c>
      <c r="C304" s="48">
        <f>IF(G303&lt;=0.01,0,G303)</f>
        <v/>
      </c>
      <c r="D304" s="48">
        <f>IF(C304&lt;=0.01,0,F304+E304)</f>
        <v/>
      </c>
      <c r="E304" s="49">
        <f>IF(C304&lt;=0.01,0,ROUND(C304*Calculadora!$C$7/12,2))</f>
        <v/>
      </c>
      <c r="F304" s="48">
        <f>IF(C304&lt;=0.01,0,ROUND(Calculadora!$C$6/Calculadora!$C$8,2))</f>
        <v/>
      </c>
      <c r="G304" s="48">
        <f>IF(C304&lt;=0.01,0,MAX(ROUND(C304-F304,2),0))</f>
        <v/>
      </c>
      <c r="H304" s="50">
        <f>IFERROR(IF(Calculadora!$C$6&gt;0,1-(G304/Calculadora!$C$6),0),0)</f>
        <v/>
      </c>
    </row>
    <row r="305" ht="18" customHeight="1">
      <c r="A305" s="46" t="n">
        <v>301</v>
      </c>
      <c r="B305" s="47">
        <f>IFERROR(IF(C305&lt;=0.01,"",EDATE(B304,1)),"")</f>
        <v/>
      </c>
      <c r="C305" s="48">
        <f>IF(G304&lt;=0.01,0,G304)</f>
        <v/>
      </c>
      <c r="D305" s="48">
        <f>IF(C305&lt;=0.01,0,F305+E305)</f>
        <v/>
      </c>
      <c r="E305" s="49">
        <f>IF(C305&lt;=0.01,0,ROUND(C305*Calculadora!$C$7/12,2))</f>
        <v/>
      </c>
      <c r="F305" s="48">
        <f>IF(C305&lt;=0.01,0,ROUND(Calculadora!$C$6/Calculadora!$C$8,2))</f>
        <v/>
      </c>
      <c r="G305" s="48">
        <f>IF(C305&lt;=0.01,0,MAX(ROUND(C305-F305,2),0))</f>
        <v/>
      </c>
      <c r="H305" s="50">
        <f>IFERROR(IF(Calculadora!$C$6&gt;0,1-(G305/Calculadora!$C$6),0),0)</f>
        <v/>
      </c>
    </row>
    <row r="306" ht="18" customHeight="1">
      <c r="A306" s="46" t="n">
        <v>302</v>
      </c>
      <c r="B306" s="47">
        <f>IFERROR(IF(C306&lt;=0.01,"",EDATE(B305,1)),"")</f>
        <v/>
      </c>
      <c r="C306" s="48">
        <f>IF(G305&lt;=0.01,0,G305)</f>
        <v/>
      </c>
      <c r="D306" s="48">
        <f>IF(C306&lt;=0.01,0,F306+E306)</f>
        <v/>
      </c>
      <c r="E306" s="49">
        <f>IF(C306&lt;=0.01,0,ROUND(C306*Calculadora!$C$7/12,2))</f>
        <v/>
      </c>
      <c r="F306" s="48">
        <f>IF(C306&lt;=0.01,0,ROUND(Calculadora!$C$6/Calculadora!$C$8,2))</f>
        <v/>
      </c>
      <c r="G306" s="48">
        <f>IF(C306&lt;=0.01,0,MAX(ROUND(C306-F306,2),0))</f>
        <v/>
      </c>
      <c r="H306" s="50">
        <f>IFERROR(IF(Calculadora!$C$6&gt;0,1-(G306/Calculadora!$C$6),0),0)</f>
        <v/>
      </c>
    </row>
    <row r="307" ht="18" customHeight="1">
      <c r="A307" s="46" t="n">
        <v>303</v>
      </c>
      <c r="B307" s="47">
        <f>IFERROR(IF(C307&lt;=0.01,"",EDATE(B306,1)),"")</f>
        <v/>
      </c>
      <c r="C307" s="48">
        <f>IF(G306&lt;=0.01,0,G306)</f>
        <v/>
      </c>
      <c r="D307" s="48">
        <f>IF(C307&lt;=0.01,0,F307+E307)</f>
        <v/>
      </c>
      <c r="E307" s="49">
        <f>IF(C307&lt;=0.01,0,ROUND(C307*Calculadora!$C$7/12,2))</f>
        <v/>
      </c>
      <c r="F307" s="48">
        <f>IF(C307&lt;=0.01,0,ROUND(Calculadora!$C$6/Calculadora!$C$8,2))</f>
        <v/>
      </c>
      <c r="G307" s="48">
        <f>IF(C307&lt;=0.01,0,MAX(ROUND(C307-F307,2),0))</f>
        <v/>
      </c>
      <c r="H307" s="50">
        <f>IFERROR(IF(Calculadora!$C$6&gt;0,1-(G307/Calculadora!$C$6),0),0)</f>
        <v/>
      </c>
    </row>
    <row r="308" ht="18" customHeight="1">
      <c r="A308" s="46" t="n">
        <v>304</v>
      </c>
      <c r="B308" s="47">
        <f>IFERROR(IF(C308&lt;=0.01,"",EDATE(B307,1)),"")</f>
        <v/>
      </c>
      <c r="C308" s="48">
        <f>IF(G307&lt;=0.01,0,G307)</f>
        <v/>
      </c>
      <c r="D308" s="48">
        <f>IF(C308&lt;=0.01,0,F308+E308)</f>
        <v/>
      </c>
      <c r="E308" s="49">
        <f>IF(C308&lt;=0.01,0,ROUND(C308*Calculadora!$C$7/12,2))</f>
        <v/>
      </c>
      <c r="F308" s="48">
        <f>IF(C308&lt;=0.01,0,ROUND(Calculadora!$C$6/Calculadora!$C$8,2))</f>
        <v/>
      </c>
      <c r="G308" s="48">
        <f>IF(C308&lt;=0.01,0,MAX(ROUND(C308-F308,2),0))</f>
        <v/>
      </c>
      <c r="H308" s="50">
        <f>IFERROR(IF(Calculadora!$C$6&gt;0,1-(G308/Calculadora!$C$6),0),0)</f>
        <v/>
      </c>
    </row>
    <row r="309" ht="18" customHeight="1">
      <c r="A309" s="46" t="n">
        <v>305</v>
      </c>
      <c r="B309" s="47">
        <f>IFERROR(IF(C309&lt;=0.01,"",EDATE(B308,1)),"")</f>
        <v/>
      </c>
      <c r="C309" s="48">
        <f>IF(G308&lt;=0.01,0,G308)</f>
        <v/>
      </c>
      <c r="D309" s="48">
        <f>IF(C309&lt;=0.01,0,F309+E309)</f>
        <v/>
      </c>
      <c r="E309" s="49">
        <f>IF(C309&lt;=0.01,0,ROUND(C309*Calculadora!$C$7/12,2))</f>
        <v/>
      </c>
      <c r="F309" s="48">
        <f>IF(C309&lt;=0.01,0,ROUND(Calculadora!$C$6/Calculadora!$C$8,2))</f>
        <v/>
      </c>
      <c r="G309" s="48">
        <f>IF(C309&lt;=0.01,0,MAX(ROUND(C309-F309,2),0))</f>
        <v/>
      </c>
      <c r="H309" s="50">
        <f>IFERROR(IF(Calculadora!$C$6&gt;0,1-(G309/Calculadora!$C$6),0),0)</f>
        <v/>
      </c>
    </row>
    <row r="310" ht="18" customHeight="1">
      <c r="A310" s="46" t="n">
        <v>306</v>
      </c>
      <c r="B310" s="47">
        <f>IFERROR(IF(C310&lt;=0.01,"",EDATE(B309,1)),"")</f>
        <v/>
      </c>
      <c r="C310" s="48">
        <f>IF(G309&lt;=0.01,0,G309)</f>
        <v/>
      </c>
      <c r="D310" s="48">
        <f>IF(C310&lt;=0.01,0,F310+E310)</f>
        <v/>
      </c>
      <c r="E310" s="49">
        <f>IF(C310&lt;=0.01,0,ROUND(C310*Calculadora!$C$7/12,2))</f>
        <v/>
      </c>
      <c r="F310" s="48">
        <f>IF(C310&lt;=0.01,0,ROUND(Calculadora!$C$6/Calculadora!$C$8,2))</f>
        <v/>
      </c>
      <c r="G310" s="48">
        <f>IF(C310&lt;=0.01,0,MAX(ROUND(C310-F310,2),0))</f>
        <v/>
      </c>
      <c r="H310" s="50">
        <f>IFERROR(IF(Calculadora!$C$6&gt;0,1-(G310/Calculadora!$C$6),0),0)</f>
        <v/>
      </c>
    </row>
    <row r="311" ht="18" customHeight="1">
      <c r="A311" s="46" t="n">
        <v>307</v>
      </c>
      <c r="B311" s="47">
        <f>IFERROR(IF(C311&lt;=0.01,"",EDATE(B310,1)),"")</f>
        <v/>
      </c>
      <c r="C311" s="48">
        <f>IF(G310&lt;=0.01,0,G310)</f>
        <v/>
      </c>
      <c r="D311" s="48">
        <f>IF(C311&lt;=0.01,0,F311+E311)</f>
        <v/>
      </c>
      <c r="E311" s="49">
        <f>IF(C311&lt;=0.01,0,ROUND(C311*Calculadora!$C$7/12,2))</f>
        <v/>
      </c>
      <c r="F311" s="48">
        <f>IF(C311&lt;=0.01,0,ROUND(Calculadora!$C$6/Calculadora!$C$8,2))</f>
        <v/>
      </c>
      <c r="G311" s="48">
        <f>IF(C311&lt;=0.01,0,MAX(ROUND(C311-F311,2),0))</f>
        <v/>
      </c>
      <c r="H311" s="50">
        <f>IFERROR(IF(Calculadora!$C$6&gt;0,1-(G311/Calculadora!$C$6),0),0)</f>
        <v/>
      </c>
    </row>
    <row r="312" ht="18" customHeight="1">
      <c r="A312" s="46" t="n">
        <v>308</v>
      </c>
      <c r="B312" s="47">
        <f>IFERROR(IF(C312&lt;=0.01,"",EDATE(B311,1)),"")</f>
        <v/>
      </c>
      <c r="C312" s="48">
        <f>IF(G311&lt;=0.01,0,G311)</f>
        <v/>
      </c>
      <c r="D312" s="48">
        <f>IF(C312&lt;=0.01,0,F312+E312)</f>
        <v/>
      </c>
      <c r="E312" s="49">
        <f>IF(C312&lt;=0.01,0,ROUND(C312*Calculadora!$C$7/12,2))</f>
        <v/>
      </c>
      <c r="F312" s="48">
        <f>IF(C312&lt;=0.01,0,ROUND(Calculadora!$C$6/Calculadora!$C$8,2))</f>
        <v/>
      </c>
      <c r="G312" s="48">
        <f>IF(C312&lt;=0.01,0,MAX(ROUND(C312-F312,2),0))</f>
        <v/>
      </c>
      <c r="H312" s="50">
        <f>IFERROR(IF(Calculadora!$C$6&gt;0,1-(G312/Calculadora!$C$6),0),0)</f>
        <v/>
      </c>
    </row>
    <row r="313" ht="18" customHeight="1">
      <c r="A313" s="46" t="n">
        <v>309</v>
      </c>
      <c r="B313" s="47">
        <f>IFERROR(IF(C313&lt;=0.01,"",EDATE(B312,1)),"")</f>
        <v/>
      </c>
      <c r="C313" s="48">
        <f>IF(G312&lt;=0.01,0,G312)</f>
        <v/>
      </c>
      <c r="D313" s="48">
        <f>IF(C313&lt;=0.01,0,F313+E313)</f>
        <v/>
      </c>
      <c r="E313" s="49">
        <f>IF(C313&lt;=0.01,0,ROUND(C313*Calculadora!$C$7/12,2))</f>
        <v/>
      </c>
      <c r="F313" s="48">
        <f>IF(C313&lt;=0.01,0,ROUND(Calculadora!$C$6/Calculadora!$C$8,2))</f>
        <v/>
      </c>
      <c r="G313" s="48">
        <f>IF(C313&lt;=0.01,0,MAX(ROUND(C313-F313,2),0))</f>
        <v/>
      </c>
      <c r="H313" s="50">
        <f>IFERROR(IF(Calculadora!$C$6&gt;0,1-(G313/Calculadora!$C$6),0),0)</f>
        <v/>
      </c>
    </row>
    <row r="314" ht="18" customHeight="1">
      <c r="A314" s="46" t="n">
        <v>310</v>
      </c>
      <c r="B314" s="47">
        <f>IFERROR(IF(C314&lt;=0.01,"",EDATE(B313,1)),"")</f>
        <v/>
      </c>
      <c r="C314" s="48">
        <f>IF(G313&lt;=0.01,0,G313)</f>
        <v/>
      </c>
      <c r="D314" s="48">
        <f>IF(C314&lt;=0.01,0,F314+E314)</f>
        <v/>
      </c>
      <c r="E314" s="49">
        <f>IF(C314&lt;=0.01,0,ROUND(C314*Calculadora!$C$7/12,2))</f>
        <v/>
      </c>
      <c r="F314" s="48">
        <f>IF(C314&lt;=0.01,0,ROUND(Calculadora!$C$6/Calculadora!$C$8,2))</f>
        <v/>
      </c>
      <c r="G314" s="48">
        <f>IF(C314&lt;=0.01,0,MAX(ROUND(C314-F314,2),0))</f>
        <v/>
      </c>
      <c r="H314" s="50">
        <f>IFERROR(IF(Calculadora!$C$6&gt;0,1-(G314/Calculadora!$C$6),0),0)</f>
        <v/>
      </c>
    </row>
    <row r="315" ht="18" customHeight="1">
      <c r="A315" s="46" t="n">
        <v>311</v>
      </c>
      <c r="B315" s="47">
        <f>IFERROR(IF(C315&lt;=0.01,"",EDATE(B314,1)),"")</f>
        <v/>
      </c>
      <c r="C315" s="48">
        <f>IF(G314&lt;=0.01,0,G314)</f>
        <v/>
      </c>
      <c r="D315" s="48">
        <f>IF(C315&lt;=0.01,0,F315+E315)</f>
        <v/>
      </c>
      <c r="E315" s="49">
        <f>IF(C315&lt;=0.01,0,ROUND(C315*Calculadora!$C$7/12,2))</f>
        <v/>
      </c>
      <c r="F315" s="48">
        <f>IF(C315&lt;=0.01,0,ROUND(Calculadora!$C$6/Calculadora!$C$8,2))</f>
        <v/>
      </c>
      <c r="G315" s="48">
        <f>IF(C315&lt;=0.01,0,MAX(ROUND(C315-F315,2),0))</f>
        <v/>
      </c>
      <c r="H315" s="50">
        <f>IFERROR(IF(Calculadora!$C$6&gt;0,1-(G315/Calculadora!$C$6),0),0)</f>
        <v/>
      </c>
    </row>
    <row r="316" ht="18" customHeight="1">
      <c r="A316" s="46" t="n">
        <v>312</v>
      </c>
      <c r="B316" s="47">
        <f>IFERROR(IF(C316&lt;=0.01,"",EDATE(B315,1)),"")</f>
        <v/>
      </c>
      <c r="C316" s="48">
        <f>IF(G315&lt;=0.01,0,G315)</f>
        <v/>
      </c>
      <c r="D316" s="48">
        <f>IF(C316&lt;=0.01,0,F316+E316)</f>
        <v/>
      </c>
      <c r="E316" s="49">
        <f>IF(C316&lt;=0.01,0,ROUND(C316*Calculadora!$C$7/12,2))</f>
        <v/>
      </c>
      <c r="F316" s="48">
        <f>IF(C316&lt;=0.01,0,ROUND(Calculadora!$C$6/Calculadora!$C$8,2))</f>
        <v/>
      </c>
      <c r="G316" s="48">
        <f>IF(C316&lt;=0.01,0,MAX(ROUND(C316-F316,2),0))</f>
        <v/>
      </c>
      <c r="H316" s="50">
        <f>IFERROR(IF(Calculadora!$C$6&gt;0,1-(G316/Calculadora!$C$6),0),0)</f>
        <v/>
      </c>
    </row>
    <row r="317" ht="18" customHeight="1">
      <c r="A317" s="46" t="n">
        <v>313</v>
      </c>
      <c r="B317" s="47">
        <f>IFERROR(IF(C317&lt;=0.01,"",EDATE(B316,1)),"")</f>
        <v/>
      </c>
      <c r="C317" s="48">
        <f>IF(G316&lt;=0.01,0,G316)</f>
        <v/>
      </c>
      <c r="D317" s="48">
        <f>IF(C317&lt;=0.01,0,F317+E317)</f>
        <v/>
      </c>
      <c r="E317" s="49">
        <f>IF(C317&lt;=0.01,0,ROUND(C317*Calculadora!$C$7/12,2))</f>
        <v/>
      </c>
      <c r="F317" s="48">
        <f>IF(C317&lt;=0.01,0,ROUND(Calculadora!$C$6/Calculadora!$C$8,2))</f>
        <v/>
      </c>
      <c r="G317" s="48">
        <f>IF(C317&lt;=0.01,0,MAX(ROUND(C317-F317,2),0))</f>
        <v/>
      </c>
      <c r="H317" s="50">
        <f>IFERROR(IF(Calculadora!$C$6&gt;0,1-(G317/Calculadora!$C$6),0),0)</f>
        <v/>
      </c>
    </row>
    <row r="318" ht="18" customHeight="1">
      <c r="A318" s="46" t="n">
        <v>314</v>
      </c>
      <c r="B318" s="47">
        <f>IFERROR(IF(C318&lt;=0.01,"",EDATE(B317,1)),"")</f>
        <v/>
      </c>
      <c r="C318" s="48">
        <f>IF(G317&lt;=0.01,0,G317)</f>
        <v/>
      </c>
      <c r="D318" s="48">
        <f>IF(C318&lt;=0.01,0,F318+E318)</f>
        <v/>
      </c>
      <c r="E318" s="49">
        <f>IF(C318&lt;=0.01,0,ROUND(C318*Calculadora!$C$7/12,2))</f>
        <v/>
      </c>
      <c r="F318" s="48">
        <f>IF(C318&lt;=0.01,0,ROUND(Calculadora!$C$6/Calculadora!$C$8,2))</f>
        <v/>
      </c>
      <c r="G318" s="48">
        <f>IF(C318&lt;=0.01,0,MAX(ROUND(C318-F318,2),0))</f>
        <v/>
      </c>
      <c r="H318" s="50">
        <f>IFERROR(IF(Calculadora!$C$6&gt;0,1-(G318/Calculadora!$C$6),0),0)</f>
        <v/>
      </c>
    </row>
    <row r="319" ht="18" customHeight="1">
      <c r="A319" s="46" t="n">
        <v>315</v>
      </c>
      <c r="B319" s="47">
        <f>IFERROR(IF(C319&lt;=0.01,"",EDATE(B318,1)),"")</f>
        <v/>
      </c>
      <c r="C319" s="48">
        <f>IF(G318&lt;=0.01,0,G318)</f>
        <v/>
      </c>
      <c r="D319" s="48">
        <f>IF(C319&lt;=0.01,0,F319+E319)</f>
        <v/>
      </c>
      <c r="E319" s="49">
        <f>IF(C319&lt;=0.01,0,ROUND(C319*Calculadora!$C$7/12,2))</f>
        <v/>
      </c>
      <c r="F319" s="48">
        <f>IF(C319&lt;=0.01,0,ROUND(Calculadora!$C$6/Calculadora!$C$8,2))</f>
        <v/>
      </c>
      <c r="G319" s="48">
        <f>IF(C319&lt;=0.01,0,MAX(ROUND(C319-F319,2),0))</f>
        <v/>
      </c>
      <c r="H319" s="50">
        <f>IFERROR(IF(Calculadora!$C$6&gt;0,1-(G319/Calculadora!$C$6),0),0)</f>
        <v/>
      </c>
    </row>
    <row r="320" ht="18" customHeight="1">
      <c r="A320" s="46" t="n">
        <v>316</v>
      </c>
      <c r="B320" s="47">
        <f>IFERROR(IF(C320&lt;=0.01,"",EDATE(B319,1)),"")</f>
        <v/>
      </c>
      <c r="C320" s="48">
        <f>IF(G319&lt;=0.01,0,G319)</f>
        <v/>
      </c>
      <c r="D320" s="48">
        <f>IF(C320&lt;=0.01,0,F320+E320)</f>
        <v/>
      </c>
      <c r="E320" s="49">
        <f>IF(C320&lt;=0.01,0,ROUND(C320*Calculadora!$C$7/12,2))</f>
        <v/>
      </c>
      <c r="F320" s="48">
        <f>IF(C320&lt;=0.01,0,ROUND(Calculadora!$C$6/Calculadora!$C$8,2))</f>
        <v/>
      </c>
      <c r="G320" s="48">
        <f>IF(C320&lt;=0.01,0,MAX(ROUND(C320-F320,2),0))</f>
        <v/>
      </c>
      <c r="H320" s="50">
        <f>IFERROR(IF(Calculadora!$C$6&gt;0,1-(G320/Calculadora!$C$6),0),0)</f>
        <v/>
      </c>
    </row>
    <row r="321" ht="18" customHeight="1">
      <c r="A321" s="46" t="n">
        <v>317</v>
      </c>
      <c r="B321" s="47">
        <f>IFERROR(IF(C321&lt;=0.01,"",EDATE(B320,1)),"")</f>
        <v/>
      </c>
      <c r="C321" s="48">
        <f>IF(G320&lt;=0.01,0,G320)</f>
        <v/>
      </c>
      <c r="D321" s="48">
        <f>IF(C321&lt;=0.01,0,F321+E321)</f>
        <v/>
      </c>
      <c r="E321" s="49">
        <f>IF(C321&lt;=0.01,0,ROUND(C321*Calculadora!$C$7/12,2))</f>
        <v/>
      </c>
      <c r="F321" s="48">
        <f>IF(C321&lt;=0.01,0,ROUND(Calculadora!$C$6/Calculadora!$C$8,2))</f>
        <v/>
      </c>
      <c r="G321" s="48">
        <f>IF(C321&lt;=0.01,0,MAX(ROUND(C321-F321,2),0))</f>
        <v/>
      </c>
      <c r="H321" s="50">
        <f>IFERROR(IF(Calculadora!$C$6&gt;0,1-(G321/Calculadora!$C$6),0),0)</f>
        <v/>
      </c>
    </row>
    <row r="322" ht="18" customHeight="1">
      <c r="A322" s="46" t="n">
        <v>318</v>
      </c>
      <c r="B322" s="47">
        <f>IFERROR(IF(C322&lt;=0.01,"",EDATE(B321,1)),"")</f>
        <v/>
      </c>
      <c r="C322" s="48">
        <f>IF(G321&lt;=0.01,0,G321)</f>
        <v/>
      </c>
      <c r="D322" s="48">
        <f>IF(C322&lt;=0.01,0,F322+E322)</f>
        <v/>
      </c>
      <c r="E322" s="49">
        <f>IF(C322&lt;=0.01,0,ROUND(C322*Calculadora!$C$7/12,2))</f>
        <v/>
      </c>
      <c r="F322" s="48">
        <f>IF(C322&lt;=0.01,0,ROUND(Calculadora!$C$6/Calculadora!$C$8,2))</f>
        <v/>
      </c>
      <c r="G322" s="48">
        <f>IF(C322&lt;=0.01,0,MAX(ROUND(C322-F322,2),0))</f>
        <v/>
      </c>
      <c r="H322" s="50">
        <f>IFERROR(IF(Calculadora!$C$6&gt;0,1-(G322/Calculadora!$C$6),0),0)</f>
        <v/>
      </c>
    </row>
    <row r="323" ht="18" customHeight="1">
      <c r="A323" s="46" t="n">
        <v>319</v>
      </c>
      <c r="B323" s="47">
        <f>IFERROR(IF(C323&lt;=0.01,"",EDATE(B322,1)),"")</f>
        <v/>
      </c>
      <c r="C323" s="48">
        <f>IF(G322&lt;=0.01,0,G322)</f>
        <v/>
      </c>
      <c r="D323" s="48">
        <f>IF(C323&lt;=0.01,0,F323+E323)</f>
        <v/>
      </c>
      <c r="E323" s="49">
        <f>IF(C323&lt;=0.01,0,ROUND(C323*Calculadora!$C$7/12,2))</f>
        <v/>
      </c>
      <c r="F323" s="48">
        <f>IF(C323&lt;=0.01,0,ROUND(Calculadora!$C$6/Calculadora!$C$8,2))</f>
        <v/>
      </c>
      <c r="G323" s="48">
        <f>IF(C323&lt;=0.01,0,MAX(ROUND(C323-F323,2),0))</f>
        <v/>
      </c>
      <c r="H323" s="50">
        <f>IFERROR(IF(Calculadora!$C$6&gt;0,1-(G323/Calculadora!$C$6),0),0)</f>
        <v/>
      </c>
    </row>
    <row r="324" ht="18" customHeight="1">
      <c r="A324" s="46" t="n">
        <v>320</v>
      </c>
      <c r="B324" s="47">
        <f>IFERROR(IF(C324&lt;=0.01,"",EDATE(B323,1)),"")</f>
        <v/>
      </c>
      <c r="C324" s="48">
        <f>IF(G323&lt;=0.01,0,G323)</f>
        <v/>
      </c>
      <c r="D324" s="48">
        <f>IF(C324&lt;=0.01,0,F324+E324)</f>
        <v/>
      </c>
      <c r="E324" s="49">
        <f>IF(C324&lt;=0.01,0,ROUND(C324*Calculadora!$C$7/12,2))</f>
        <v/>
      </c>
      <c r="F324" s="48">
        <f>IF(C324&lt;=0.01,0,ROUND(Calculadora!$C$6/Calculadora!$C$8,2))</f>
        <v/>
      </c>
      <c r="G324" s="48">
        <f>IF(C324&lt;=0.01,0,MAX(ROUND(C324-F324,2),0))</f>
        <v/>
      </c>
      <c r="H324" s="50">
        <f>IFERROR(IF(Calculadora!$C$6&gt;0,1-(G324/Calculadora!$C$6),0),0)</f>
        <v/>
      </c>
    </row>
    <row r="325" ht="18" customHeight="1">
      <c r="A325" s="46" t="n">
        <v>321</v>
      </c>
      <c r="B325" s="47">
        <f>IFERROR(IF(C325&lt;=0.01,"",EDATE(B324,1)),"")</f>
        <v/>
      </c>
      <c r="C325" s="48">
        <f>IF(G324&lt;=0.01,0,G324)</f>
        <v/>
      </c>
      <c r="D325" s="48">
        <f>IF(C325&lt;=0.01,0,F325+E325)</f>
        <v/>
      </c>
      <c r="E325" s="49">
        <f>IF(C325&lt;=0.01,0,ROUND(C325*Calculadora!$C$7/12,2))</f>
        <v/>
      </c>
      <c r="F325" s="48">
        <f>IF(C325&lt;=0.01,0,ROUND(Calculadora!$C$6/Calculadora!$C$8,2))</f>
        <v/>
      </c>
      <c r="G325" s="48">
        <f>IF(C325&lt;=0.01,0,MAX(ROUND(C325-F325,2),0))</f>
        <v/>
      </c>
      <c r="H325" s="50">
        <f>IFERROR(IF(Calculadora!$C$6&gt;0,1-(G325/Calculadora!$C$6),0),0)</f>
        <v/>
      </c>
    </row>
    <row r="326" ht="18" customHeight="1">
      <c r="A326" s="46" t="n">
        <v>322</v>
      </c>
      <c r="B326" s="47">
        <f>IFERROR(IF(C326&lt;=0.01,"",EDATE(B325,1)),"")</f>
        <v/>
      </c>
      <c r="C326" s="48">
        <f>IF(G325&lt;=0.01,0,G325)</f>
        <v/>
      </c>
      <c r="D326" s="48">
        <f>IF(C326&lt;=0.01,0,F326+E326)</f>
        <v/>
      </c>
      <c r="E326" s="49">
        <f>IF(C326&lt;=0.01,0,ROUND(C326*Calculadora!$C$7/12,2))</f>
        <v/>
      </c>
      <c r="F326" s="48">
        <f>IF(C326&lt;=0.01,0,ROUND(Calculadora!$C$6/Calculadora!$C$8,2))</f>
        <v/>
      </c>
      <c r="G326" s="48">
        <f>IF(C326&lt;=0.01,0,MAX(ROUND(C326-F326,2),0))</f>
        <v/>
      </c>
      <c r="H326" s="50">
        <f>IFERROR(IF(Calculadora!$C$6&gt;0,1-(G326/Calculadora!$C$6),0),0)</f>
        <v/>
      </c>
    </row>
    <row r="327" ht="18" customHeight="1">
      <c r="A327" s="46" t="n">
        <v>323</v>
      </c>
      <c r="B327" s="47">
        <f>IFERROR(IF(C327&lt;=0.01,"",EDATE(B326,1)),"")</f>
        <v/>
      </c>
      <c r="C327" s="48">
        <f>IF(G326&lt;=0.01,0,G326)</f>
        <v/>
      </c>
      <c r="D327" s="48">
        <f>IF(C327&lt;=0.01,0,F327+E327)</f>
        <v/>
      </c>
      <c r="E327" s="49">
        <f>IF(C327&lt;=0.01,0,ROUND(C327*Calculadora!$C$7/12,2))</f>
        <v/>
      </c>
      <c r="F327" s="48">
        <f>IF(C327&lt;=0.01,0,ROUND(Calculadora!$C$6/Calculadora!$C$8,2))</f>
        <v/>
      </c>
      <c r="G327" s="48">
        <f>IF(C327&lt;=0.01,0,MAX(ROUND(C327-F327,2),0))</f>
        <v/>
      </c>
      <c r="H327" s="50">
        <f>IFERROR(IF(Calculadora!$C$6&gt;0,1-(G327/Calculadora!$C$6),0),0)</f>
        <v/>
      </c>
    </row>
    <row r="328" ht="18" customHeight="1">
      <c r="A328" s="46" t="n">
        <v>324</v>
      </c>
      <c r="B328" s="47">
        <f>IFERROR(IF(C328&lt;=0.01,"",EDATE(B327,1)),"")</f>
        <v/>
      </c>
      <c r="C328" s="48">
        <f>IF(G327&lt;=0.01,0,G327)</f>
        <v/>
      </c>
      <c r="D328" s="48">
        <f>IF(C328&lt;=0.01,0,F328+E328)</f>
        <v/>
      </c>
      <c r="E328" s="49">
        <f>IF(C328&lt;=0.01,0,ROUND(C328*Calculadora!$C$7/12,2))</f>
        <v/>
      </c>
      <c r="F328" s="48">
        <f>IF(C328&lt;=0.01,0,ROUND(Calculadora!$C$6/Calculadora!$C$8,2))</f>
        <v/>
      </c>
      <c r="G328" s="48">
        <f>IF(C328&lt;=0.01,0,MAX(ROUND(C328-F328,2),0))</f>
        <v/>
      </c>
      <c r="H328" s="50">
        <f>IFERROR(IF(Calculadora!$C$6&gt;0,1-(G328/Calculadora!$C$6),0),0)</f>
        <v/>
      </c>
    </row>
    <row r="329" ht="18" customHeight="1">
      <c r="A329" s="46" t="n">
        <v>325</v>
      </c>
      <c r="B329" s="47">
        <f>IFERROR(IF(C329&lt;=0.01,"",EDATE(B328,1)),"")</f>
        <v/>
      </c>
      <c r="C329" s="48">
        <f>IF(G328&lt;=0.01,0,G328)</f>
        <v/>
      </c>
      <c r="D329" s="48">
        <f>IF(C329&lt;=0.01,0,F329+E329)</f>
        <v/>
      </c>
      <c r="E329" s="49">
        <f>IF(C329&lt;=0.01,0,ROUND(C329*Calculadora!$C$7/12,2))</f>
        <v/>
      </c>
      <c r="F329" s="48">
        <f>IF(C329&lt;=0.01,0,ROUND(Calculadora!$C$6/Calculadora!$C$8,2))</f>
        <v/>
      </c>
      <c r="G329" s="48">
        <f>IF(C329&lt;=0.01,0,MAX(ROUND(C329-F329,2),0))</f>
        <v/>
      </c>
      <c r="H329" s="50">
        <f>IFERROR(IF(Calculadora!$C$6&gt;0,1-(G329/Calculadora!$C$6),0),0)</f>
        <v/>
      </c>
    </row>
    <row r="330" ht="18" customHeight="1">
      <c r="A330" s="46" t="n">
        <v>326</v>
      </c>
      <c r="B330" s="47">
        <f>IFERROR(IF(C330&lt;=0.01,"",EDATE(B329,1)),"")</f>
        <v/>
      </c>
      <c r="C330" s="48">
        <f>IF(G329&lt;=0.01,0,G329)</f>
        <v/>
      </c>
      <c r="D330" s="48">
        <f>IF(C330&lt;=0.01,0,F330+E330)</f>
        <v/>
      </c>
      <c r="E330" s="49">
        <f>IF(C330&lt;=0.01,0,ROUND(C330*Calculadora!$C$7/12,2))</f>
        <v/>
      </c>
      <c r="F330" s="48">
        <f>IF(C330&lt;=0.01,0,ROUND(Calculadora!$C$6/Calculadora!$C$8,2))</f>
        <v/>
      </c>
      <c r="G330" s="48">
        <f>IF(C330&lt;=0.01,0,MAX(ROUND(C330-F330,2),0))</f>
        <v/>
      </c>
      <c r="H330" s="50">
        <f>IFERROR(IF(Calculadora!$C$6&gt;0,1-(G330/Calculadora!$C$6),0),0)</f>
        <v/>
      </c>
    </row>
    <row r="331" ht="18" customHeight="1">
      <c r="A331" s="46" t="n">
        <v>327</v>
      </c>
      <c r="B331" s="47">
        <f>IFERROR(IF(C331&lt;=0.01,"",EDATE(B330,1)),"")</f>
        <v/>
      </c>
      <c r="C331" s="48">
        <f>IF(G330&lt;=0.01,0,G330)</f>
        <v/>
      </c>
      <c r="D331" s="48">
        <f>IF(C331&lt;=0.01,0,F331+E331)</f>
        <v/>
      </c>
      <c r="E331" s="49">
        <f>IF(C331&lt;=0.01,0,ROUND(C331*Calculadora!$C$7/12,2))</f>
        <v/>
      </c>
      <c r="F331" s="48">
        <f>IF(C331&lt;=0.01,0,ROUND(Calculadora!$C$6/Calculadora!$C$8,2))</f>
        <v/>
      </c>
      <c r="G331" s="48">
        <f>IF(C331&lt;=0.01,0,MAX(ROUND(C331-F331,2),0))</f>
        <v/>
      </c>
      <c r="H331" s="50">
        <f>IFERROR(IF(Calculadora!$C$6&gt;0,1-(G331/Calculadora!$C$6),0),0)</f>
        <v/>
      </c>
    </row>
    <row r="332" ht="18" customHeight="1">
      <c r="A332" s="46" t="n">
        <v>328</v>
      </c>
      <c r="B332" s="47">
        <f>IFERROR(IF(C332&lt;=0.01,"",EDATE(B331,1)),"")</f>
        <v/>
      </c>
      <c r="C332" s="48">
        <f>IF(G331&lt;=0.01,0,G331)</f>
        <v/>
      </c>
      <c r="D332" s="48">
        <f>IF(C332&lt;=0.01,0,F332+E332)</f>
        <v/>
      </c>
      <c r="E332" s="49">
        <f>IF(C332&lt;=0.01,0,ROUND(C332*Calculadora!$C$7/12,2))</f>
        <v/>
      </c>
      <c r="F332" s="48">
        <f>IF(C332&lt;=0.01,0,ROUND(Calculadora!$C$6/Calculadora!$C$8,2))</f>
        <v/>
      </c>
      <c r="G332" s="48">
        <f>IF(C332&lt;=0.01,0,MAX(ROUND(C332-F332,2),0))</f>
        <v/>
      </c>
      <c r="H332" s="50">
        <f>IFERROR(IF(Calculadora!$C$6&gt;0,1-(G332/Calculadora!$C$6),0),0)</f>
        <v/>
      </c>
    </row>
    <row r="333" ht="18" customHeight="1">
      <c r="A333" s="46" t="n">
        <v>329</v>
      </c>
      <c r="B333" s="47">
        <f>IFERROR(IF(C333&lt;=0.01,"",EDATE(B332,1)),"")</f>
        <v/>
      </c>
      <c r="C333" s="48">
        <f>IF(G332&lt;=0.01,0,G332)</f>
        <v/>
      </c>
      <c r="D333" s="48">
        <f>IF(C333&lt;=0.01,0,F333+E333)</f>
        <v/>
      </c>
      <c r="E333" s="49">
        <f>IF(C333&lt;=0.01,0,ROUND(C333*Calculadora!$C$7/12,2))</f>
        <v/>
      </c>
      <c r="F333" s="48">
        <f>IF(C333&lt;=0.01,0,ROUND(Calculadora!$C$6/Calculadora!$C$8,2))</f>
        <v/>
      </c>
      <c r="G333" s="48">
        <f>IF(C333&lt;=0.01,0,MAX(ROUND(C333-F333,2),0))</f>
        <v/>
      </c>
      <c r="H333" s="50">
        <f>IFERROR(IF(Calculadora!$C$6&gt;0,1-(G333/Calculadora!$C$6),0),0)</f>
        <v/>
      </c>
    </row>
    <row r="334" ht="18" customHeight="1">
      <c r="A334" s="46" t="n">
        <v>330</v>
      </c>
      <c r="B334" s="47">
        <f>IFERROR(IF(C334&lt;=0.01,"",EDATE(B333,1)),"")</f>
        <v/>
      </c>
      <c r="C334" s="48">
        <f>IF(G333&lt;=0.01,0,G333)</f>
        <v/>
      </c>
      <c r="D334" s="48">
        <f>IF(C334&lt;=0.01,0,F334+E334)</f>
        <v/>
      </c>
      <c r="E334" s="49">
        <f>IF(C334&lt;=0.01,0,ROUND(C334*Calculadora!$C$7/12,2))</f>
        <v/>
      </c>
      <c r="F334" s="48">
        <f>IF(C334&lt;=0.01,0,ROUND(Calculadora!$C$6/Calculadora!$C$8,2))</f>
        <v/>
      </c>
      <c r="G334" s="48">
        <f>IF(C334&lt;=0.01,0,MAX(ROUND(C334-F334,2),0))</f>
        <v/>
      </c>
      <c r="H334" s="50">
        <f>IFERROR(IF(Calculadora!$C$6&gt;0,1-(G334/Calculadora!$C$6),0),0)</f>
        <v/>
      </c>
    </row>
    <row r="335" ht="18" customHeight="1">
      <c r="A335" s="46" t="n">
        <v>331</v>
      </c>
      <c r="B335" s="47">
        <f>IFERROR(IF(C335&lt;=0.01,"",EDATE(B334,1)),"")</f>
        <v/>
      </c>
      <c r="C335" s="48">
        <f>IF(G334&lt;=0.01,0,G334)</f>
        <v/>
      </c>
      <c r="D335" s="48">
        <f>IF(C335&lt;=0.01,0,F335+E335)</f>
        <v/>
      </c>
      <c r="E335" s="49">
        <f>IF(C335&lt;=0.01,0,ROUND(C335*Calculadora!$C$7/12,2))</f>
        <v/>
      </c>
      <c r="F335" s="48">
        <f>IF(C335&lt;=0.01,0,ROUND(Calculadora!$C$6/Calculadora!$C$8,2))</f>
        <v/>
      </c>
      <c r="G335" s="48">
        <f>IF(C335&lt;=0.01,0,MAX(ROUND(C335-F335,2),0))</f>
        <v/>
      </c>
      <c r="H335" s="50">
        <f>IFERROR(IF(Calculadora!$C$6&gt;0,1-(G335/Calculadora!$C$6),0),0)</f>
        <v/>
      </c>
    </row>
    <row r="336" ht="18" customHeight="1">
      <c r="A336" s="46" t="n">
        <v>332</v>
      </c>
      <c r="B336" s="47">
        <f>IFERROR(IF(C336&lt;=0.01,"",EDATE(B335,1)),"")</f>
        <v/>
      </c>
      <c r="C336" s="48">
        <f>IF(G335&lt;=0.01,0,G335)</f>
        <v/>
      </c>
      <c r="D336" s="48">
        <f>IF(C336&lt;=0.01,0,F336+E336)</f>
        <v/>
      </c>
      <c r="E336" s="49">
        <f>IF(C336&lt;=0.01,0,ROUND(C336*Calculadora!$C$7/12,2))</f>
        <v/>
      </c>
      <c r="F336" s="48">
        <f>IF(C336&lt;=0.01,0,ROUND(Calculadora!$C$6/Calculadora!$C$8,2))</f>
        <v/>
      </c>
      <c r="G336" s="48">
        <f>IF(C336&lt;=0.01,0,MAX(ROUND(C336-F336,2),0))</f>
        <v/>
      </c>
      <c r="H336" s="50">
        <f>IFERROR(IF(Calculadora!$C$6&gt;0,1-(G336/Calculadora!$C$6),0),0)</f>
        <v/>
      </c>
    </row>
    <row r="337" ht="18" customHeight="1">
      <c r="A337" s="46" t="n">
        <v>333</v>
      </c>
      <c r="B337" s="47">
        <f>IFERROR(IF(C337&lt;=0.01,"",EDATE(B336,1)),"")</f>
        <v/>
      </c>
      <c r="C337" s="48">
        <f>IF(G336&lt;=0.01,0,G336)</f>
        <v/>
      </c>
      <c r="D337" s="48">
        <f>IF(C337&lt;=0.01,0,F337+E337)</f>
        <v/>
      </c>
      <c r="E337" s="49">
        <f>IF(C337&lt;=0.01,0,ROUND(C337*Calculadora!$C$7/12,2))</f>
        <v/>
      </c>
      <c r="F337" s="48">
        <f>IF(C337&lt;=0.01,0,ROUND(Calculadora!$C$6/Calculadora!$C$8,2))</f>
        <v/>
      </c>
      <c r="G337" s="48">
        <f>IF(C337&lt;=0.01,0,MAX(ROUND(C337-F337,2),0))</f>
        <v/>
      </c>
      <c r="H337" s="50">
        <f>IFERROR(IF(Calculadora!$C$6&gt;0,1-(G337/Calculadora!$C$6),0),0)</f>
        <v/>
      </c>
    </row>
    <row r="338" ht="18" customHeight="1">
      <c r="A338" s="46" t="n">
        <v>334</v>
      </c>
      <c r="B338" s="47">
        <f>IFERROR(IF(C338&lt;=0.01,"",EDATE(B337,1)),"")</f>
        <v/>
      </c>
      <c r="C338" s="48">
        <f>IF(G337&lt;=0.01,0,G337)</f>
        <v/>
      </c>
      <c r="D338" s="48">
        <f>IF(C338&lt;=0.01,0,F338+E338)</f>
        <v/>
      </c>
      <c r="E338" s="49">
        <f>IF(C338&lt;=0.01,0,ROUND(C338*Calculadora!$C$7/12,2))</f>
        <v/>
      </c>
      <c r="F338" s="48">
        <f>IF(C338&lt;=0.01,0,ROUND(Calculadora!$C$6/Calculadora!$C$8,2))</f>
        <v/>
      </c>
      <c r="G338" s="48">
        <f>IF(C338&lt;=0.01,0,MAX(ROUND(C338-F338,2),0))</f>
        <v/>
      </c>
      <c r="H338" s="50">
        <f>IFERROR(IF(Calculadora!$C$6&gt;0,1-(G338/Calculadora!$C$6),0),0)</f>
        <v/>
      </c>
    </row>
    <row r="339" ht="18" customHeight="1">
      <c r="A339" s="46" t="n">
        <v>335</v>
      </c>
      <c r="B339" s="47">
        <f>IFERROR(IF(C339&lt;=0.01,"",EDATE(B338,1)),"")</f>
        <v/>
      </c>
      <c r="C339" s="48">
        <f>IF(G338&lt;=0.01,0,G338)</f>
        <v/>
      </c>
      <c r="D339" s="48">
        <f>IF(C339&lt;=0.01,0,F339+E339)</f>
        <v/>
      </c>
      <c r="E339" s="49">
        <f>IF(C339&lt;=0.01,0,ROUND(C339*Calculadora!$C$7/12,2))</f>
        <v/>
      </c>
      <c r="F339" s="48">
        <f>IF(C339&lt;=0.01,0,ROUND(Calculadora!$C$6/Calculadora!$C$8,2))</f>
        <v/>
      </c>
      <c r="G339" s="48">
        <f>IF(C339&lt;=0.01,0,MAX(ROUND(C339-F339,2),0))</f>
        <v/>
      </c>
      <c r="H339" s="50">
        <f>IFERROR(IF(Calculadora!$C$6&gt;0,1-(G339/Calculadora!$C$6),0),0)</f>
        <v/>
      </c>
    </row>
    <row r="340" ht="18" customHeight="1">
      <c r="A340" s="46" t="n">
        <v>336</v>
      </c>
      <c r="B340" s="47">
        <f>IFERROR(IF(C340&lt;=0.01,"",EDATE(B339,1)),"")</f>
        <v/>
      </c>
      <c r="C340" s="48">
        <f>IF(G339&lt;=0.01,0,G339)</f>
        <v/>
      </c>
      <c r="D340" s="48">
        <f>IF(C340&lt;=0.01,0,F340+E340)</f>
        <v/>
      </c>
      <c r="E340" s="49">
        <f>IF(C340&lt;=0.01,0,ROUND(C340*Calculadora!$C$7/12,2))</f>
        <v/>
      </c>
      <c r="F340" s="48">
        <f>IF(C340&lt;=0.01,0,ROUND(Calculadora!$C$6/Calculadora!$C$8,2))</f>
        <v/>
      </c>
      <c r="G340" s="48">
        <f>IF(C340&lt;=0.01,0,MAX(ROUND(C340-F340,2),0))</f>
        <v/>
      </c>
      <c r="H340" s="50">
        <f>IFERROR(IF(Calculadora!$C$6&gt;0,1-(G340/Calculadora!$C$6),0),0)</f>
        <v/>
      </c>
    </row>
    <row r="341" ht="18" customHeight="1">
      <c r="A341" s="46" t="n">
        <v>337</v>
      </c>
      <c r="B341" s="47">
        <f>IFERROR(IF(C341&lt;=0.01,"",EDATE(B340,1)),"")</f>
        <v/>
      </c>
      <c r="C341" s="48">
        <f>IF(G340&lt;=0.01,0,G340)</f>
        <v/>
      </c>
      <c r="D341" s="48">
        <f>IF(C341&lt;=0.01,0,F341+E341)</f>
        <v/>
      </c>
      <c r="E341" s="49">
        <f>IF(C341&lt;=0.01,0,ROUND(C341*Calculadora!$C$7/12,2))</f>
        <v/>
      </c>
      <c r="F341" s="48">
        <f>IF(C341&lt;=0.01,0,ROUND(Calculadora!$C$6/Calculadora!$C$8,2))</f>
        <v/>
      </c>
      <c r="G341" s="48">
        <f>IF(C341&lt;=0.01,0,MAX(ROUND(C341-F341,2),0))</f>
        <v/>
      </c>
      <c r="H341" s="50">
        <f>IFERROR(IF(Calculadora!$C$6&gt;0,1-(G341/Calculadora!$C$6),0),0)</f>
        <v/>
      </c>
    </row>
    <row r="342" ht="18" customHeight="1">
      <c r="A342" s="46" t="n">
        <v>338</v>
      </c>
      <c r="B342" s="47">
        <f>IFERROR(IF(C342&lt;=0.01,"",EDATE(B341,1)),"")</f>
        <v/>
      </c>
      <c r="C342" s="48">
        <f>IF(G341&lt;=0.01,0,G341)</f>
        <v/>
      </c>
      <c r="D342" s="48">
        <f>IF(C342&lt;=0.01,0,F342+E342)</f>
        <v/>
      </c>
      <c r="E342" s="49">
        <f>IF(C342&lt;=0.01,0,ROUND(C342*Calculadora!$C$7/12,2))</f>
        <v/>
      </c>
      <c r="F342" s="48">
        <f>IF(C342&lt;=0.01,0,ROUND(Calculadora!$C$6/Calculadora!$C$8,2))</f>
        <v/>
      </c>
      <c r="G342" s="48">
        <f>IF(C342&lt;=0.01,0,MAX(ROUND(C342-F342,2),0))</f>
        <v/>
      </c>
      <c r="H342" s="50">
        <f>IFERROR(IF(Calculadora!$C$6&gt;0,1-(G342/Calculadora!$C$6),0),0)</f>
        <v/>
      </c>
    </row>
    <row r="343" ht="18" customHeight="1">
      <c r="A343" s="46" t="n">
        <v>339</v>
      </c>
      <c r="B343" s="47">
        <f>IFERROR(IF(C343&lt;=0.01,"",EDATE(B342,1)),"")</f>
        <v/>
      </c>
      <c r="C343" s="48">
        <f>IF(G342&lt;=0.01,0,G342)</f>
        <v/>
      </c>
      <c r="D343" s="48">
        <f>IF(C343&lt;=0.01,0,F343+E343)</f>
        <v/>
      </c>
      <c r="E343" s="49">
        <f>IF(C343&lt;=0.01,0,ROUND(C343*Calculadora!$C$7/12,2))</f>
        <v/>
      </c>
      <c r="F343" s="48">
        <f>IF(C343&lt;=0.01,0,ROUND(Calculadora!$C$6/Calculadora!$C$8,2))</f>
        <v/>
      </c>
      <c r="G343" s="48">
        <f>IF(C343&lt;=0.01,0,MAX(ROUND(C343-F343,2),0))</f>
        <v/>
      </c>
      <c r="H343" s="50">
        <f>IFERROR(IF(Calculadora!$C$6&gt;0,1-(G343/Calculadora!$C$6),0),0)</f>
        <v/>
      </c>
    </row>
    <row r="344" ht="18" customHeight="1">
      <c r="A344" s="46" t="n">
        <v>340</v>
      </c>
      <c r="B344" s="47">
        <f>IFERROR(IF(C344&lt;=0.01,"",EDATE(B343,1)),"")</f>
        <v/>
      </c>
      <c r="C344" s="48">
        <f>IF(G343&lt;=0.01,0,G343)</f>
        <v/>
      </c>
      <c r="D344" s="48">
        <f>IF(C344&lt;=0.01,0,F344+E344)</f>
        <v/>
      </c>
      <c r="E344" s="49">
        <f>IF(C344&lt;=0.01,0,ROUND(C344*Calculadora!$C$7/12,2))</f>
        <v/>
      </c>
      <c r="F344" s="48">
        <f>IF(C344&lt;=0.01,0,ROUND(Calculadora!$C$6/Calculadora!$C$8,2))</f>
        <v/>
      </c>
      <c r="G344" s="48">
        <f>IF(C344&lt;=0.01,0,MAX(ROUND(C344-F344,2),0))</f>
        <v/>
      </c>
      <c r="H344" s="50">
        <f>IFERROR(IF(Calculadora!$C$6&gt;0,1-(G344/Calculadora!$C$6),0),0)</f>
        <v/>
      </c>
    </row>
    <row r="345" ht="18" customHeight="1">
      <c r="A345" s="46" t="n">
        <v>341</v>
      </c>
      <c r="B345" s="47">
        <f>IFERROR(IF(C345&lt;=0.01,"",EDATE(B344,1)),"")</f>
        <v/>
      </c>
      <c r="C345" s="48">
        <f>IF(G344&lt;=0.01,0,G344)</f>
        <v/>
      </c>
      <c r="D345" s="48">
        <f>IF(C345&lt;=0.01,0,F345+E345)</f>
        <v/>
      </c>
      <c r="E345" s="49">
        <f>IF(C345&lt;=0.01,0,ROUND(C345*Calculadora!$C$7/12,2))</f>
        <v/>
      </c>
      <c r="F345" s="48">
        <f>IF(C345&lt;=0.01,0,ROUND(Calculadora!$C$6/Calculadora!$C$8,2))</f>
        <v/>
      </c>
      <c r="G345" s="48">
        <f>IF(C345&lt;=0.01,0,MAX(ROUND(C345-F345,2),0))</f>
        <v/>
      </c>
      <c r="H345" s="50">
        <f>IFERROR(IF(Calculadora!$C$6&gt;0,1-(G345/Calculadora!$C$6),0),0)</f>
        <v/>
      </c>
    </row>
    <row r="346" ht="18" customHeight="1">
      <c r="A346" s="46" t="n">
        <v>342</v>
      </c>
      <c r="B346" s="47">
        <f>IFERROR(IF(C346&lt;=0.01,"",EDATE(B345,1)),"")</f>
        <v/>
      </c>
      <c r="C346" s="48">
        <f>IF(G345&lt;=0.01,0,G345)</f>
        <v/>
      </c>
      <c r="D346" s="48">
        <f>IF(C346&lt;=0.01,0,F346+E346)</f>
        <v/>
      </c>
      <c r="E346" s="49">
        <f>IF(C346&lt;=0.01,0,ROUND(C346*Calculadora!$C$7/12,2))</f>
        <v/>
      </c>
      <c r="F346" s="48">
        <f>IF(C346&lt;=0.01,0,ROUND(Calculadora!$C$6/Calculadora!$C$8,2))</f>
        <v/>
      </c>
      <c r="G346" s="48">
        <f>IF(C346&lt;=0.01,0,MAX(ROUND(C346-F346,2),0))</f>
        <v/>
      </c>
      <c r="H346" s="50">
        <f>IFERROR(IF(Calculadora!$C$6&gt;0,1-(G346/Calculadora!$C$6),0),0)</f>
        <v/>
      </c>
    </row>
    <row r="347" ht="18" customHeight="1">
      <c r="A347" s="46" t="n">
        <v>343</v>
      </c>
      <c r="B347" s="47">
        <f>IFERROR(IF(C347&lt;=0.01,"",EDATE(B346,1)),"")</f>
        <v/>
      </c>
      <c r="C347" s="48">
        <f>IF(G346&lt;=0.01,0,G346)</f>
        <v/>
      </c>
      <c r="D347" s="48">
        <f>IF(C347&lt;=0.01,0,F347+E347)</f>
        <v/>
      </c>
      <c r="E347" s="49">
        <f>IF(C347&lt;=0.01,0,ROUND(C347*Calculadora!$C$7/12,2))</f>
        <v/>
      </c>
      <c r="F347" s="48">
        <f>IF(C347&lt;=0.01,0,ROUND(Calculadora!$C$6/Calculadora!$C$8,2))</f>
        <v/>
      </c>
      <c r="G347" s="48">
        <f>IF(C347&lt;=0.01,0,MAX(ROUND(C347-F347,2),0))</f>
        <v/>
      </c>
      <c r="H347" s="50">
        <f>IFERROR(IF(Calculadora!$C$6&gt;0,1-(G347/Calculadora!$C$6),0),0)</f>
        <v/>
      </c>
    </row>
    <row r="348" ht="18" customHeight="1">
      <c r="A348" s="46" t="n">
        <v>344</v>
      </c>
      <c r="B348" s="47">
        <f>IFERROR(IF(C348&lt;=0.01,"",EDATE(B347,1)),"")</f>
        <v/>
      </c>
      <c r="C348" s="48">
        <f>IF(G347&lt;=0.01,0,G347)</f>
        <v/>
      </c>
      <c r="D348" s="48">
        <f>IF(C348&lt;=0.01,0,F348+E348)</f>
        <v/>
      </c>
      <c r="E348" s="49">
        <f>IF(C348&lt;=0.01,0,ROUND(C348*Calculadora!$C$7/12,2))</f>
        <v/>
      </c>
      <c r="F348" s="48">
        <f>IF(C348&lt;=0.01,0,ROUND(Calculadora!$C$6/Calculadora!$C$8,2))</f>
        <v/>
      </c>
      <c r="G348" s="48">
        <f>IF(C348&lt;=0.01,0,MAX(ROUND(C348-F348,2),0))</f>
        <v/>
      </c>
      <c r="H348" s="50">
        <f>IFERROR(IF(Calculadora!$C$6&gt;0,1-(G348/Calculadora!$C$6),0),0)</f>
        <v/>
      </c>
    </row>
    <row r="349" ht="18" customHeight="1">
      <c r="A349" s="46" t="n">
        <v>345</v>
      </c>
      <c r="B349" s="47">
        <f>IFERROR(IF(C349&lt;=0.01,"",EDATE(B348,1)),"")</f>
        <v/>
      </c>
      <c r="C349" s="48">
        <f>IF(G348&lt;=0.01,0,G348)</f>
        <v/>
      </c>
      <c r="D349" s="48">
        <f>IF(C349&lt;=0.01,0,F349+E349)</f>
        <v/>
      </c>
      <c r="E349" s="49">
        <f>IF(C349&lt;=0.01,0,ROUND(C349*Calculadora!$C$7/12,2))</f>
        <v/>
      </c>
      <c r="F349" s="48">
        <f>IF(C349&lt;=0.01,0,ROUND(Calculadora!$C$6/Calculadora!$C$8,2))</f>
        <v/>
      </c>
      <c r="G349" s="48">
        <f>IF(C349&lt;=0.01,0,MAX(ROUND(C349-F349,2),0))</f>
        <v/>
      </c>
      <c r="H349" s="50">
        <f>IFERROR(IF(Calculadora!$C$6&gt;0,1-(G349/Calculadora!$C$6),0),0)</f>
        <v/>
      </c>
    </row>
    <row r="350" ht="18" customHeight="1">
      <c r="A350" s="46" t="n">
        <v>346</v>
      </c>
      <c r="B350" s="47">
        <f>IFERROR(IF(C350&lt;=0.01,"",EDATE(B349,1)),"")</f>
        <v/>
      </c>
      <c r="C350" s="48">
        <f>IF(G349&lt;=0.01,0,G349)</f>
        <v/>
      </c>
      <c r="D350" s="48">
        <f>IF(C350&lt;=0.01,0,F350+E350)</f>
        <v/>
      </c>
      <c r="E350" s="49">
        <f>IF(C350&lt;=0.01,0,ROUND(C350*Calculadora!$C$7/12,2))</f>
        <v/>
      </c>
      <c r="F350" s="48">
        <f>IF(C350&lt;=0.01,0,ROUND(Calculadora!$C$6/Calculadora!$C$8,2))</f>
        <v/>
      </c>
      <c r="G350" s="48">
        <f>IF(C350&lt;=0.01,0,MAX(ROUND(C350-F350,2),0))</f>
        <v/>
      </c>
      <c r="H350" s="50">
        <f>IFERROR(IF(Calculadora!$C$6&gt;0,1-(G350/Calculadora!$C$6),0),0)</f>
        <v/>
      </c>
    </row>
    <row r="351" ht="18" customHeight="1">
      <c r="A351" s="46" t="n">
        <v>347</v>
      </c>
      <c r="B351" s="47">
        <f>IFERROR(IF(C351&lt;=0.01,"",EDATE(B350,1)),"")</f>
        <v/>
      </c>
      <c r="C351" s="48">
        <f>IF(G350&lt;=0.01,0,G350)</f>
        <v/>
      </c>
      <c r="D351" s="48">
        <f>IF(C351&lt;=0.01,0,F351+E351)</f>
        <v/>
      </c>
      <c r="E351" s="49">
        <f>IF(C351&lt;=0.01,0,ROUND(C351*Calculadora!$C$7/12,2))</f>
        <v/>
      </c>
      <c r="F351" s="48">
        <f>IF(C351&lt;=0.01,0,ROUND(Calculadora!$C$6/Calculadora!$C$8,2))</f>
        <v/>
      </c>
      <c r="G351" s="48">
        <f>IF(C351&lt;=0.01,0,MAX(ROUND(C351-F351,2),0))</f>
        <v/>
      </c>
      <c r="H351" s="50">
        <f>IFERROR(IF(Calculadora!$C$6&gt;0,1-(G351/Calculadora!$C$6),0),0)</f>
        <v/>
      </c>
    </row>
    <row r="352" ht="18" customHeight="1">
      <c r="A352" s="46" t="n">
        <v>348</v>
      </c>
      <c r="B352" s="47">
        <f>IFERROR(IF(C352&lt;=0.01,"",EDATE(B351,1)),"")</f>
        <v/>
      </c>
      <c r="C352" s="48">
        <f>IF(G351&lt;=0.01,0,G351)</f>
        <v/>
      </c>
      <c r="D352" s="48">
        <f>IF(C352&lt;=0.01,0,F352+E352)</f>
        <v/>
      </c>
      <c r="E352" s="49">
        <f>IF(C352&lt;=0.01,0,ROUND(C352*Calculadora!$C$7/12,2))</f>
        <v/>
      </c>
      <c r="F352" s="48">
        <f>IF(C352&lt;=0.01,0,ROUND(Calculadora!$C$6/Calculadora!$C$8,2))</f>
        <v/>
      </c>
      <c r="G352" s="48">
        <f>IF(C352&lt;=0.01,0,MAX(ROUND(C352-F352,2),0))</f>
        <v/>
      </c>
      <c r="H352" s="50">
        <f>IFERROR(IF(Calculadora!$C$6&gt;0,1-(G352/Calculadora!$C$6),0),0)</f>
        <v/>
      </c>
    </row>
    <row r="353" ht="18" customHeight="1">
      <c r="A353" s="46" t="n">
        <v>349</v>
      </c>
      <c r="B353" s="47">
        <f>IFERROR(IF(C353&lt;=0.01,"",EDATE(B352,1)),"")</f>
        <v/>
      </c>
      <c r="C353" s="48">
        <f>IF(G352&lt;=0.01,0,G352)</f>
        <v/>
      </c>
      <c r="D353" s="48">
        <f>IF(C353&lt;=0.01,0,F353+E353)</f>
        <v/>
      </c>
      <c r="E353" s="49">
        <f>IF(C353&lt;=0.01,0,ROUND(C353*Calculadora!$C$7/12,2))</f>
        <v/>
      </c>
      <c r="F353" s="48">
        <f>IF(C353&lt;=0.01,0,ROUND(Calculadora!$C$6/Calculadora!$C$8,2))</f>
        <v/>
      </c>
      <c r="G353" s="48">
        <f>IF(C353&lt;=0.01,0,MAX(ROUND(C353-F353,2),0))</f>
        <v/>
      </c>
      <c r="H353" s="50">
        <f>IFERROR(IF(Calculadora!$C$6&gt;0,1-(G353/Calculadora!$C$6),0),0)</f>
        <v/>
      </c>
    </row>
    <row r="354" ht="18" customHeight="1">
      <c r="A354" s="46" t="n">
        <v>350</v>
      </c>
      <c r="B354" s="47">
        <f>IFERROR(IF(C354&lt;=0.01,"",EDATE(B353,1)),"")</f>
        <v/>
      </c>
      <c r="C354" s="48">
        <f>IF(G353&lt;=0.01,0,G353)</f>
        <v/>
      </c>
      <c r="D354" s="48">
        <f>IF(C354&lt;=0.01,0,F354+E354)</f>
        <v/>
      </c>
      <c r="E354" s="49">
        <f>IF(C354&lt;=0.01,0,ROUND(C354*Calculadora!$C$7/12,2))</f>
        <v/>
      </c>
      <c r="F354" s="48">
        <f>IF(C354&lt;=0.01,0,ROUND(Calculadora!$C$6/Calculadora!$C$8,2))</f>
        <v/>
      </c>
      <c r="G354" s="48">
        <f>IF(C354&lt;=0.01,0,MAX(ROUND(C354-F354,2),0))</f>
        <v/>
      </c>
      <c r="H354" s="50">
        <f>IFERROR(IF(Calculadora!$C$6&gt;0,1-(G354/Calculadora!$C$6),0),0)</f>
        <v/>
      </c>
    </row>
    <row r="355" ht="18" customHeight="1">
      <c r="A355" s="46" t="n">
        <v>351</v>
      </c>
      <c r="B355" s="47">
        <f>IFERROR(IF(C355&lt;=0.01,"",EDATE(B354,1)),"")</f>
        <v/>
      </c>
      <c r="C355" s="48">
        <f>IF(G354&lt;=0.01,0,G354)</f>
        <v/>
      </c>
      <c r="D355" s="48">
        <f>IF(C355&lt;=0.01,0,F355+E355)</f>
        <v/>
      </c>
      <c r="E355" s="49">
        <f>IF(C355&lt;=0.01,0,ROUND(C355*Calculadora!$C$7/12,2))</f>
        <v/>
      </c>
      <c r="F355" s="48">
        <f>IF(C355&lt;=0.01,0,ROUND(Calculadora!$C$6/Calculadora!$C$8,2))</f>
        <v/>
      </c>
      <c r="G355" s="48">
        <f>IF(C355&lt;=0.01,0,MAX(ROUND(C355-F355,2),0))</f>
        <v/>
      </c>
      <c r="H355" s="50">
        <f>IFERROR(IF(Calculadora!$C$6&gt;0,1-(G355/Calculadora!$C$6),0),0)</f>
        <v/>
      </c>
    </row>
    <row r="356" ht="18" customHeight="1">
      <c r="A356" s="46" t="n">
        <v>352</v>
      </c>
      <c r="B356" s="47">
        <f>IFERROR(IF(C356&lt;=0.01,"",EDATE(B355,1)),"")</f>
        <v/>
      </c>
      <c r="C356" s="48">
        <f>IF(G355&lt;=0.01,0,G355)</f>
        <v/>
      </c>
      <c r="D356" s="48">
        <f>IF(C356&lt;=0.01,0,F356+E356)</f>
        <v/>
      </c>
      <c r="E356" s="49">
        <f>IF(C356&lt;=0.01,0,ROUND(C356*Calculadora!$C$7/12,2))</f>
        <v/>
      </c>
      <c r="F356" s="48">
        <f>IF(C356&lt;=0.01,0,ROUND(Calculadora!$C$6/Calculadora!$C$8,2))</f>
        <v/>
      </c>
      <c r="G356" s="48">
        <f>IF(C356&lt;=0.01,0,MAX(ROUND(C356-F356,2),0))</f>
        <v/>
      </c>
      <c r="H356" s="50">
        <f>IFERROR(IF(Calculadora!$C$6&gt;0,1-(G356/Calculadora!$C$6),0),0)</f>
        <v/>
      </c>
    </row>
    <row r="357" ht="18" customHeight="1">
      <c r="A357" s="46" t="n">
        <v>353</v>
      </c>
      <c r="B357" s="47">
        <f>IFERROR(IF(C357&lt;=0.01,"",EDATE(B356,1)),"")</f>
        <v/>
      </c>
      <c r="C357" s="48">
        <f>IF(G356&lt;=0.01,0,G356)</f>
        <v/>
      </c>
      <c r="D357" s="48">
        <f>IF(C357&lt;=0.01,0,F357+E357)</f>
        <v/>
      </c>
      <c r="E357" s="49">
        <f>IF(C357&lt;=0.01,0,ROUND(C357*Calculadora!$C$7/12,2))</f>
        <v/>
      </c>
      <c r="F357" s="48">
        <f>IF(C357&lt;=0.01,0,ROUND(Calculadora!$C$6/Calculadora!$C$8,2))</f>
        <v/>
      </c>
      <c r="G357" s="48">
        <f>IF(C357&lt;=0.01,0,MAX(ROUND(C357-F357,2),0))</f>
        <v/>
      </c>
      <c r="H357" s="50">
        <f>IFERROR(IF(Calculadora!$C$6&gt;0,1-(G357/Calculadora!$C$6),0),0)</f>
        <v/>
      </c>
    </row>
    <row r="358" ht="18" customHeight="1">
      <c r="A358" s="46" t="n">
        <v>354</v>
      </c>
      <c r="B358" s="47">
        <f>IFERROR(IF(C358&lt;=0.01,"",EDATE(B357,1)),"")</f>
        <v/>
      </c>
      <c r="C358" s="48">
        <f>IF(G357&lt;=0.01,0,G357)</f>
        <v/>
      </c>
      <c r="D358" s="48">
        <f>IF(C358&lt;=0.01,0,F358+E358)</f>
        <v/>
      </c>
      <c r="E358" s="49">
        <f>IF(C358&lt;=0.01,0,ROUND(C358*Calculadora!$C$7/12,2))</f>
        <v/>
      </c>
      <c r="F358" s="48">
        <f>IF(C358&lt;=0.01,0,ROUND(Calculadora!$C$6/Calculadora!$C$8,2))</f>
        <v/>
      </c>
      <c r="G358" s="48">
        <f>IF(C358&lt;=0.01,0,MAX(ROUND(C358-F358,2),0))</f>
        <v/>
      </c>
      <c r="H358" s="50">
        <f>IFERROR(IF(Calculadora!$C$6&gt;0,1-(G358/Calculadora!$C$6),0),0)</f>
        <v/>
      </c>
    </row>
    <row r="359" ht="18" customHeight="1">
      <c r="A359" s="46" t="n">
        <v>355</v>
      </c>
      <c r="B359" s="47">
        <f>IFERROR(IF(C359&lt;=0.01,"",EDATE(B358,1)),"")</f>
        <v/>
      </c>
      <c r="C359" s="48">
        <f>IF(G358&lt;=0.01,0,G358)</f>
        <v/>
      </c>
      <c r="D359" s="48">
        <f>IF(C359&lt;=0.01,0,F359+E359)</f>
        <v/>
      </c>
      <c r="E359" s="49">
        <f>IF(C359&lt;=0.01,0,ROUND(C359*Calculadora!$C$7/12,2))</f>
        <v/>
      </c>
      <c r="F359" s="48">
        <f>IF(C359&lt;=0.01,0,ROUND(Calculadora!$C$6/Calculadora!$C$8,2))</f>
        <v/>
      </c>
      <c r="G359" s="48">
        <f>IF(C359&lt;=0.01,0,MAX(ROUND(C359-F359,2),0))</f>
        <v/>
      </c>
      <c r="H359" s="50">
        <f>IFERROR(IF(Calculadora!$C$6&gt;0,1-(G359/Calculadora!$C$6),0),0)</f>
        <v/>
      </c>
    </row>
    <row r="360" ht="18" customHeight="1">
      <c r="A360" s="46" t="n">
        <v>356</v>
      </c>
      <c r="B360" s="47">
        <f>IFERROR(IF(C360&lt;=0.01,"",EDATE(B359,1)),"")</f>
        <v/>
      </c>
      <c r="C360" s="48">
        <f>IF(G359&lt;=0.01,0,G359)</f>
        <v/>
      </c>
      <c r="D360" s="48">
        <f>IF(C360&lt;=0.01,0,F360+E360)</f>
        <v/>
      </c>
      <c r="E360" s="49">
        <f>IF(C360&lt;=0.01,0,ROUND(C360*Calculadora!$C$7/12,2))</f>
        <v/>
      </c>
      <c r="F360" s="48">
        <f>IF(C360&lt;=0.01,0,ROUND(Calculadora!$C$6/Calculadora!$C$8,2))</f>
        <v/>
      </c>
      <c r="G360" s="48">
        <f>IF(C360&lt;=0.01,0,MAX(ROUND(C360-F360,2),0))</f>
        <v/>
      </c>
      <c r="H360" s="50">
        <f>IFERROR(IF(Calculadora!$C$6&gt;0,1-(G360/Calculadora!$C$6),0),0)</f>
        <v/>
      </c>
    </row>
    <row r="361" ht="18" customHeight="1">
      <c r="A361" s="46" t="n">
        <v>357</v>
      </c>
      <c r="B361" s="47">
        <f>IFERROR(IF(C361&lt;=0.01,"",EDATE(B360,1)),"")</f>
        <v/>
      </c>
      <c r="C361" s="48">
        <f>IF(G360&lt;=0.01,0,G360)</f>
        <v/>
      </c>
      <c r="D361" s="48">
        <f>IF(C361&lt;=0.01,0,F361+E361)</f>
        <v/>
      </c>
      <c r="E361" s="49">
        <f>IF(C361&lt;=0.01,0,ROUND(C361*Calculadora!$C$7/12,2))</f>
        <v/>
      </c>
      <c r="F361" s="48">
        <f>IF(C361&lt;=0.01,0,ROUND(Calculadora!$C$6/Calculadora!$C$8,2))</f>
        <v/>
      </c>
      <c r="G361" s="48">
        <f>IF(C361&lt;=0.01,0,MAX(ROUND(C361-F361,2),0))</f>
        <v/>
      </c>
      <c r="H361" s="50">
        <f>IFERROR(IF(Calculadora!$C$6&gt;0,1-(G361/Calculadora!$C$6),0),0)</f>
        <v/>
      </c>
    </row>
    <row r="362" ht="18" customHeight="1">
      <c r="A362" s="46" t="n">
        <v>358</v>
      </c>
      <c r="B362" s="47">
        <f>IFERROR(IF(C362&lt;=0.01,"",EDATE(B361,1)),"")</f>
        <v/>
      </c>
      <c r="C362" s="48">
        <f>IF(G361&lt;=0.01,0,G361)</f>
        <v/>
      </c>
      <c r="D362" s="48">
        <f>IF(C362&lt;=0.01,0,F362+E362)</f>
        <v/>
      </c>
      <c r="E362" s="49">
        <f>IF(C362&lt;=0.01,0,ROUND(C362*Calculadora!$C$7/12,2))</f>
        <v/>
      </c>
      <c r="F362" s="48">
        <f>IF(C362&lt;=0.01,0,ROUND(Calculadora!$C$6/Calculadora!$C$8,2))</f>
        <v/>
      </c>
      <c r="G362" s="48">
        <f>IF(C362&lt;=0.01,0,MAX(ROUND(C362-F362,2),0))</f>
        <v/>
      </c>
      <c r="H362" s="50">
        <f>IFERROR(IF(Calculadora!$C$6&gt;0,1-(G362/Calculadora!$C$6),0),0)</f>
        <v/>
      </c>
    </row>
    <row r="363" ht="18" customHeight="1">
      <c r="A363" s="46" t="n">
        <v>359</v>
      </c>
      <c r="B363" s="47">
        <f>IFERROR(IF(C363&lt;=0.01,"",EDATE(B362,1)),"")</f>
        <v/>
      </c>
      <c r="C363" s="48">
        <f>IF(G362&lt;=0.01,0,G362)</f>
        <v/>
      </c>
      <c r="D363" s="48">
        <f>IF(C363&lt;=0.01,0,F363+E363)</f>
        <v/>
      </c>
      <c r="E363" s="49">
        <f>IF(C363&lt;=0.01,0,ROUND(C363*Calculadora!$C$7/12,2))</f>
        <v/>
      </c>
      <c r="F363" s="48">
        <f>IF(C363&lt;=0.01,0,ROUND(Calculadora!$C$6/Calculadora!$C$8,2))</f>
        <v/>
      </c>
      <c r="G363" s="48">
        <f>IF(C363&lt;=0.01,0,MAX(ROUND(C363-F363,2),0))</f>
        <v/>
      </c>
      <c r="H363" s="50">
        <f>IFERROR(IF(Calculadora!$C$6&gt;0,1-(G363/Calculadora!$C$6),0),0)</f>
        <v/>
      </c>
    </row>
    <row r="364" ht="18" customHeight="1">
      <c r="A364" s="46" t="n">
        <v>360</v>
      </c>
      <c r="B364" s="47">
        <f>IFERROR(IF(C364&lt;=0.01,"",EDATE(B363,1)),"")</f>
        <v/>
      </c>
      <c r="C364" s="48">
        <f>IF(G363&lt;=0.01,0,G363)</f>
        <v/>
      </c>
      <c r="D364" s="48">
        <f>IF(C364&lt;=0.01,0,F364+E364)</f>
        <v/>
      </c>
      <c r="E364" s="49">
        <f>IF(C364&lt;=0.01,0,ROUND(C364*Calculadora!$C$7/12,2))</f>
        <v/>
      </c>
      <c r="F364" s="48">
        <f>IF(C364&lt;=0.01,0,ROUND(Calculadora!$C$6/Calculadora!$C$8,2))</f>
        <v/>
      </c>
      <c r="G364" s="48">
        <f>IF(C364&lt;=0.01,0,MAX(ROUND(C364-F364,2),0))</f>
        <v/>
      </c>
      <c r="H364" s="50">
        <f>IFERROR(IF(Calculadora!$C$6&gt;0,1-(G364/Calculadora!$C$6),0),0)</f>
        <v/>
      </c>
    </row>
    <row r="365" ht="26" customHeight="1">
      <c r="A365" s="54" t="inlineStr">
        <is>
          <t>TOTAL</t>
        </is>
      </c>
      <c r="B365" s="16" t="n"/>
      <c r="C365" s="16" t="n"/>
      <c r="D365" s="55">
        <f>SUM(D5:D364)</f>
        <v/>
      </c>
      <c r="E365" s="55">
        <f>SUM(E5:E364)</f>
        <v/>
      </c>
      <c r="F365" s="55">
        <f>SUM(F5:F364)</f>
        <v/>
      </c>
      <c r="G365" s="16" t="n"/>
      <c r="H365" s="1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">
    <mergeCell ref="A1:H1"/>
  </mergeCells>
  <conditionalFormatting sqref="G5:G364">
    <cfRule type="cellIs" priority="1" operator="lessThanOrEqual" dxfId="0">
      <formula>0.01</formula>
    </cfRule>
  </conditionalFormatting>
  <conditionalFormatting sqref="H5:H364">
    <cfRule type="dataBar" priority="2">
      <dataBar>
        <cfvo type="num" val="0"/>
        <cfvo type="num" val="1"/>
        <color rgb="0005966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H3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</cols>
  <sheetData>
    <row r="1" ht="38" customHeight="1">
      <c r="A1" s="37" t="inlineStr">
        <is>
          <t>TABLA DE AMORTIZACION - METODO AMERICANO (Interes + Balloon)</t>
        </is>
      </c>
      <c r="B1" s="1" t="n"/>
      <c r="C1" s="1" t="n"/>
      <c r="D1" s="1" t="n"/>
      <c r="E1" s="1" t="n"/>
      <c r="F1" s="1" t="n"/>
      <c r="G1" s="1" t="n"/>
      <c r="H1" s="1" t="n"/>
    </row>
    <row r="2" ht="24" customHeight="1">
      <c r="A2" s="38" t="inlineStr">
        <is>
          <t>Capital:</t>
        </is>
      </c>
      <c r="B2" s="39">
        <f>Calculadora!C6</f>
        <v/>
      </c>
      <c r="C2" s="38" t="inlineStr">
        <is>
          <t>Tasa:</t>
        </is>
      </c>
      <c r="D2" s="40">
        <f>Calculadora!C7</f>
        <v/>
      </c>
      <c r="E2" s="38" t="inlineStr">
        <is>
          <t>Plazo:</t>
        </is>
      </c>
      <c r="F2" s="41">
        <f>Calculadora!C8&amp;" meses"</f>
        <v/>
      </c>
    </row>
    <row r="3" ht="24" customHeight="1">
      <c r="A3" s="38" t="inlineStr">
        <is>
          <t>Total Pagado:</t>
        </is>
      </c>
      <c r="B3" s="56">
        <f>IFERROR(SUM(D5:D364),0)</f>
        <v/>
      </c>
      <c r="C3" s="38" t="inlineStr">
        <is>
          <t>Total Interes:</t>
        </is>
      </c>
      <c r="D3" s="43">
        <f>IFERROR(SUM(E5:E364),0)</f>
        <v/>
      </c>
      <c r="E3" s="38" t="inlineStr">
        <is>
          <t>Total Capital:</t>
        </is>
      </c>
      <c r="F3" s="44">
        <f>IFERROR(SUM(F5:F364),0)</f>
        <v/>
      </c>
    </row>
    <row r="4" ht="26" customHeight="1">
      <c r="A4" s="45" t="inlineStr">
        <is>
          <t>#</t>
        </is>
      </c>
      <c r="B4" s="45" t="inlineStr">
        <is>
          <t>FECHA</t>
        </is>
      </c>
      <c r="C4" s="45" t="inlineStr">
        <is>
          <t>SALDO INICIAL</t>
        </is>
      </c>
      <c r="D4" s="45" t="inlineStr">
        <is>
          <t>CUOTA</t>
        </is>
      </c>
      <c r="E4" s="45" t="inlineStr">
        <is>
          <t>INTERES</t>
        </is>
      </c>
      <c r="F4" s="45" t="inlineStr">
        <is>
          <t>CAPITAL</t>
        </is>
      </c>
      <c r="G4" s="45" t="inlineStr">
        <is>
          <t>SALDO FINAL</t>
        </is>
      </c>
      <c r="H4" s="45" t="inlineStr">
        <is>
          <t>% PAGADO</t>
        </is>
      </c>
    </row>
    <row r="5" ht="18" customHeight="1">
      <c r="A5" s="46" t="n">
        <v>1</v>
      </c>
      <c r="B5" s="47">
        <f>Calculadora!$C$9</f>
        <v/>
      </c>
      <c r="C5" s="48">
        <f>IF(Calculadora!$C$6&gt;0,Calculadora!$C$6,0)</f>
        <v/>
      </c>
      <c r="D5" s="48">
        <f>IF(C5&lt;=0.01,0,IF(A5&lt;Calculadora!$C$8,E5,E5+C5))</f>
        <v/>
      </c>
      <c r="E5" s="49">
        <f>IF(C5&lt;=0.01,0,ROUND(C5*Calculadora!$C$7/12,2))</f>
        <v/>
      </c>
      <c r="F5" s="48">
        <f>IF(C5&lt;=0.01,0,D5-E5)</f>
        <v/>
      </c>
      <c r="G5" s="48">
        <f>IF(C5&lt;=0.01,0,MAX(ROUND(C5-F5,2),0))</f>
        <v/>
      </c>
      <c r="H5" s="50">
        <f>IFERROR(IF(Calculadora!$C$6&gt;0,1-(G5/Calculadora!$C$6),0),0)</f>
        <v/>
      </c>
    </row>
    <row r="6" ht="18" customHeight="1">
      <c r="A6" s="46" t="n">
        <v>2</v>
      </c>
      <c r="B6" s="47">
        <f>IFERROR(IF(C6&lt;=0.01,"",EDATE(B5,1)),"")</f>
        <v/>
      </c>
      <c r="C6" s="48">
        <f>IF(G5&lt;=0.01,0,G5)</f>
        <v/>
      </c>
      <c r="D6" s="48">
        <f>IF(C6&lt;=0.01,0,IF(A6&lt;Calculadora!$C$8,E6,E6+C6))</f>
        <v/>
      </c>
      <c r="E6" s="49">
        <f>IF(C6&lt;=0.01,0,ROUND(C6*Calculadora!$C$7/12,2))</f>
        <v/>
      </c>
      <c r="F6" s="48">
        <f>IF(C6&lt;=0.01,0,D6-E6)</f>
        <v/>
      </c>
      <c r="G6" s="48">
        <f>IF(C6&lt;=0.01,0,MAX(ROUND(C6-F6,2),0))</f>
        <v/>
      </c>
      <c r="H6" s="50">
        <f>IFERROR(IF(Calculadora!$C$6&gt;0,1-(G6/Calculadora!$C$6),0),0)</f>
        <v/>
      </c>
    </row>
    <row r="7" ht="18" customHeight="1">
      <c r="A7" s="46" t="n">
        <v>3</v>
      </c>
      <c r="B7" s="47">
        <f>IFERROR(IF(C7&lt;=0.01,"",EDATE(B6,1)),"")</f>
        <v/>
      </c>
      <c r="C7" s="48">
        <f>IF(G6&lt;=0.01,0,G6)</f>
        <v/>
      </c>
      <c r="D7" s="48">
        <f>IF(C7&lt;=0.01,0,IF(A7&lt;Calculadora!$C$8,E7,E7+C7))</f>
        <v/>
      </c>
      <c r="E7" s="49">
        <f>IF(C7&lt;=0.01,0,ROUND(C7*Calculadora!$C$7/12,2))</f>
        <v/>
      </c>
      <c r="F7" s="48">
        <f>IF(C7&lt;=0.01,0,D7-E7)</f>
        <v/>
      </c>
      <c r="G7" s="48">
        <f>IF(C7&lt;=0.01,0,MAX(ROUND(C7-F7,2),0))</f>
        <v/>
      </c>
      <c r="H7" s="50">
        <f>IFERROR(IF(Calculadora!$C$6&gt;0,1-(G7/Calculadora!$C$6),0),0)</f>
        <v/>
      </c>
    </row>
    <row r="8" ht="18" customHeight="1">
      <c r="A8" s="46" t="n">
        <v>4</v>
      </c>
      <c r="B8" s="47">
        <f>IFERROR(IF(C8&lt;=0.01,"",EDATE(B7,1)),"")</f>
        <v/>
      </c>
      <c r="C8" s="48">
        <f>IF(G7&lt;=0.01,0,G7)</f>
        <v/>
      </c>
      <c r="D8" s="48">
        <f>IF(C8&lt;=0.01,0,IF(A8&lt;Calculadora!$C$8,E8,E8+C8))</f>
        <v/>
      </c>
      <c r="E8" s="49">
        <f>IF(C8&lt;=0.01,0,ROUND(C8*Calculadora!$C$7/12,2))</f>
        <v/>
      </c>
      <c r="F8" s="48">
        <f>IF(C8&lt;=0.01,0,D8-E8)</f>
        <v/>
      </c>
      <c r="G8" s="48">
        <f>IF(C8&lt;=0.01,0,MAX(ROUND(C8-F8,2),0))</f>
        <v/>
      </c>
      <c r="H8" s="50">
        <f>IFERROR(IF(Calculadora!$C$6&gt;0,1-(G8/Calculadora!$C$6),0),0)</f>
        <v/>
      </c>
    </row>
    <row r="9" ht="18" customHeight="1">
      <c r="A9" s="46" t="n">
        <v>5</v>
      </c>
      <c r="B9" s="47">
        <f>IFERROR(IF(C9&lt;=0.01,"",EDATE(B8,1)),"")</f>
        <v/>
      </c>
      <c r="C9" s="48">
        <f>IF(G8&lt;=0.01,0,G8)</f>
        <v/>
      </c>
      <c r="D9" s="48">
        <f>IF(C9&lt;=0.01,0,IF(A9&lt;Calculadora!$C$8,E9,E9+C9))</f>
        <v/>
      </c>
      <c r="E9" s="49">
        <f>IF(C9&lt;=0.01,0,ROUND(C9*Calculadora!$C$7/12,2))</f>
        <v/>
      </c>
      <c r="F9" s="48">
        <f>IF(C9&lt;=0.01,0,D9-E9)</f>
        <v/>
      </c>
      <c r="G9" s="48">
        <f>IF(C9&lt;=0.01,0,MAX(ROUND(C9-F9,2),0))</f>
        <v/>
      </c>
      <c r="H9" s="50">
        <f>IFERROR(IF(Calculadora!$C$6&gt;0,1-(G9/Calculadora!$C$6),0),0)</f>
        <v/>
      </c>
    </row>
    <row r="10" ht="18" customHeight="1">
      <c r="A10" s="46" t="n">
        <v>6</v>
      </c>
      <c r="B10" s="47">
        <f>IFERROR(IF(C10&lt;=0.01,"",EDATE(B9,1)),"")</f>
        <v/>
      </c>
      <c r="C10" s="48">
        <f>IF(G9&lt;=0.01,0,G9)</f>
        <v/>
      </c>
      <c r="D10" s="48">
        <f>IF(C10&lt;=0.01,0,IF(A10&lt;Calculadora!$C$8,E10,E10+C10))</f>
        <v/>
      </c>
      <c r="E10" s="49">
        <f>IF(C10&lt;=0.01,0,ROUND(C10*Calculadora!$C$7/12,2))</f>
        <v/>
      </c>
      <c r="F10" s="48">
        <f>IF(C10&lt;=0.01,0,D10-E10)</f>
        <v/>
      </c>
      <c r="G10" s="48">
        <f>IF(C10&lt;=0.01,0,MAX(ROUND(C10-F10,2),0))</f>
        <v/>
      </c>
      <c r="H10" s="50">
        <f>IFERROR(IF(Calculadora!$C$6&gt;0,1-(G10/Calculadora!$C$6),0),0)</f>
        <v/>
      </c>
    </row>
    <row r="11" ht="18" customHeight="1">
      <c r="A11" s="46" t="n">
        <v>7</v>
      </c>
      <c r="B11" s="47">
        <f>IFERROR(IF(C11&lt;=0.01,"",EDATE(B10,1)),"")</f>
        <v/>
      </c>
      <c r="C11" s="48">
        <f>IF(G10&lt;=0.01,0,G10)</f>
        <v/>
      </c>
      <c r="D11" s="48">
        <f>IF(C11&lt;=0.01,0,IF(A11&lt;Calculadora!$C$8,E11,E11+C11))</f>
        <v/>
      </c>
      <c r="E11" s="49">
        <f>IF(C11&lt;=0.01,0,ROUND(C11*Calculadora!$C$7/12,2))</f>
        <v/>
      </c>
      <c r="F11" s="48">
        <f>IF(C11&lt;=0.01,0,D11-E11)</f>
        <v/>
      </c>
      <c r="G11" s="48">
        <f>IF(C11&lt;=0.01,0,MAX(ROUND(C11-F11,2),0))</f>
        <v/>
      </c>
      <c r="H11" s="50">
        <f>IFERROR(IF(Calculadora!$C$6&gt;0,1-(G11/Calculadora!$C$6),0),0)</f>
        <v/>
      </c>
    </row>
    <row r="12" ht="18" customHeight="1">
      <c r="A12" s="46" t="n">
        <v>8</v>
      </c>
      <c r="B12" s="47">
        <f>IFERROR(IF(C12&lt;=0.01,"",EDATE(B11,1)),"")</f>
        <v/>
      </c>
      <c r="C12" s="48">
        <f>IF(G11&lt;=0.01,0,G11)</f>
        <v/>
      </c>
      <c r="D12" s="48">
        <f>IF(C12&lt;=0.01,0,IF(A12&lt;Calculadora!$C$8,E12,E12+C12))</f>
        <v/>
      </c>
      <c r="E12" s="49">
        <f>IF(C12&lt;=0.01,0,ROUND(C12*Calculadora!$C$7/12,2))</f>
        <v/>
      </c>
      <c r="F12" s="48">
        <f>IF(C12&lt;=0.01,0,D12-E12)</f>
        <v/>
      </c>
      <c r="G12" s="48">
        <f>IF(C12&lt;=0.01,0,MAX(ROUND(C12-F12,2),0))</f>
        <v/>
      </c>
      <c r="H12" s="50">
        <f>IFERROR(IF(Calculadora!$C$6&gt;0,1-(G12/Calculadora!$C$6),0),0)</f>
        <v/>
      </c>
    </row>
    <row r="13" ht="18" customHeight="1">
      <c r="A13" s="46" t="n">
        <v>9</v>
      </c>
      <c r="B13" s="47">
        <f>IFERROR(IF(C13&lt;=0.01,"",EDATE(B12,1)),"")</f>
        <v/>
      </c>
      <c r="C13" s="48">
        <f>IF(G12&lt;=0.01,0,G12)</f>
        <v/>
      </c>
      <c r="D13" s="48">
        <f>IF(C13&lt;=0.01,0,IF(A13&lt;Calculadora!$C$8,E13,E13+C13))</f>
        <v/>
      </c>
      <c r="E13" s="49">
        <f>IF(C13&lt;=0.01,0,ROUND(C13*Calculadora!$C$7/12,2))</f>
        <v/>
      </c>
      <c r="F13" s="48">
        <f>IF(C13&lt;=0.01,0,D13-E13)</f>
        <v/>
      </c>
      <c r="G13" s="48">
        <f>IF(C13&lt;=0.01,0,MAX(ROUND(C13-F13,2),0))</f>
        <v/>
      </c>
      <c r="H13" s="50">
        <f>IFERROR(IF(Calculadora!$C$6&gt;0,1-(G13/Calculadora!$C$6),0),0)</f>
        <v/>
      </c>
    </row>
    <row r="14" ht="18" customHeight="1">
      <c r="A14" s="46" t="n">
        <v>10</v>
      </c>
      <c r="B14" s="47">
        <f>IFERROR(IF(C14&lt;=0.01,"",EDATE(B13,1)),"")</f>
        <v/>
      </c>
      <c r="C14" s="48">
        <f>IF(G13&lt;=0.01,0,G13)</f>
        <v/>
      </c>
      <c r="D14" s="48">
        <f>IF(C14&lt;=0.01,0,IF(A14&lt;Calculadora!$C$8,E14,E14+C14))</f>
        <v/>
      </c>
      <c r="E14" s="49">
        <f>IF(C14&lt;=0.01,0,ROUND(C14*Calculadora!$C$7/12,2))</f>
        <v/>
      </c>
      <c r="F14" s="48">
        <f>IF(C14&lt;=0.01,0,D14-E14)</f>
        <v/>
      </c>
      <c r="G14" s="48">
        <f>IF(C14&lt;=0.01,0,MAX(ROUND(C14-F14,2),0))</f>
        <v/>
      </c>
      <c r="H14" s="50">
        <f>IFERROR(IF(Calculadora!$C$6&gt;0,1-(G14/Calculadora!$C$6),0),0)</f>
        <v/>
      </c>
    </row>
    <row r="15" ht="18" customHeight="1">
      <c r="A15" s="46" t="n">
        <v>11</v>
      </c>
      <c r="B15" s="47">
        <f>IFERROR(IF(C15&lt;=0.01,"",EDATE(B14,1)),"")</f>
        <v/>
      </c>
      <c r="C15" s="48">
        <f>IF(G14&lt;=0.01,0,G14)</f>
        <v/>
      </c>
      <c r="D15" s="48">
        <f>IF(C15&lt;=0.01,0,IF(A15&lt;Calculadora!$C$8,E15,E15+C15))</f>
        <v/>
      </c>
      <c r="E15" s="49">
        <f>IF(C15&lt;=0.01,0,ROUND(C15*Calculadora!$C$7/12,2))</f>
        <v/>
      </c>
      <c r="F15" s="48">
        <f>IF(C15&lt;=0.01,0,D15-E15)</f>
        <v/>
      </c>
      <c r="G15" s="48">
        <f>IF(C15&lt;=0.01,0,MAX(ROUND(C15-F15,2),0))</f>
        <v/>
      </c>
      <c r="H15" s="50">
        <f>IFERROR(IF(Calculadora!$C$6&gt;0,1-(G15/Calculadora!$C$6),0),0)</f>
        <v/>
      </c>
    </row>
    <row r="16" ht="18" customHeight="1">
      <c r="A16" s="46" t="n">
        <v>12</v>
      </c>
      <c r="B16" s="47">
        <f>IFERROR(IF(C16&lt;=0.01,"",EDATE(B15,1)),"")</f>
        <v/>
      </c>
      <c r="C16" s="48">
        <f>IF(G15&lt;=0.01,0,G15)</f>
        <v/>
      </c>
      <c r="D16" s="48">
        <f>IF(C16&lt;=0.01,0,IF(A16&lt;Calculadora!$C$8,E16,E16+C16))</f>
        <v/>
      </c>
      <c r="E16" s="49">
        <f>IF(C16&lt;=0.01,0,ROUND(C16*Calculadora!$C$7/12,2))</f>
        <v/>
      </c>
      <c r="F16" s="48">
        <f>IF(C16&lt;=0.01,0,D16-E16)</f>
        <v/>
      </c>
      <c r="G16" s="48">
        <f>IF(C16&lt;=0.01,0,MAX(ROUND(C16-F16,2),0))</f>
        <v/>
      </c>
      <c r="H16" s="50">
        <f>IFERROR(IF(Calculadora!$C$6&gt;0,1-(G16/Calculadora!$C$6),0),0)</f>
        <v/>
      </c>
    </row>
    <row r="17" ht="18" customHeight="1">
      <c r="A17" s="46" t="n">
        <v>13</v>
      </c>
      <c r="B17" s="47">
        <f>IFERROR(IF(C17&lt;=0.01,"",EDATE(B16,1)),"")</f>
        <v/>
      </c>
      <c r="C17" s="48">
        <f>IF(G16&lt;=0.01,0,G16)</f>
        <v/>
      </c>
      <c r="D17" s="48">
        <f>IF(C17&lt;=0.01,0,IF(A17&lt;Calculadora!$C$8,E17,E17+C17))</f>
        <v/>
      </c>
      <c r="E17" s="49">
        <f>IF(C17&lt;=0.01,0,ROUND(C17*Calculadora!$C$7/12,2))</f>
        <v/>
      </c>
      <c r="F17" s="48">
        <f>IF(C17&lt;=0.01,0,D17-E17)</f>
        <v/>
      </c>
      <c r="G17" s="48">
        <f>IF(C17&lt;=0.01,0,MAX(ROUND(C17-F17,2),0))</f>
        <v/>
      </c>
      <c r="H17" s="50">
        <f>IFERROR(IF(Calculadora!$C$6&gt;0,1-(G17/Calculadora!$C$6),0),0)</f>
        <v/>
      </c>
    </row>
    <row r="18" ht="18" customHeight="1">
      <c r="A18" s="46" t="n">
        <v>14</v>
      </c>
      <c r="B18" s="47">
        <f>IFERROR(IF(C18&lt;=0.01,"",EDATE(B17,1)),"")</f>
        <v/>
      </c>
      <c r="C18" s="48">
        <f>IF(G17&lt;=0.01,0,G17)</f>
        <v/>
      </c>
      <c r="D18" s="48">
        <f>IF(C18&lt;=0.01,0,IF(A18&lt;Calculadora!$C$8,E18,E18+C18))</f>
        <v/>
      </c>
      <c r="E18" s="49">
        <f>IF(C18&lt;=0.01,0,ROUND(C18*Calculadora!$C$7/12,2))</f>
        <v/>
      </c>
      <c r="F18" s="48">
        <f>IF(C18&lt;=0.01,0,D18-E18)</f>
        <v/>
      </c>
      <c r="G18" s="48">
        <f>IF(C18&lt;=0.01,0,MAX(ROUND(C18-F18,2),0))</f>
        <v/>
      </c>
      <c r="H18" s="50">
        <f>IFERROR(IF(Calculadora!$C$6&gt;0,1-(G18/Calculadora!$C$6),0),0)</f>
        <v/>
      </c>
    </row>
    <row r="19" ht="18" customHeight="1">
      <c r="A19" s="46" t="n">
        <v>15</v>
      </c>
      <c r="B19" s="47">
        <f>IFERROR(IF(C19&lt;=0.01,"",EDATE(B18,1)),"")</f>
        <v/>
      </c>
      <c r="C19" s="48">
        <f>IF(G18&lt;=0.01,0,G18)</f>
        <v/>
      </c>
      <c r="D19" s="48">
        <f>IF(C19&lt;=0.01,0,IF(A19&lt;Calculadora!$C$8,E19,E19+C19))</f>
        <v/>
      </c>
      <c r="E19" s="49">
        <f>IF(C19&lt;=0.01,0,ROUND(C19*Calculadora!$C$7/12,2))</f>
        <v/>
      </c>
      <c r="F19" s="48">
        <f>IF(C19&lt;=0.01,0,D19-E19)</f>
        <v/>
      </c>
      <c r="G19" s="48">
        <f>IF(C19&lt;=0.01,0,MAX(ROUND(C19-F19,2),0))</f>
        <v/>
      </c>
      <c r="H19" s="50">
        <f>IFERROR(IF(Calculadora!$C$6&gt;0,1-(G19/Calculadora!$C$6),0),0)</f>
        <v/>
      </c>
    </row>
    <row r="20" ht="18" customHeight="1">
      <c r="A20" s="46" t="n">
        <v>16</v>
      </c>
      <c r="B20" s="47">
        <f>IFERROR(IF(C20&lt;=0.01,"",EDATE(B19,1)),"")</f>
        <v/>
      </c>
      <c r="C20" s="48">
        <f>IF(G19&lt;=0.01,0,G19)</f>
        <v/>
      </c>
      <c r="D20" s="48">
        <f>IF(C20&lt;=0.01,0,IF(A20&lt;Calculadora!$C$8,E20,E20+C20))</f>
        <v/>
      </c>
      <c r="E20" s="49">
        <f>IF(C20&lt;=0.01,0,ROUND(C20*Calculadora!$C$7/12,2))</f>
        <v/>
      </c>
      <c r="F20" s="48">
        <f>IF(C20&lt;=0.01,0,D20-E20)</f>
        <v/>
      </c>
      <c r="G20" s="48">
        <f>IF(C20&lt;=0.01,0,MAX(ROUND(C20-F20,2),0))</f>
        <v/>
      </c>
      <c r="H20" s="50">
        <f>IFERROR(IF(Calculadora!$C$6&gt;0,1-(G20/Calculadora!$C$6),0),0)</f>
        <v/>
      </c>
    </row>
    <row r="21" ht="18" customHeight="1">
      <c r="A21" s="46" t="n">
        <v>17</v>
      </c>
      <c r="B21" s="47">
        <f>IFERROR(IF(C21&lt;=0.01,"",EDATE(B20,1)),"")</f>
        <v/>
      </c>
      <c r="C21" s="48">
        <f>IF(G20&lt;=0.01,0,G20)</f>
        <v/>
      </c>
      <c r="D21" s="48">
        <f>IF(C21&lt;=0.01,0,IF(A21&lt;Calculadora!$C$8,E21,E21+C21))</f>
        <v/>
      </c>
      <c r="E21" s="49">
        <f>IF(C21&lt;=0.01,0,ROUND(C21*Calculadora!$C$7/12,2))</f>
        <v/>
      </c>
      <c r="F21" s="48">
        <f>IF(C21&lt;=0.01,0,D21-E21)</f>
        <v/>
      </c>
      <c r="G21" s="48">
        <f>IF(C21&lt;=0.01,0,MAX(ROUND(C21-F21,2),0))</f>
        <v/>
      </c>
      <c r="H21" s="50">
        <f>IFERROR(IF(Calculadora!$C$6&gt;0,1-(G21/Calculadora!$C$6),0),0)</f>
        <v/>
      </c>
    </row>
    <row r="22" ht="18" customHeight="1">
      <c r="A22" s="46" t="n">
        <v>18</v>
      </c>
      <c r="B22" s="47">
        <f>IFERROR(IF(C22&lt;=0.01,"",EDATE(B21,1)),"")</f>
        <v/>
      </c>
      <c r="C22" s="48">
        <f>IF(G21&lt;=0.01,0,G21)</f>
        <v/>
      </c>
      <c r="D22" s="48">
        <f>IF(C22&lt;=0.01,0,IF(A22&lt;Calculadora!$C$8,E22,E22+C22))</f>
        <v/>
      </c>
      <c r="E22" s="49">
        <f>IF(C22&lt;=0.01,0,ROUND(C22*Calculadora!$C$7/12,2))</f>
        <v/>
      </c>
      <c r="F22" s="48">
        <f>IF(C22&lt;=0.01,0,D22-E22)</f>
        <v/>
      </c>
      <c r="G22" s="48">
        <f>IF(C22&lt;=0.01,0,MAX(ROUND(C22-F22,2),0))</f>
        <v/>
      </c>
      <c r="H22" s="50">
        <f>IFERROR(IF(Calculadora!$C$6&gt;0,1-(G22/Calculadora!$C$6),0),0)</f>
        <v/>
      </c>
    </row>
    <row r="23" ht="18" customHeight="1">
      <c r="A23" s="46" t="n">
        <v>19</v>
      </c>
      <c r="B23" s="47">
        <f>IFERROR(IF(C23&lt;=0.01,"",EDATE(B22,1)),"")</f>
        <v/>
      </c>
      <c r="C23" s="48">
        <f>IF(G22&lt;=0.01,0,G22)</f>
        <v/>
      </c>
      <c r="D23" s="48">
        <f>IF(C23&lt;=0.01,0,IF(A23&lt;Calculadora!$C$8,E23,E23+C23))</f>
        <v/>
      </c>
      <c r="E23" s="49">
        <f>IF(C23&lt;=0.01,0,ROUND(C23*Calculadora!$C$7/12,2))</f>
        <v/>
      </c>
      <c r="F23" s="48">
        <f>IF(C23&lt;=0.01,0,D23-E23)</f>
        <v/>
      </c>
      <c r="G23" s="48">
        <f>IF(C23&lt;=0.01,0,MAX(ROUND(C23-F23,2),0))</f>
        <v/>
      </c>
      <c r="H23" s="50">
        <f>IFERROR(IF(Calculadora!$C$6&gt;0,1-(G23/Calculadora!$C$6),0),0)</f>
        <v/>
      </c>
    </row>
    <row r="24" ht="18" customHeight="1">
      <c r="A24" s="46" t="n">
        <v>20</v>
      </c>
      <c r="B24" s="47">
        <f>IFERROR(IF(C24&lt;=0.01,"",EDATE(B23,1)),"")</f>
        <v/>
      </c>
      <c r="C24" s="48">
        <f>IF(G23&lt;=0.01,0,G23)</f>
        <v/>
      </c>
      <c r="D24" s="48">
        <f>IF(C24&lt;=0.01,0,IF(A24&lt;Calculadora!$C$8,E24,E24+C24))</f>
        <v/>
      </c>
      <c r="E24" s="49">
        <f>IF(C24&lt;=0.01,0,ROUND(C24*Calculadora!$C$7/12,2))</f>
        <v/>
      </c>
      <c r="F24" s="48">
        <f>IF(C24&lt;=0.01,0,D24-E24)</f>
        <v/>
      </c>
      <c r="G24" s="48">
        <f>IF(C24&lt;=0.01,0,MAX(ROUND(C24-F24,2),0))</f>
        <v/>
      </c>
      <c r="H24" s="50">
        <f>IFERROR(IF(Calculadora!$C$6&gt;0,1-(G24/Calculadora!$C$6),0),0)</f>
        <v/>
      </c>
    </row>
    <row r="25" ht="18" customHeight="1">
      <c r="A25" s="46" t="n">
        <v>21</v>
      </c>
      <c r="B25" s="47">
        <f>IFERROR(IF(C25&lt;=0.01,"",EDATE(B24,1)),"")</f>
        <v/>
      </c>
      <c r="C25" s="48">
        <f>IF(G24&lt;=0.01,0,G24)</f>
        <v/>
      </c>
      <c r="D25" s="48">
        <f>IF(C25&lt;=0.01,0,IF(A25&lt;Calculadora!$C$8,E25,E25+C25))</f>
        <v/>
      </c>
      <c r="E25" s="49">
        <f>IF(C25&lt;=0.01,0,ROUND(C25*Calculadora!$C$7/12,2))</f>
        <v/>
      </c>
      <c r="F25" s="48">
        <f>IF(C25&lt;=0.01,0,D25-E25)</f>
        <v/>
      </c>
      <c r="G25" s="48">
        <f>IF(C25&lt;=0.01,0,MAX(ROUND(C25-F25,2),0))</f>
        <v/>
      </c>
      <c r="H25" s="50">
        <f>IFERROR(IF(Calculadora!$C$6&gt;0,1-(G25/Calculadora!$C$6),0),0)</f>
        <v/>
      </c>
    </row>
    <row r="26" ht="18" customHeight="1">
      <c r="A26" s="46" t="n">
        <v>22</v>
      </c>
      <c r="B26" s="47">
        <f>IFERROR(IF(C26&lt;=0.01,"",EDATE(B25,1)),"")</f>
        <v/>
      </c>
      <c r="C26" s="48">
        <f>IF(G25&lt;=0.01,0,G25)</f>
        <v/>
      </c>
      <c r="D26" s="48">
        <f>IF(C26&lt;=0.01,0,IF(A26&lt;Calculadora!$C$8,E26,E26+C26))</f>
        <v/>
      </c>
      <c r="E26" s="49">
        <f>IF(C26&lt;=0.01,0,ROUND(C26*Calculadora!$C$7/12,2))</f>
        <v/>
      </c>
      <c r="F26" s="48">
        <f>IF(C26&lt;=0.01,0,D26-E26)</f>
        <v/>
      </c>
      <c r="G26" s="48">
        <f>IF(C26&lt;=0.01,0,MAX(ROUND(C26-F26,2),0))</f>
        <v/>
      </c>
      <c r="H26" s="50">
        <f>IFERROR(IF(Calculadora!$C$6&gt;0,1-(G26/Calculadora!$C$6),0),0)</f>
        <v/>
      </c>
    </row>
    <row r="27" ht="18" customHeight="1">
      <c r="A27" s="46" t="n">
        <v>23</v>
      </c>
      <c r="B27" s="47">
        <f>IFERROR(IF(C27&lt;=0.01,"",EDATE(B26,1)),"")</f>
        <v/>
      </c>
      <c r="C27" s="48">
        <f>IF(G26&lt;=0.01,0,G26)</f>
        <v/>
      </c>
      <c r="D27" s="48">
        <f>IF(C27&lt;=0.01,0,IF(A27&lt;Calculadora!$C$8,E27,E27+C27))</f>
        <v/>
      </c>
      <c r="E27" s="49">
        <f>IF(C27&lt;=0.01,0,ROUND(C27*Calculadora!$C$7/12,2))</f>
        <v/>
      </c>
      <c r="F27" s="48">
        <f>IF(C27&lt;=0.01,0,D27-E27)</f>
        <v/>
      </c>
      <c r="G27" s="48">
        <f>IF(C27&lt;=0.01,0,MAX(ROUND(C27-F27,2),0))</f>
        <v/>
      </c>
      <c r="H27" s="50">
        <f>IFERROR(IF(Calculadora!$C$6&gt;0,1-(G27/Calculadora!$C$6),0),0)</f>
        <v/>
      </c>
    </row>
    <row r="28" ht="18" customHeight="1">
      <c r="A28" s="46" t="n">
        <v>24</v>
      </c>
      <c r="B28" s="47">
        <f>IFERROR(IF(C28&lt;=0.01,"",EDATE(B27,1)),"")</f>
        <v/>
      </c>
      <c r="C28" s="48">
        <f>IF(G27&lt;=0.01,0,G27)</f>
        <v/>
      </c>
      <c r="D28" s="48">
        <f>IF(C28&lt;=0.01,0,IF(A28&lt;Calculadora!$C$8,E28,E28+C28))</f>
        <v/>
      </c>
      <c r="E28" s="49">
        <f>IF(C28&lt;=0.01,0,ROUND(C28*Calculadora!$C$7/12,2))</f>
        <v/>
      </c>
      <c r="F28" s="48">
        <f>IF(C28&lt;=0.01,0,D28-E28)</f>
        <v/>
      </c>
      <c r="G28" s="48">
        <f>IF(C28&lt;=0.01,0,MAX(ROUND(C28-F28,2),0))</f>
        <v/>
      </c>
      <c r="H28" s="50">
        <f>IFERROR(IF(Calculadora!$C$6&gt;0,1-(G28/Calculadora!$C$6),0),0)</f>
        <v/>
      </c>
    </row>
    <row r="29" ht="18" customHeight="1">
      <c r="A29" s="46" t="n">
        <v>25</v>
      </c>
      <c r="B29" s="47">
        <f>IFERROR(IF(C29&lt;=0.01,"",EDATE(B28,1)),"")</f>
        <v/>
      </c>
      <c r="C29" s="48">
        <f>IF(G28&lt;=0.01,0,G28)</f>
        <v/>
      </c>
      <c r="D29" s="48">
        <f>IF(C29&lt;=0.01,0,IF(A29&lt;Calculadora!$C$8,E29,E29+C29))</f>
        <v/>
      </c>
      <c r="E29" s="49">
        <f>IF(C29&lt;=0.01,0,ROUND(C29*Calculadora!$C$7/12,2))</f>
        <v/>
      </c>
      <c r="F29" s="48">
        <f>IF(C29&lt;=0.01,0,D29-E29)</f>
        <v/>
      </c>
      <c r="G29" s="48">
        <f>IF(C29&lt;=0.01,0,MAX(ROUND(C29-F29,2),0))</f>
        <v/>
      </c>
      <c r="H29" s="50">
        <f>IFERROR(IF(Calculadora!$C$6&gt;0,1-(G29/Calculadora!$C$6),0),0)</f>
        <v/>
      </c>
    </row>
    <row r="30" ht="18" customHeight="1">
      <c r="A30" s="46" t="n">
        <v>26</v>
      </c>
      <c r="B30" s="47">
        <f>IFERROR(IF(C30&lt;=0.01,"",EDATE(B29,1)),"")</f>
        <v/>
      </c>
      <c r="C30" s="48">
        <f>IF(G29&lt;=0.01,0,G29)</f>
        <v/>
      </c>
      <c r="D30" s="48">
        <f>IF(C30&lt;=0.01,0,IF(A30&lt;Calculadora!$C$8,E30,E30+C30))</f>
        <v/>
      </c>
      <c r="E30" s="49">
        <f>IF(C30&lt;=0.01,0,ROUND(C30*Calculadora!$C$7/12,2))</f>
        <v/>
      </c>
      <c r="F30" s="48">
        <f>IF(C30&lt;=0.01,0,D30-E30)</f>
        <v/>
      </c>
      <c r="G30" s="48">
        <f>IF(C30&lt;=0.01,0,MAX(ROUND(C30-F30,2),0))</f>
        <v/>
      </c>
      <c r="H30" s="50">
        <f>IFERROR(IF(Calculadora!$C$6&gt;0,1-(G30/Calculadora!$C$6),0),0)</f>
        <v/>
      </c>
    </row>
    <row r="31" ht="18" customHeight="1">
      <c r="A31" s="46" t="n">
        <v>27</v>
      </c>
      <c r="B31" s="47">
        <f>IFERROR(IF(C31&lt;=0.01,"",EDATE(B30,1)),"")</f>
        <v/>
      </c>
      <c r="C31" s="48">
        <f>IF(G30&lt;=0.01,0,G30)</f>
        <v/>
      </c>
      <c r="D31" s="48">
        <f>IF(C31&lt;=0.01,0,IF(A31&lt;Calculadora!$C$8,E31,E31+C31))</f>
        <v/>
      </c>
      <c r="E31" s="49">
        <f>IF(C31&lt;=0.01,0,ROUND(C31*Calculadora!$C$7/12,2))</f>
        <v/>
      </c>
      <c r="F31" s="48">
        <f>IF(C31&lt;=0.01,0,D31-E31)</f>
        <v/>
      </c>
      <c r="G31" s="48">
        <f>IF(C31&lt;=0.01,0,MAX(ROUND(C31-F31,2),0))</f>
        <v/>
      </c>
      <c r="H31" s="50">
        <f>IFERROR(IF(Calculadora!$C$6&gt;0,1-(G31/Calculadora!$C$6),0),0)</f>
        <v/>
      </c>
    </row>
    <row r="32" ht="18" customHeight="1">
      <c r="A32" s="46" t="n">
        <v>28</v>
      </c>
      <c r="B32" s="47">
        <f>IFERROR(IF(C32&lt;=0.01,"",EDATE(B31,1)),"")</f>
        <v/>
      </c>
      <c r="C32" s="48">
        <f>IF(G31&lt;=0.01,0,G31)</f>
        <v/>
      </c>
      <c r="D32" s="48">
        <f>IF(C32&lt;=0.01,0,IF(A32&lt;Calculadora!$C$8,E32,E32+C32))</f>
        <v/>
      </c>
      <c r="E32" s="49">
        <f>IF(C32&lt;=0.01,0,ROUND(C32*Calculadora!$C$7/12,2))</f>
        <v/>
      </c>
      <c r="F32" s="48">
        <f>IF(C32&lt;=0.01,0,D32-E32)</f>
        <v/>
      </c>
      <c r="G32" s="48">
        <f>IF(C32&lt;=0.01,0,MAX(ROUND(C32-F32,2),0))</f>
        <v/>
      </c>
      <c r="H32" s="50">
        <f>IFERROR(IF(Calculadora!$C$6&gt;0,1-(G32/Calculadora!$C$6),0),0)</f>
        <v/>
      </c>
    </row>
    <row r="33" ht="18" customHeight="1">
      <c r="A33" s="46" t="n">
        <v>29</v>
      </c>
      <c r="B33" s="47">
        <f>IFERROR(IF(C33&lt;=0.01,"",EDATE(B32,1)),"")</f>
        <v/>
      </c>
      <c r="C33" s="48">
        <f>IF(G32&lt;=0.01,0,G32)</f>
        <v/>
      </c>
      <c r="D33" s="48">
        <f>IF(C33&lt;=0.01,0,IF(A33&lt;Calculadora!$C$8,E33,E33+C33))</f>
        <v/>
      </c>
      <c r="E33" s="49">
        <f>IF(C33&lt;=0.01,0,ROUND(C33*Calculadora!$C$7/12,2))</f>
        <v/>
      </c>
      <c r="F33" s="48">
        <f>IF(C33&lt;=0.01,0,D33-E33)</f>
        <v/>
      </c>
      <c r="G33" s="48">
        <f>IF(C33&lt;=0.01,0,MAX(ROUND(C33-F33,2),0))</f>
        <v/>
      </c>
      <c r="H33" s="50">
        <f>IFERROR(IF(Calculadora!$C$6&gt;0,1-(G33/Calculadora!$C$6),0),0)</f>
        <v/>
      </c>
    </row>
    <row r="34" ht="18" customHeight="1">
      <c r="A34" s="46" t="n">
        <v>30</v>
      </c>
      <c r="B34" s="47">
        <f>IFERROR(IF(C34&lt;=0.01,"",EDATE(B33,1)),"")</f>
        <v/>
      </c>
      <c r="C34" s="48">
        <f>IF(G33&lt;=0.01,0,G33)</f>
        <v/>
      </c>
      <c r="D34" s="48">
        <f>IF(C34&lt;=0.01,0,IF(A34&lt;Calculadora!$C$8,E34,E34+C34))</f>
        <v/>
      </c>
      <c r="E34" s="49">
        <f>IF(C34&lt;=0.01,0,ROUND(C34*Calculadora!$C$7/12,2))</f>
        <v/>
      </c>
      <c r="F34" s="48">
        <f>IF(C34&lt;=0.01,0,D34-E34)</f>
        <v/>
      </c>
      <c r="G34" s="48">
        <f>IF(C34&lt;=0.01,0,MAX(ROUND(C34-F34,2),0))</f>
        <v/>
      </c>
      <c r="H34" s="50">
        <f>IFERROR(IF(Calculadora!$C$6&gt;0,1-(G34/Calculadora!$C$6),0),0)</f>
        <v/>
      </c>
    </row>
    <row r="35" ht="18" customHeight="1">
      <c r="A35" s="46" t="n">
        <v>31</v>
      </c>
      <c r="B35" s="47">
        <f>IFERROR(IF(C35&lt;=0.01,"",EDATE(B34,1)),"")</f>
        <v/>
      </c>
      <c r="C35" s="48">
        <f>IF(G34&lt;=0.01,0,G34)</f>
        <v/>
      </c>
      <c r="D35" s="48">
        <f>IF(C35&lt;=0.01,0,IF(A35&lt;Calculadora!$C$8,E35,E35+C35))</f>
        <v/>
      </c>
      <c r="E35" s="49">
        <f>IF(C35&lt;=0.01,0,ROUND(C35*Calculadora!$C$7/12,2))</f>
        <v/>
      </c>
      <c r="F35" s="48">
        <f>IF(C35&lt;=0.01,0,D35-E35)</f>
        <v/>
      </c>
      <c r="G35" s="48">
        <f>IF(C35&lt;=0.01,0,MAX(ROUND(C35-F35,2),0))</f>
        <v/>
      </c>
      <c r="H35" s="50">
        <f>IFERROR(IF(Calculadora!$C$6&gt;0,1-(G35/Calculadora!$C$6),0),0)</f>
        <v/>
      </c>
    </row>
    <row r="36" ht="18" customHeight="1">
      <c r="A36" s="46" t="n">
        <v>32</v>
      </c>
      <c r="B36" s="47">
        <f>IFERROR(IF(C36&lt;=0.01,"",EDATE(B35,1)),"")</f>
        <v/>
      </c>
      <c r="C36" s="48">
        <f>IF(G35&lt;=0.01,0,G35)</f>
        <v/>
      </c>
      <c r="D36" s="48">
        <f>IF(C36&lt;=0.01,0,IF(A36&lt;Calculadora!$C$8,E36,E36+C36))</f>
        <v/>
      </c>
      <c r="E36" s="49">
        <f>IF(C36&lt;=0.01,0,ROUND(C36*Calculadora!$C$7/12,2))</f>
        <v/>
      </c>
      <c r="F36" s="48">
        <f>IF(C36&lt;=0.01,0,D36-E36)</f>
        <v/>
      </c>
      <c r="G36" s="48">
        <f>IF(C36&lt;=0.01,0,MAX(ROUND(C36-F36,2),0))</f>
        <v/>
      </c>
      <c r="H36" s="50">
        <f>IFERROR(IF(Calculadora!$C$6&gt;0,1-(G36/Calculadora!$C$6),0),0)</f>
        <v/>
      </c>
    </row>
    <row r="37" ht="18" customHeight="1">
      <c r="A37" s="46" t="n">
        <v>33</v>
      </c>
      <c r="B37" s="47">
        <f>IFERROR(IF(C37&lt;=0.01,"",EDATE(B36,1)),"")</f>
        <v/>
      </c>
      <c r="C37" s="48">
        <f>IF(G36&lt;=0.01,0,G36)</f>
        <v/>
      </c>
      <c r="D37" s="48">
        <f>IF(C37&lt;=0.01,0,IF(A37&lt;Calculadora!$C$8,E37,E37+C37))</f>
        <v/>
      </c>
      <c r="E37" s="49">
        <f>IF(C37&lt;=0.01,0,ROUND(C37*Calculadora!$C$7/12,2))</f>
        <v/>
      </c>
      <c r="F37" s="48">
        <f>IF(C37&lt;=0.01,0,D37-E37)</f>
        <v/>
      </c>
      <c r="G37" s="48">
        <f>IF(C37&lt;=0.01,0,MAX(ROUND(C37-F37,2),0))</f>
        <v/>
      </c>
      <c r="H37" s="50">
        <f>IFERROR(IF(Calculadora!$C$6&gt;0,1-(G37/Calculadora!$C$6),0),0)</f>
        <v/>
      </c>
    </row>
    <row r="38" ht="18" customHeight="1">
      <c r="A38" s="46" t="n">
        <v>34</v>
      </c>
      <c r="B38" s="47">
        <f>IFERROR(IF(C38&lt;=0.01,"",EDATE(B37,1)),"")</f>
        <v/>
      </c>
      <c r="C38" s="48">
        <f>IF(G37&lt;=0.01,0,G37)</f>
        <v/>
      </c>
      <c r="D38" s="48">
        <f>IF(C38&lt;=0.01,0,IF(A38&lt;Calculadora!$C$8,E38,E38+C38))</f>
        <v/>
      </c>
      <c r="E38" s="49">
        <f>IF(C38&lt;=0.01,0,ROUND(C38*Calculadora!$C$7/12,2))</f>
        <v/>
      </c>
      <c r="F38" s="48">
        <f>IF(C38&lt;=0.01,0,D38-E38)</f>
        <v/>
      </c>
      <c r="G38" s="48">
        <f>IF(C38&lt;=0.01,0,MAX(ROUND(C38-F38,2),0))</f>
        <v/>
      </c>
      <c r="H38" s="50">
        <f>IFERROR(IF(Calculadora!$C$6&gt;0,1-(G38/Calculadora!$C$6),0),0)</f>
        <v/>
      </c>
    </row>
    <row r="39" ht="18" customHeight="1">
      <c r="A39" s="46" t="n">
        <v>35</v>
      </c>
      <c r="B39" s="47">
        <f>IFERROR(IF(C39&lt;=0.01,"",EDATE(B38,1)),"")</f>
        <v/>
      </c>
      <c r="C39" s="48">
        <f>IF(G38&lt;=0.01,0,G38)</f>
        <v/>
      </c>
      <c r="D39" s="48">
        <f>IF(C39&lt;=0.01,0,IF(A39&lt;Calculadora!$C$8,E39,E39+C39))</f>
        <v/>
      </c>
      <c r="E39" s="49">
        <f>IF(C39&lt;=0.01,0,ROUND(C39*Calculadora!$C$7/12,2))</f>
        <v/>
      </c>
      <c r="F39" s="48">
        <f>IF(C39&lt;=0.01,0,D39-E39)</f>
        <v/>
      </c>
      <c r="G39" s="48">
        <f>IF(C39&lt;=0.01,0,MAX(ROUND(C39-F39,2),0))</f>
        <v/>
      </c>
      <c r="H39" s="50">
        <f>IFERROR(IF(Calculadora!$C$6&gt;0,1-(G39/Calculadora!$C$6),0),0)</f>
        <v/>
      </c>
    </row>
    <row r="40" ht="18" customHeight="1">
      <c r="A40" s="46" t="n">
        <v>36</v>
      </c>
      <c r="B40" s="47">
        <f>IFERROR(IF(C40&lt;=0.01,"",EDATE(B39,1)),"")</f>
        <v/>
      </c>
      <c r="C40" s="48">
        <f>IF(G39&lt;=0.01,0,G39)</f>
        <v/>
      </c>
      <c r="D40" s="48">
        <f>IF(C40&lt;=0.01,0,IF(A40&lt;Calculadora!$C$8,E40,E40+C40))</f>
        <v/>
      </c>
      <c r="E40" s="49">
        <f>IF(C40&lt;=0.01,0,ROUND(C40*Calculadora!$C$7/12,2))</f>
        <v/>
      </c>
      <c r="F40" s="48">
        <f>IF(C40&lt;=0.01,0,D40-E40)</f>
        <v/>
      </c>
      <c r="G40" s="48">
        <f>IF(C40&lt;=0.01,0,MAX(ROUND(C40-F40,2),0))</f>
        <v/>
      </c>
      <c r="H40" s="50">
        <f>IFERROR(IF(Calculadora!$C$6&gt;0,1-(G40/Calculadora!$C$6),0),0)</f>
        <v/>
      </c>
    </row>
    <row r="41" ht="18" customHeight="1">
      <c r="A41" s="46" t="n">
        <v>37</v>
      </c>
      <c r="B41" s="47">
        <f>IFERROR(IF(C41&lt;=0.01,"",EDATE(B40,1)),"")</f>
        <v/>
      </c>
      <c r="C41" s="48">
        <f>IF(G40&lt;=0.01,0,G40)</f>
        <v/>
      </c>
      <c r="D41" s="48">
        <f>IF(C41&lt;=0.01,0,IF(A41&lt;Calculadora!$C$8,E41,E41+C41))</f>
        <v/>
      </c>
      <c r="E41" s="49">
        <f>IF(C41&lt;=0.01,0,ROUND(C41*Calculadora!$C$7/12,2))</f>
        <v/>
      </c>
      <c r="F41" s="48">
        <f>IF(C41&lt;=0.01,0,D41-E41)</f>
        <v/>
      </c>
      <c r="G41" s="48">
        <f>IF(C41&lt;=0.01,0,MAX(ROUND(C41-F41,2),0))</f>
        <v/>
      </c>
      <c r="H41" s="50">
        <f>IFERROR(IF(Calculadora!$C$6&gt;0,1-(G41/Calculadora!$C$6),0),0)</f>
        <v/>
      </c>
    </row>
    <row r="42" ht="18" customHeight="1">
      <c r="A42" s="46" t="n">
        <v>38</v>
      </c>
      <c r="B42" s="47">
        <f>IFERROR(IF(C42&lt;=0.01,"",EDATE(B41,1)),"")</f>
        <v/>
      </c>
      <c r="C42" s="48">
        <f>IF(G41&lt;=0.01,0,G41)</f>
        <v/>
      </c>
      <c r="D42" s="48">
        <f>IF(C42&lt;=0.01,0,IF(A42&lt;Calculadora!$C$8,E42,E42+C42))</f>
        <v/>
      </c>
      <c r="E42" s="49">
        <f>IF(C42&lt;=0.01,0,ROUND(C42*Calculadora!$C$7/12,2))</f>
        <v/>
      </c>
      <c r="F42" s="48">
        <f>IF(C42&lt;=0.01,0,D42-E42)</f>
        <v/>
      </c>
      <c r="G42" s="48">
        <f>IF(C42&lt;=0.01,0,MAX(ROUND(C42-F42,2),0))</f>
        <v/>
      </c>
      <c r="H42" s="50">
        <f>IFERROR(IF(Calculadora!$C$6&gt;0,1-(G42/Calculadora!$C$6),0),0)</f>
        <v/>
      </c>
    </row>
    <row r="43" ht="18" customHeight="1">
      <c r="A43" s="46" t="n">
        <v>39</v>
      </c>
      <c r="B43" s="47">
        <f>IFERROR(IF(C43&lt;=0.01,"",EDATE(B42,1)),"")</f>
        <v/>
      </c>
      <c r="C43" s="48">
        <f>IF(G42&lt;=0.01,0,G42)</f>
        <v/>
      </c>
      <c r="D43" s="48">
        <f>IF(C43&lt;=0.01,0,IF(A43&lt;Calculadora!$C$8,E43,E43+C43))</f>
        <v/>
      </c>
      <c r="E43" s="49">
        <f>IF(C43&lt;=0.01,0,ROUND(C43*Calculadora!$C$7/12,2))</f>
        <v/>
      </c>
      <c r="F43" s="48">
        <f>IF(C43&lt;=0.01,0,D43-E43)</f>
        <v/>
      </c>
      <c r="G43" s="48">
        <f>IF(C43&lt;=0.01,0,MAX(ROUND(C43-F43,2),0))</f>
        <v/>
      </c>
      <c r="H43" s="50">
        <f>IFERROR(IF(Calculadora!$C$6&gt;0,1-(G43/Calculadora!$C$6),0),0)</f>
        <v/>
      </c>
    </row>
    <row r="44" ht="18" customHeight="1">
      <c r="A44" s="46" t="n">
        <v>40</v>
      </c>
      <c r="B44" s="47">
        <f>IFERROR(IF(C44&lt;=0.01,"",EDATE(B43,1)),"")</f>
        <v/>
      </c>
      <c r="C44" s="48">
        <f>IF(G43&lt;=0.01,0,G43)</f>
        <v/>
      </c>
      <c r="D44" s="48">
        <f>IF(C44&lt;=0.01,0,IF(A44&lt;Calculadora!$C$8,E44,E44+C44))</f>
        <v/>
      </c>
      <c r="E44" s="49">
        <f>IF(C44&lt;=0.01,0,ROUND(C44*Calculadora!$C$7/12,2))</f>
        <v/>
      </c>
      <c r="F44" s="48">
        <f>IF(C44&lt;=0.01,0,D44-E44)</f>
        <v/>
      </c>
      <c r="G44" s="48">
        <f>IF(C44&lt;=0.01,0,MAX(ROUND(C44-F44,2),0))</f>
        <v/>
      </c>
      <c r="H44" s="50">
        <f>IFERROR(IF(Calculadora!$C$6&gt;0,1-(G44/Calculadora!$C$6),0),0)</f>
        <v/>
      </c>
    </row>
    <row r="45" ht="18" customHeight="1">
      <c r="A45" s="46" t="n">
        <v>41</v>
      </c>
      <c r="B45" s="47">
        <f>IFERROR(IF(C45&lt;=0.01,"",EDATE(B44,1)),"")</f>
        <v/>
      </c>
      <c r="C45" s="48">
        <f>IF(G44&lt;=0.01,0,G44)</f>
        <v/>
      </c>
      <c r="D45" s="48">
        <f>IF(C45&lt;=0.01,0,IF(A45&lt;Calculadora!$C$8,E45,E45+C45))</f>
        <v/>
      </c>
      <c r="E45" s="49">
        <f>IF(C45&lt;=0.01,0,ROUND(C45*Calculadora!$C$7/12,2))</f>
        <v/>
      </c>
      <c r="F45" s="48">
        <f>IF(C45&lt;=0.01,0,D45-E45)</f>
        <v/>
      </c>
      <c r="G45" s="48">
        <f>IF(C45&lt;=0.01,0,MAX(ROUND(C45-F45,2),0))</f>
        <v/>
      </c>
      <c r="H45" s="50">
        <f>IFERROR(IF(Calculadora!$C$6&gt;0,1-(G45/Calculadora!$C$6),0),0)</f>
        <v/>
      </c>
    </row>
    <row r="46" ht="18" customHeight="1">
      <c r="A46" s="46" t="n">
        <v>42</v>
      </c>
      <c r="B46" s="47">
        <f>IFERROR(IF(C46&lt;=0.01,"",EDATE(B45,1)),"")</f>
        <v/>
      </c>
      <c r="C46" s="48">
        <f>IF(G45&lt;=0.01,0,G45)</f>
        <v/>
      </c>
      <c r="D46" s="48">
        <f>IF(C46&lt;=0.01,0,IF(A46&lt;Calculadora!$C$8,E46,E46+C46))</f>
        <v/>
      </c>
      <c r="E46" s="49">
        <f>IF(C46&lt;=0.01,0,ROUND(C46*Calculadora!$C$7/12,2))</f>
        <v/>
      </c>
      <c r="F46" s="48">
        <f>IF(C46&lt;=0.01,0,D46-E46)</f>
        <v/>
      </c>
      <c r="G46" s="48">
        <f>IF(C46&lt;=0.01,0,MAX(ROUND(C46-F46,2),0))</f>
        <v/>
      </c>
      <c r="H46" s="50">
        <f>IFERROR(IF(Calculadora!$C$6&gt;0,1-(G46/Calculadora!$C$6),0),0)</f>
        <v/>
      </c>
    </row>
    <row r="47" ht="18" customHeight="1">
      <c r="A47" s="46" t="n">
        <v>43</v>
      </c>
      <c r="B47" s="47">
        <f>IFERROR(IF(C47&lt;=0.01,"",EDATE(B46,1)),"")</f>
        <v/>
      </c>
      <c r="C47" s="48">
        <f>IF(G46&lt;=0.01,0,G46)</f>
        <v/>
      </c>
      <c r="D47" s="48">
        <f>IF(C47&lt;=0.01,0,IF(A47&lt;Calculadora!$C$8,E47,E47+C47))</f>
        <v/>
      </c>
      <c r="E47" s="49">
        <f>IF(C47&lt;=0.01,0,ROUND(C47*Calculadora!$C$7/12,2))</f>
        <v/>
      </c>
      <c r="F47" s="48">
        <f>IF(C47&lt;=0.01,0,D47-E47)</f>
        <v/>
      </c>
      <c r="G47" s="48">
        <f>IF(C47&lt;=0.01,0,MAX(ROUND(C47-F47,2),0))</f>
        <v/>
      </c>
      <c r="H47" s="50">
        <f>IFERROR(IF(Calculadora!$C$6&gt;0,1-(G47/Calculadora!$C$6),0),0)</f>
        <v/>
      </c>
    </row>
    <row r="48" ht="18" customHeight="1">
      <c r="A48" s="46" t="n">
        <v>44</v>
      </c>
      <c r="B48" s="47">
        <f>IFERROR(IF(C48&lt;=0.01,"",EDATE(B47,1)),"")</f>
        <v/>
      </c>
      <c r="C48" s="48">
        <f>IF(G47&lt;=0.01,0,G47)</f>
        <v/>
      </c>
      <c r="D48" s="48">
        <f>IF(C48&lt;=0.01,0,IF(A48&lt;Calculadora!$C$8,E48,E48+C48))</f>
        <v/>
      </c>
      <c r="E48" s="49">
        <f>IF(C48&lt;=0.01,0,ROUND(C48*Calculadora!$C$7/12,2))</f>
        <v/>
      </c>
      <c r="F48" s="48">
        <f>IF(C48&lt;=0.01,0,D48-E48)</f>
        <v/>
      </c>
      <c r="G48" s="48">
        <f>IF(C48&lt;=0.01,0,MAX(ROUND(C48-F48,2),0))</f>
        <v/>
      </c>
      <c r="H48" s="50">
        <f>IFERROR(IF(Calculadora!$C$6&gt;0,1-(G48/Calculadora!$C$6),0),0)</f>
        <v/>
      </c>
    </row>
    <row r="49" ht="18" customHeight="1">
      <c r="A49" s="46" t="n">
        <v>45</v>
      </c>
      <c r="B49" s="47">
        <f>IFERROR(IF(C49&lt;=0.01,"",EDATE(B48,1)),"")</f>
        <v/>
      </c>
      <c r="C49" s="48">
        <f>IF(G48&lt;=0.01,0,G48)</f>
        <v/>
      </c>
      <c r="D49" s="48">
        <f>IF(C49&lt;=0.01,0,IF(A49&lt;Calculadora!$C$8,E49,E49+C49))</f>
        <v/>
      </c>
      <c r="E49" s="49">
        <f>IF(C49&lt;=0.01,0,ROUND(C49*Calculadora!$C$7/12,2))</f>
        <v/>
      </c>
      <c r="F49" s="48">
        <f>IF(C49&lt;=0.01,0,D49-E49)</f>
        <v/>
      </c>
      <c r="G49" s="48">
        <f>IF(C49&lt;=0.01,0,MAX(ROUND(C49-F49,2),0))</f>
        <v/>
      </c>
      <c r="H49" s="50">
        <f>IFERROR(IF(Calculadora!$C$6&gt;0,1-(G49/Calculadora!$C$6),0),0)</f>
        <v/>
      </c>
    </row>
    <row r="50" ht="18" customHeight="1">
      <c r="A50" s="46" t="n">
        <v>46</v>
      </c>
      <c r="B50" s="47">
        <f>IFERROR(IF(C50&lt;=0.01,"",EDATE(B49,1)),"")</f>
        <v/>
      </c>
      <c r="C50" s="48">
        <f>IF(G49&lt;=0.01,0,G49)</f>
        <v/>
      </c>
      <c r="D50" s="48">
        <f>IF(C50&lt;=0.01,0,IF(A50&lt;Calculadora!$C$8,E50,E50+C50))</f>
        <v/>
      </c>
      <c r="E50" s="49">
        <f>IF(C50&lt;=0.01,0,ROUND(C50*Calculadora!$C$7/12,2))</f>
        <v/>
      </c>
      <c r="F50" s="48">
        <f>IF(C50&lt;=0.01,0,D50-E50)</f>
        <v/>
      </c>
      <c r="G50" s="48">
        <f>IF(C50&lt;=0.01,0,MAX(ROUND(C50-F50,2),0))</f>
        <v/>
      </c>
      <c r="H50" s="50">
        <f>IFERROR(IF(Calculadora!$C$6&gt;0,1-(G50/Calculadora!$C$6),0),0)</f>
        <v/>
      </c>
    </row>
    <row r="51" ht="18" customHeight="1">
      <c r="A51" s="46" t="n">
        <v>47</v>
      </c>
      <c r="B51" s="47">
        <f>IFERROR(IF(C51&lt;=0.01,"",EDATE(B50,1)),"")</f>
        <v/>
      </c>
      <c r="C51" s="48">
        <f>IF(G50&lt;=0.01,0,G50)</f>
        <v/>
      </c>
      <c r="D51" s="48">
        <f>IF(C51&lt;=0.01,0,IF(A51&lt;Calculadora!$C$8,E51,E51+C51))</f>
        <v/>
      </c>
      <c r="E51" s="49">
        <f>IF(C51&lt;=0.01,0,ROUND(C51*Calculadora!$C$7/12,2))</f>
        <v/>
      </c>
      <c r="F51" s="48">
        <f>IF(C51&lt;=0.01,0,D51-E51)</f>
        <v/>
      </c>
      <c r="G51" s="48">
        <f>IF(C51&lt;=0.01,0,MAX(ROUND(C51-F51,2),0))</f>
        <v/>
      </c>
      <c r="H51" s="50">
        <f>IFERROR(IF(Calculadora!$C$6&gt;0,1-(G51/Calculadora!$C$6),0),0)</f>
        <v/>
      </c>
    </row>
    <row r="52" ht="18" customHeight="1">
      <c r="A52" s="46" t="n">
        <v>48</v>
      </c>
      <c r="B52" s="47">
        <f>IFERROR(IF(C52&lt;=0.01,"",EDATE(B51,1)),"")</f>
        <v/>
      </c>
      <c r="C52" s="48">
        <f>IF(G51&lt;=0.01,0,G51)</f>
        <v/>
      </c>
      <c r="D52" s="48">
        <f>IF(C52&lt;=0.01,0,IF(A52&lt;Calculadora!$C$8,E52,E52+C52))</f>
        <v/>
      </c>
      <c r="E52" s="49">
        <f>IF(C52&lt;=0.01,0,ROUND(C52*Calculadora!$C$7/12,2))</f>
        <v/>
      </c>
      <c r="F52" s="48">
        <f>IF(C52&lt;=0.01,0,D52-E52)</f>
        <v/>
      </c>
      <c r="G52" s="48">
        <f>IF(C52&lt;=0.01,0,MAX(ROUND(C52-F52,2),0))</f>
        <v/>
      </c>
      <c r="H52" s="50">
        <f>IFERROR(IF(Calculadora!$C$6&gt;0,1-(G52/Calculadora!$C$6),0),0)</f>
        <v/>
      </c>
    </row>
    <row r="53" ht="18" customHeight="1">
      <c r="A53" s="46" t="n">
        <v>49</v>
      </c>
      <c r="B53" s="47">
        <f>IFERROR(IF(C53&lt;=0.01,"",EDATE(B52,1)),"")</f>
        <v/>
      </c>
      <c r="C53" s="48">
        <f>IF(G52&lt;=0.01,0,G52)</f>
        <v/>
      </c>
      <c r="D53" s="48">
        <f>IF(C53&lt;=0.01,0,IF(A53&lt;Calculadora!$C$8,E53,E53+C53))</f>
        <v/>
      </c>
      <c r="E53" s="49">
        <f>IF(C53&lt;=0.01,0,ROUND(C53*Calculadora!$C$7/12,2))</f>
        <v/>
      </c>
      <c r="F53" s="48">
        <f>IF(C53&lt;=0.01,0,D53-E53)</f>
        <v/>
      </c>
      <c r="G53" s="48">
        <f>IF(C53&lt;=0.01,0,MAX(ROUND(C53-F53,2),0))</f>
        <v/>
      </c>
      <c r="H53" s="50">
        <f>IFERROR(IF(Calculadora!$C$6&gt;0,1-(G53/Calculadora!$C$6),0),0)</f>
        <v/>
      </c>
    </row>
    <row r="54" ht="18" customHeight="1">
      <c r="A54" s="46" t="n">
        <v>50</v>
      </c>
      <c r="B54" s="47">
        <f>IFERROR(IF(C54&lt;=0.01,"",EDATE(B53,1)),"")</f>
        <v/>
      </c>
      <c r="C54" s="48">
        <f>IF(G53&lt;=0.01,0,G53)</f>
        <v/>
      </c>
      <c r="D54" s="48">
        <f>IF(C54&lt;=0.01,0,IF(A54&lt;Calculadora!$C$8,E54,E54+C54))</f>
        <v/>
      </c>
      <c r="E54" s="49">
        <f>IF(C54&lt;=0.01,0,ROUND(C54*Calculadora!$C$7/12,2))</f>
        <v/>
      </c>
      <c r="F54" s="48">
        <f>IF(C54&lt;=0.01,0,D54-E54)</f>
        <v/>
      </c>
      <c r="G54" s="48">
        <f>IF(C54&lt;=0.01,0,MAX(ROUND(C54-F54,2),0))</f>
        <v/>
      </c>
      <c r="H54" s="50">
        <f>IFERROR(IF(Calculadora!$C$6&gt;0,1-(G54/Calculadora!$C$6),0),0)</f>
        <v/>
      </c>
    </row>
    <row r="55" ht="18" customHeight="1">
      <c r="A55" s="46" t="n">
        <v>51</v>
      </c>
      <c r="B55" s="47">
        <f>IFERROR(IF(C55&lt;=0.01,"",EDATE(B54,1)),"")</f>
        <v/>
      </c>
      <c r="C55" s="48">
        <f>IF(G54&lt;=0.01,0,G54)</f>
        <v/>
      </c>
      <c r="D55" s="48">
        <f>IF(C55&lt;=0.01,0,IF(A55&lt;Calculadora!$C$8,E55,E55+C55))</f>
        <v/>
      </c>
      <c r="E55" s="49">
        <f>IF(C55&lt;=0.01,0,ROUND(C55*Calculadora!$C$7/12,2))</f>
        <v/>
      </c>
      <c r="F55" s="48">
        <f>IF(C55&lt;=0.01,0,D55-E55)</f>
        <v/>
      </c>
      <c r="G55" s="48">
        <f>IF(C55&lt;=0.01,0,MAX(ROUND(C55-F55,2),0))</f>
        <v/>
      </c>
      <c r="H55" s="50">
        <f>IFERROR(IF(Calculadora!$C$6&gt;0,1-(G55/Calculadora!$C$6),0),0)</f>
        <v/>
      </c>
    </row>
    <row r="56" ht="18" customHeight="1">
      <c r="A56" s="46" t="n">
        <v>52</v>
      </c>
      <c r="B56" s="47">
        <f>IFERROR(IF(C56&lt;=0.01,"",EDATE(B55,1)),"")</f>
        <v/>
      </c>
      <c r="C56" s="48">
        <f>IF(G55&lt;=0.01,0,G55)</f>
        <v/>
      </c>
      <c r="D56" s="48">
        <f>IF(C56&lt;=0.01,0,IF(A56&lt;Calculadora!$C$8,E56,E56+C56))</f>
        <v/>
      </c>
      <c r="E56" s="49">
        <f>IF(C56&lt;=0.01,0,ROUND(C56*Calculadora!$C$7/12,2))</f>
        <v/>
      </c>
      <c r="F56" s="48">
        <f>IF(C56&lt;=0.01,0,D56-E56)</f>
        <v/>
      </c>
      <c r="G56" s="48">
        <f>IF(C56&lt;=0.01,0,MAX(ROUND(C56-F56,2),0))</f>
        <v/>
      </c>
      <c r="H56" s="50">
        <f>IFERROR(IF(Calculadora!$C$6&gt;0,1-(G56/Calculadora!$C$6),0),0)</f>
        <v/>
      </c>
    </row>
    <row r="57" ht="18" customHeight="1">
      <c r="A57" s="46" t="n">
        <v>53</v>
      </c>
      <c r="B57" s="47">
        <f>IFERROR(IF(C57&lt;=0.01,"",EDATE(B56,1)),"")</f>
        <v/>
      </c>
      <c r="C57" s="48">
        <f>IF(G56&lt;=0.01,0,G56)</f>
        <v/>
      </c>
      <c r="D57" s="48">
        <f>IF(C57&lt;=0.01,0,IF(A57&lt;Calculadora!$C$8,E57,E57+C57))</f>
        <v/>
      </c>
      <c r="E57" s="49">
        <f>IF(C57&lt;=0.01,0,ROUND(C57*Calculadora!$C$7/12,2))</f>
        <v/>
      </c>
      <c r="F57" s="48">
        <f>IF(C57&lt;=0.01,0,D57-E57)</f>
        <v/>
      </c>
      <c r="G57" s="48">
        <f>IF(C57&lt;=0.01,0,MAX(ROUND(C57-F57,2),0))</f>
        <v/>
      </c>
      <c r="H57" s="50">
        <f>IFERROR(IF(Calculadora!$C$6&gt;0,1-(G57/Calculadora!$C$6),0),0)</f>
        <v/>
      </c>
    </row>
    <row r="58" ht="18" customHeight="1">
      <c r="A58" s="46" t="n">
        <v>54</v>
      </c>
      <c r="B58" s="47">
        <f>IFERROR(IF(C58&lt;=0.01,"",EDATE(B57,1)),"")</f>
        <v/>
      </c>
      <c r="C58" s="48">
        <f>IF(G57&lt;=0.01,0,G57)</f>
        <v/>
      </c>
      <c r="D58" s="48">
        <f>IF(C58&lt;=0.01,0,IF(A58&lt;Calculadora!$C$8,E58,E58+C58))</f>
        <v/>
      </c>
      <c r="E58" s="49">
        <f>IF(C58&lt;=0.01,0,ROUND(C58*Calculadora!$C$7/12,2))</f>
        <v/>
      </c>
      <c r="F58" s="48">
        <f>IF(C58&lt;=0.01,0,D58-E58)</f>
        <v/>
      </c>
      <c r="G58" s="48">
        <f>IF(C58&lt;=0.01,0,MAX(ROUND(C58-F58,2),0))</f>
        <v/>
      </c>
      <c r="H58" s="50">
        <f>IFERROR(IF(Calculadora!$C$6&gt;0,1-(G58/Calculadora!$C$6),0),0)</f>
        <v/>
      </c>
    </row>
    <row r="59" ht="18" customHeight="1">
      <c r="A59" s="46" t="n">
        <v>55</v>
      </c>
      <c r="B59" s="47">
        <f>IFERROR(IF(C59&lt;=0.01,"",EDATE(B58,1)),"")</f>
        <v/>
      </c>
      <c r="C59" s="48">
        <f>IF(G58&lt;=0.01,0,G58)</f>
        <v/>
      </c>
      <c r="D59" s="48">
        <f>IF(C59&lt;=0.01,0,IF(A59&lt;Calculadora!$C$8,E59,E59+C59))</f>
        <v/>
      </c>
      <c r="E59" s="49">
        <f>IF(C59&lt;=0.01,0,ROUND(C59*Calculadora!$C$7/12,2))</f>
        <v/>
      </c>
      <c r="F59" s="48">
        <f>IF(C59&lt;=0.01,0,D59-E59)</f>
        <v/>
      </c>
      <c r="G59" s="48">
        <f>IF(C59&lt;=0.01,0,MAX(ROUND(C59-F59,2),0))</f>
        <v/>
      </c>
      <c r="H59" s="50">
        <f>IFERROR(IF(Calculadora!$C$6&gt;0,1-(G59/Calculadora!$C$6),0),0)</f>
        <v/>
      </c>
    </row>
    <row r="60" ht="18" customHeight="1">
      <c r="A60" s="46" t="n">
        <v>56</v>
      </c>
      <c r="B60" s="47">
        <f>IFERROR(IF(C60&lt;=0.01,"",EDATE(B59,1)),"")</f>
        <v/>
      </c>
      <c r="C60" s="48">
        <f>IF(G59&lt;=0.01,0,G59)</f>
        <v/>
      </c>
      <c r="D60" s="48">
        <f>IF(C60&lt;=0.01,0,IF(A60&lt;Calculadora!$C$8,E60,E60+C60))</f>
        <v/>
      </c>
      <c r="E60" s="49">
        <f>IF(C60&lt;=0.01,0,ROUND(C60*Calculadora!$C$7/12,2))</f>
        <v/>
      </c>
      <c r="F60" s="48">
        <f>IF(C60&lt;=0.01,0,D60-E60)</f>
        <v/>
      </c>
      <c r="G60" s="48">
        <f>IF(C60&lt;=0.01,0,MAX(ROUND(C60-F60,2),0))</f>
        <v/>
      </c>
      <c r="H60" s="50">
        <f>IFERROR(IF(Calculadora!$C$6&gt;0,1-(G60/Calculadora!$C$6),0),0)</f>
        <v/>
      </c>
    </row>
    <row r="61" ht="18" customHeight="1">
      <c r="A61" s="46" t="n">
        <v>57</v>
      </c>
      <c r="B61" s="47">
        <f>IFERROR(IF(C61&lt;=0.01,"",EDATE(B60,1)),"")</f>
        <v/>
      </c>
      <c r="C61" s="48">
        <f>IF(G60&lt;=0.01,0,G60)</f>
        <v/>
      </c>
      <c r="D61" s="48">
        <f>IF(C61&lt;=0.01,0,IF(A61&lt;Calculadora!$C$8,E61,E61+C61))</f>
        <v/>
      </c>
      <c r="E61" s="49">
        <f>IF(C61&lt;=0.01,0,ROUND(C61*Calculadora!$C$7/12,2))</f>
        <v/>
      </c>
      <c r="F61" s="48">
        <f>IF(C61&lt;=0.01,0,D61-E61)</f>
        <v/>
      </c>
      <c r="G61" s="48">
        <f>IF(C61&lt;=0.01,0,MAX(ROUND(C61-F61,2),0))</f>
        <v/>
      </c>
      <c r="H61" s="50">
        <f>IFERROR(IF(Calculadora!$C$6&gt;0,1-(G61/Calculadora!$C$6),0),0)</f>
        <v/>
      </c>
    </row>
    <row r="62" ht="18" customHeight="1">
      <c r="A62" s="46" t="n">
        <v>58</v>
      </c>
      <c r="B62" s="47">
        <f>IFERROR(IF(C62&lt;=0.01,"",EDATE(B61,1)),"")</f>
        <v/>
      </c>
      <c r="C62" s="48">
        <f>IF(G61&lt;=0.01,0,G61)</f>
        <v/>
      </c>
      <c r="D62" s="48">
        <f>IF(C62&lt;=0.01,0,IF(A62&lt;Calculadora!$C$8,E62,E62+C62))</f>
        <v/>
      </c>
      <c r="E62" s="49">
        <f>IF(C62&lt;=0.01,0,ROUND(C62*Calculadora!$C$7/12,2))</f>
        <v/>
      </c>
      <c r="F62" s="48">
        <f>IF(C62&lt;=0.01,0,D62-E62)</f>
        <v/>
      </c>
      <c r="G62" s="48">
        <f>IF(C62&lt;=0.01,0,MAX(ROUND(C62-F62,2),0))</f>
        <v/>
      </c>
      <c r="H62" s="50">
        <f>IFERROR(IF(Calculadora!$C$6&gt;0,1-(G62/Calculadora!$C$6),0),0)</f>
        <v/>
      </c>
    </row>
    <row r="63" ht="18" customHeight="1">
      <c r="A63" s="46" t="n">
        <v>59</v>
      </c>
      <c r="B63" s="47">
        <f>IFERROR(IF(C63&lt;=0.01,"",EDATE(B62,1)),"")</f>
        <v/>
      </c>
      <c r="C63" s="48">
        <f>IF(G62&lt;=0.01,0,G62)</f>
        <v/>
      </c>
      <c r="D63" s="48">
        <f>IF(C63&lt;=0.01,0,IF(A63&lt;Calculadora!$C$8,E63,E63+C63))</f>
        <v/>
      </c>
      <c r="E63" s="49">
        <f>IF(C63&lt;=0.01,0,ROUND(C63*Calculadora!$C$7/12,2))</f>
        <v/>
      </c>
      <c r="F63" s="48">
        <f>IF(C63&lt;=0.01,0,D63-E63)</f>
        <v/>
      </c>
      <c r="G63" s="48">
        <f>IF(C63&lt;=0.01,0,MAX(ROUND(C63-F63,2),0))</f>
        <v/>
      </c>
      <c r="H63" s="50">
        <f>IFERROR(IF(Calculadora!$C$6&gt;0,1-(G63/Calculadora!$C$6),0),0)</f>
        <v/>
      </c>
    </row>
    <row r="64" ht="18" customHeight="1">
      <c r="A64" s="46" t="n">
        <v>60</v>
      </c>
      <c r="B64" s="47">
        <f>IFERROR(IF(C64&lt;=0.01,"",EDATE(B63,1)),"")</f>
        <v/>
      </c>
      <c r="C64" s="48">
        <f>IF(G63&lt;=0.01,0,G63)</f>
        <v/>
      </c>
      <c r="D64" s="48">
        <f>IF(C64&lt;=0.01,0,IF(A64&lt;Calculadora!$C$8,E64,E64+C64))</f>
        <v/>
      </c>
      <c r="E64" s="49">
        <f>IF(C64&lt;=0.01,0,ROUND(C64*Calculadora!$C$7/12,2))</f>
        <v/>
      </c>
      <c r="F64" s="48">
        <f>IF(C64&lt;=0.01,0,D64-E64)</f>
        <v/>
      </c>
      <c r="G64" s="48">
        <f>IF(C64&lt;=0.01,0,MAX(ROUND(C64-F64,2),0))</f>
        <v/>
      </c>
      <c r="H64" s="50">
        <f>IFERROR(IF(Calculadora!$C$6&gt;0,1-(G64/Calculadora!$C$6),0),0)</f>
        <v/>
      </c>
    </row>
    <row r="65" ht="18" customHeight="1">
      <c r="A65" s="46" t="n">
        <v>61</v>
      </c>
      <c r="B65" s="47">
        <f>IFERROR(IF(C65&lt;=0.01,"",EDATE(B64,1)),"")</f>
        <v/>
      </c>
      <c r="C65" s="48">
        <f>IF(G64&lt;=0.01,0,G64)</f>
        <v/>
      </c>
      <c r="D65" s="48">
        <f>IF(C65&lt;=0.01,0,IF(A65&lt;Calculadora!$C$8,E65,E65+C65))</f>
        <v/>
      </c>
      <c r="E65" s="49">
        <f>IF(C65&lt;=0.01,0,ROUND(C65*Calculadora!$C$7/12,2))</f>
        <v/>
      </c>
      <c r="F65" s="48">
        <f>IF(C65&lt;=0.01,0,D65-E65)</f>
        <v/>
      </c>
      <c r="G65" s="48">
        <f>IF(C65&lt;=0.01,0,MAX(ROUND(C65-F65,2),0))</f>
        <v/>
      </c>
      <c r="H65" s="50">
        <f>IFERROR(IF(Calculadora!$C$6&gt;0,1-(G65/Calculadora!$C$6),0),0)</f>
        <v/>
      </c>
    </row>
    <row r="66" ht="18" customHeight="1">
      <c r="A66" s="46" t="n">
        <v>62</v>
      </c>
      <c r="B66" s="47">
        <f>IFERROR(IF(C66&lt;=0.01,"",EDATE(B65,1)),"")</f>
        <v/>
      </c>
      <c r="C66" s="48">
        <f>IF(G65&lt;=0.01,0,G65)</f>
        <v/>
      </c>
      <c r="D66" s="48">
        <f>IF(C66&lt;=0.01,0,IF(A66&lt;Calculadora!$C$8,E66,E66+C66))</f>
        <v/>
      </c>
      <c r="E66" s="49">
        <f>IF(C66&lt;=0.01,0,ROUND(C66*Calculadora!$C$7/12,2))</f>
        <v/>
      </c>
      <c r="F66" s="48">
        <f>IF(C66&lt;=0.01,0,D66-E66)</f>
        <v/>
      </c>
      <c r="G66" s="48">
        <f>IF(C66&lt;=0.01,0,MAX(ROUND(C66-F66,2),0))</f>
        <v/>
      </c>
      <c r="H66" s="50">
        <f>IFERROR(IF(Calculadora!$C$6&gt;0,1-(G66/Calculadora!$C$6),0),0)</f>
        <v/>
      </c>
    </row>
    <row r="67" ht="18" customHeight="1">
      <c r="A67" s="46" t="n">
        <v>63</v>
      </c>
      <c r="B67" s="47">
        <f>IFERROR(IF(C67&lt;=0.01,"",EDATE(B66,1)),"")</f>
        <v/>
      </c>
      <c r="C67" s="48">
        <f>IF(G66&lt;=0.01,0,G66)</f>
        <v/>
      </c>
      <c r="D67" s="48">
        <f>IF(C67&lt;=0.01,0,IF(A67&lt;Calculadora!$C$8,E67,E67+C67))</f>
        <v/>
      </c>
      <c r="E67" s="49">
        <f>IF(C67&lt;=0.01,0,ROUND(C67*Calculadora!$C$7/12,2))</f>
        <v/>
      </c>
      <c r="F67" s="48">
        <f>IF(C67&lt;=0.01,0,D67-E67)</f>
        <v/>
      </c>
      <c r="G67" s="48">
        <f>IF(C67&lt;=0.01,0,MAX(ROUND(C67-F67,2),0))</f>
        <v/>
      </c>
      <c r="H67" s="50">
        <f>IFERROR(IF(Calculadora!$C$6&gt;0,1-(G67/Calculadora!$C$6),0),0)</f>
        <v/>
      </c>
    </row>
    <row r="68" ht="18" customHeight="1">
      <c r="A68" s="46" t="n">
        <v>64</v>
      </c>
      <c r="B68" s="47">
        <f>IFERROR(IF(C68&lt;=0.01,"",EDATE(B67,1)),"")</f>
        <v/>
      </c>
      <c r="C68" s="48">
        <f>IF(G67&lt;=0.01,0,G67)</f>
        <v/>
      </c>
      <c r="D68" s="48">
        <f>IF(C68&lt;=0.01,0,IF(A68&lt;Calculadora!$C$8,E68,E68+C68))</f>
        <v/>
      </c>
      <c r="E68" s="49">
        <f>IF(C68&lt;=0.01,0,ROUND(C68*Calculadora!$C$7/12,2))</f>
        <v/>
      </c>
      <c r="F68" s="48">
        <f>IF(C68&lt;=0.01,0,D68-E68)</f>
        <v/>
      </c>
      <c r="G68" s="48">
        <f>IF(C68&lt;=0.01,0,MAX(ROUND(C68-F68,2),0))</f>
        <v/>
      </c>
      <c r="H68" s="50">
        <f>IFERROR(IF(Calculadora!$C$6&gt;0,1-(G68/Calculadora!$C$6),0),0)</f>
        <v/>
      </c>
    </row>
    <row r="69" ht="18" customHeight="1">
      <c r="A69" s="46" t="n">
        <v>65</v>
      </c>
      <c r="B69" s="47">
        <f>IFERROR(IF(C69&lt;=0.01,"",EDATE(B68,1)),"")</f>
        <v/>
      </c>
      <c r="C69" s="48">
        <f>IF(G68&lt;=0.01,0,G68)</f>
        <v/>
      </c>
      <c r="D69" s="48">
        <f>IF(C69&lt;=0.01,0,IF(A69&lt;Calculadora!$C$8,E69,E69+C69))</f>
        <v/>
      </c>
      <c r="E69" s="49">
        <f>IF(C69&lt;=0.01,0,ROUND(C69*Calculadora!$C$7/12,2))</f>
        <v/>
      </c>
      <c r="F69" s="48">
        <f>IF(C69&lt;=0.01,0,D69-E69)</f>
        <v/>
      </c>
      <c r="G69" s="48">
        <f>IF(C69&lt;=0.01,0,MAX(ROUND(C69-F69,2),0))</f>
        <v/>
      </c>
      <c r="H69" s="50">
        <f>IFERROR(IF(Calculadora!$C$6&gt;0,1-(G69/Calculadora!$C$6),0),0)</f>
        <v/>
      </c>
    </row>
    <row r="70" ht="18" customHeight="1">
      <c r="A70" s="46" t="n">
        <v>66</v>
      </c>
      <c r="B70" s="47">
        <f>IFERROR(IF(C70&lt;=0.01,"",EDATE(B69,1)),"")</f>
        <v/>
      </c>
      <c r="C70" s="48">
        <f>IF(G69&lt;=0.01,0,G69)</f>
        <v/>
      </c>
      <c r="D70" s="48">
        <f>IF(C70&lt;=0.01,0,IF(A70&lt;Calculadora!$C$8,E70,E70+C70))</f>
        <v/>
      </c>
      <c r="E70" s="49">
        <f>IF(C70&lt;=0.01,0,ROUND(C70*Calculadora!$C$7/12,2))</f>
        <v/>
      </c>
      <c r="F70" s="48">
        <f>IF(C70&lt;=0.01,0,D70-E70)</f>
        <v/>
      </c>
      <c r="G70" s="48">
        <f>IF(C70&lt;=0.01,0,MAX(ROUND(C70-F70,2),0))</f>
        <v/>
      </c>
      <c r="H70" s="50">
        <f>IFERROR(IF(Calculadora!$C$6&gt;0,1-(G70/Calculadora!$C$6),0),0)</f>
        <v/>
      </c>
    </row>
    <row r="71" ht="18" customHeight="1">
      <c r="A71" s="46" t="n">
        <v>67</v>
      </c>
      <c r="B71" s="47">
        <f>IFERROR(IF(C71&lt;=0.01,"",EDATE(B70,1)),"")</f>
        <v/>
      </c>
      <c r="C71" s="48">
        <f>IF(G70&lt;=0.01,0,G70)</f>
        <v/>
      </c>
      <c r="D71" s="48">
        <f>IF(C71&lt;=0.01,0,IF(A71&lt;Calculadora!$C$8,E71,E71+C71))</f>
        <v/>
      </c>
      <c r="E71" s="49">
        <f>IF(C71&lt;=0.01,0,ROUND(C71*Calculadora!$C$7/12,2))</f>
        <v/>
      </c>
      <c r="F71" s="48">
        <f>IF(C71&lt;=0.01,0,D71-E71)</f>
        <v/>
      </c>
      <c r="G71" s="48">
        <f>IF(C71&lt;=0.01,0,MAX(ROUND(C71-F71,2),0))</f>
        <v/>
      </c>
      <c r="H71" s="50">
        <f>IFERROR(IF(Calculadora!$C$6&gt;0,1-(G71/Calculadora!$C$6),0),0)</f>
        <v/>
      </c>
    </row>
    <row r="72" ht="18" customHeight="1">
      <c r="A72" s="46" t="n">
        <v>68</v>
      </c>
      <c r="B72" s="47">
        <f>IFERROR(IF(C72&lt;=0.01,"",EDATE(B71,1)),"")</f>
        <v/>
      </c>
      <c r="C72" s="48">
        <f>IF(G71&lt;=0.01,0,G71)</f>
        <v/>
      </c>
      <c r="D72" s="48">
        <f>IF(C72&lt;=0.01,0,IF(A72&lt;Calculadora!$C$8,E72,E72+C72))</f>
        <v/>
      </c>
      <c r="E72" s="49">
        <f>IF(C72&lt;=0.01,0,ROUND(C72*Calculadora!$C$7/12,2))</f>
        <v/>
      </c>
      <c r="F72" s="48">
        <f>IF(C72&lt;=0.01,0,D72-E72)</f>
        <v/>
      </c>
      <c r="G72" s="48">
        <f>IF(C72&lt;=0.01,0,MAX(ROUND(C72-F72,2),0))</f>
        <v/>
      </c>
      <c r="H72" s="50">
        <f>IFERROR(IF(Calculadora!$C$6&gt;0,1-(G72/Calculadora!$C$6),0),0)</f>
        <v/>
      </c>
    </row>
    <row r="73" ht="18" customHeight="1">
      <c r="A73" s="46" t="n">
        <v>69</v>
      </c>
      <c r="B73" s="47">
        <f>IFERROR(IF(C73&lt;=0.01,"",EDATE(B72,1)),"")</f>
        <v/>
      </c>
      <c r="C73" s="48">
        <f>IF(G72&lt;=0.01,0,G72)</f>
        <v/>
      </c>
      <c r="D73" s="48">
        <f>IF(C73&lt;=0.01,0,IF(A73&lt;Calculadora!$C$8,E73,E73+C73))</f>
        <v/>
      </c>
      <c r="E73" s="49">
        <f>IF(C73&lt;=0.01,0,ROUND(C73*Calculadora!$C$7/12,2))</f>
        <v/>
      </c>
      <c r="F73" s="48">
        <f>IF(C73&lt;=0.01,0,D73-E73)</f>
        <v/>
      </c>
      <c r="G73" s="48">
        <f>IF(C73&lt;=0.01,0,MAX(ROUND(C73-F73,2),0))</f>
        <v/>
      </c>
      <c r="H73" s="50">
        <f>IFERROR(IF(Calculadora!$C$6&gt;0,1-(G73/Calculadora!$C$6),0),0)</f>
        <v/>
      </c>
    </row>
    <row r="74" ht="18" customHeight="1">
      <c r="A74" s="46" t="n">
        <v>70</v>
      </c>
      <c r="B74" s="47">
        <f>IFERROR(IF(C74&lt;=0.01,"",EDATE(B73,1)),"")</f>
        <v/>
      </c>
      <c r="C74" s="48">
        <f>IF(G73&lt;=0.01,0,G73)</f>
        <v/>
      </c>
      <c r="D74" s="48">
        <f>IF(C74&lt;=0.01,0,IF(A74&lt;Calculadora!$C$8,E74,E74+C74))</f>
        <v/>
      </c>
      <c r="E74" s="49">
        <f>IF(C74&lt;=0.01,0,ROUND(C74*Calculadora!$C$7/12,2))</f>
        <v/>
      </c>
      <c r="F74" s="48">
        <f>IF(C74&lt;=0.01,0,D74-E74)</f>
        <v/>
      </c>
      <c r="G74" s="48">
        <f>IF(C74&lt;=0.01,0,MAX(ROUND(C74-F74,2),0))</f>
        <v/>
      </c>
      <c r="H74" s="50">
        <f>IFERROR(IF(Calculadora!$C$6&gt;0,1-(G74/Calculadora!$C$6),0),0)</f>
        <v/>
      </c>
    </row>
    <row r="75" ht="18" customHeight="1">
      <c r="A75" s="46" t="n">
        <v>71</v>
      </c>
      <c r="B75" s="47">
        <f>IFERROR(IF(C75&lt;=0.01,"",EDATE(B74,1)),"")</f>
        <v/>
      </c>
      <c r="C75" s="48">
        <f>IF(G74&lt;=0.01,0,G74)</f>
        <v/>
      </c>
      <c r="D75" s="48">
        <f>IF(C75&lt;=0.01,0,IF(A75&lt;Calculadora!$C$8,E75,E75+C75))</f>
        <v/>
      </c>
      <c r="E75" s="49">
        <f>IF(C75&lt;=0.01,0,ROUND(C75*Calculadora!$C$7/12,2))</f>
        <v/>
      </c>
      <c r="F75" s="48">
        <f>IF(C75&lt;=0.01,0,D75-E75)</f>
        <v/>
      </c>
      <c r="G75" s="48">
        <f>IF(C75&lt;=0.01,0,MAX(ROUND(C75-F75,2),0))</f>
        <v/>
      </c>
      <c r="H75" s="50">
        <f>IFERROR(IF(Calculadora!$C$6&gt;0,1-(G75/Calculadora!$C$6),0),0)</f>
        <v/>
      </c>
    </row>
    <row r="76" ht="18" customHeight="1">
      <c r="A76" s="46" t="n">
        <v>72</v>
      </c>
      <c r="B76" s="47">
        <f>IFERROR(IF(C76&lt;=0.01,"",EDATE(B75,1)),"")</f>
        <v/>
      </c>
      <c r="C76" s="48">
        <f>IF(G75&lt;=0.01,0,G75)</f>
        <v/>
      </c>
      <c r="D76" s="48">
        <f>IF(C76&lt;=0.01,0,IF(A76&lt;Calculadora!$C$8,E76,E76+C76))</f>
        <v/>
      </c>
      <c r="E76" s="49">
        <f>IF(C76&lt;=0.01,0,ROUND(C76*Calculadora!$C$7/12,2))</f>
        <v/>
      </c>
      <c r="F76" s="48">
        <f>IF(C76&lt;=0.01,0,D76-E76)</f>
        <v/>
      </c>
      <c r="G76" s="48">
        <f>IF(C76&lt;=0.01,0,MAX(ROUND(C76-F76,2),0))</f>
        <v/>
      </c>
      <c r="H76" s="50">
        <f>IFERROR(IF(Calculadora!$C$6&gt;0,1-(G76/Calculadora!$C$6),0),0)</f>
        <v/>
      </c>
    </row>
    <row r="77" ht="18" customHeight="1">
      <c r="A77" s="46" t="n">
        <v>73</v>
      </c>
      <c r="B77" s="47">
        <f>IFERROR(IF(C77&lt;=0.01,"",EDATE(B76,1)),"")</f>
        <v/>
      </c>
      <c r="C77" s="48">
        <f>IF(G76&lt;=0.01,0,G76)</f>
        <v/>
      </c>
      <c r="D77" s="48">
        <f>IF(C77&lt;=0.01,0,IF(A77&lt;Calculadora!$C$8,E77,E77+C77))</f>
        <v/>
      </c>
      <c r="E77" s="49">
        <f>IF(C77&lt;=0.01,0,ROUND(C77*Calculadora!$C$7/12,2))</f>
        <v/>
      </c>
      <c r="F77" s="48">
        <f>IF(C77&lt;=0.01,0,D77-E77)</f>
        <v/>
      </c>
      <c r="G77" s="48">
        <f>IF(C77&lt;=0.01,0,MAX(ROUND(C77-F77,2),0))</f>
        <v/>
      </c>
      <c r="H77" s="50">
        <f>IFERROR(IF(Calculadora!$C$6&gt;0,1-(G77/Calculadora!$C$6),0),0)</f>
        <v/>
      </c>
    </row>
    <row r="78" ht="18" customHeight="1">
      <c r="A78" s="46" t="n">
        <v>74</v>
      </c>
      <c r="B78" s="47">
        <f>IFERROR(IF(C78&lt;=0.01,"",EDATE(B77,1)),"")</f>
        <v/>
      </c>
      <c r="C78" s="48">
        <f>IF(G77&lt;=0.01,0,G77)</f>
        <v/>
      </c>
      <c r="D78" s="48">
        <f>IF(C78&lt;=0.01,0,IF(A78&lt;Calculadora!$C$8,E78,E78+C78))</f>
        <v/>
      </c>
      <c r="E78" s="49">
        <f>IF(C78&lt;=0.01,0,ROUND(C78*Calculadora!$C$7/12,2))</f>
        <v/>
      </c>
      <c r="F78" s="48">
        <f>IF(C78&lt;=0.01,0,D78-E78)</f>
        <v/>
      </c>
      <c r="G78" s="48">
        <f>IF(C78&lt;=0.01,0,MAX(ROUND(C78-F78,2),0))</f>
        <v/>
      </c>
      <c r="H78" s="50">
        <f>IFERROR(IF(Calculadora!$C$6&gt;0,1-(G78/Calculadora!$C$6),0),0)</f>
        <v/>
      </c>
    </row>
    <row r="79" ht="18" customHeight="1">
      <c r="A79" s="46" t="n">
        <v>75</v>
      </c>
      <c r="B79" s="47">
        <f>IFERROR(IF(C79&lt;=0.01,"",EDATE(B78,1)),"")</f>
        <v/>
      </c>
      <c r="C79" s="48">
        <f>IF(G78&lt;=0.01,0,G78)</f>
        <v/>
      </c>
      <c r="D79" s="48">
        <f>IF(C79&lt;=0.01,0,IF(A79&lt;Calculadora!$C$8,E79,E79+C79))</f>
        <v/>
      </c>
      <c r="E79" s="49">
        <f>IF(C79&lt;=0.01,0,ROUND(C79*Calculadora!$C$7/12,2))</f>
        <v/>
      </c>
      <c r="F79" s="48">
        <f>IF(C79&lt;=0.01,0,D79-E79)</f>
        <v/>
      </c>
      <c r="G79" s="48">
        <f>IF(C79&lt;=0.01,0,MAX(ROUND(C79-F79,2),0))</f>
        <v/>
      </c>
      <c r="H79" s="50">
        <f>IFERROR(IF(Calculadora!$C$6&gt;0,1-(G79/Calculadora!$C$6),0),0)</f>
        <v/>
      </c>
    </row>
    <row r="80" ht="18" customHeight="1">
      <c r="A80" s="46" t="n">
        <v>76</v>
      </c>
      <c r="B80" s="47">
        <f>IFERROR(IF(C80&lt;=0.01,"",EDATE(B79,1)),"")</f>
        <v/>
      </c>
      <c r="C80" s="48">
        <f>IF(G79&lt;=0.01,0,G79)</f>
        <v/>
      </c>
      <c r="D80" s="48">
        <f>IF(C80&lt;=0.01,0,IF(A80&lt;Calculadora!$C$8,E80,E80+C80))</f>
        <v/>
      </c>
      <c r="E80" s="49">
        <f>IF(C80&lt;=0.01,0,ROUND(C80*Calculadora!$C$7/12,2))</f>
        <v/>
      </c>
      <c r="F80" s="48">
        <f>IF(C80&lt;=0.01,0,D80-E80)</f>
        <v/>
      </c>
      <c r="G80" s="48">
        <f>IF(C80&lt;=0.01,0,MAX(ROUND(C80-F80,2),0))</f>
        <v/>
      </c>
      <c r="H80" s="50">
        <f>IFERROR(IF(Calculadora!$C$6&gt;0,1-(G80/Calculadora!$C$6),0),0)</f>
        <v/>
      </c>
    </row>
    <row r="81" ht="18" customHeight="1">
      <c r="A81" s="46" t="n">
        <v>77</v>
      </c>
      <c r="B81" s="47">
        <f>IFERROR(IF(C81&lt;=0.01,"",EDATE(B80,1)),"")</f>
        <v/>
      </c>
      <c r="C81" s="48">
        <f>IF(G80&lt;=0.01,0,G80)</f>
        <v/>
      </c>
      <c r="D81" s="48">
        <f>IF(C81&lt;=0.01,0,IF(A81&lt;Calculadora!$C$8,E81,E81+C81))</f>
        <v/>
      </c>
      <c r="E81" s="49">
        <f>IF(C81&lt;=0.01,0,ROUND(C81*Calculadora!$C$7/12,2))</f>
        <v/>
      </c>
      <c r="F81" s="48">
        <f>IF(C81&lt;=0.01,0,D81-E81)</f>
        <v/>
      </c>
      <c r="G81" s="48">
        <f>IF(C81&lt;=0.01,0,MAX(ROUND(C81-F81,2),0))</f>
        <v/>
      </c>
      <c r="H81" s="50">
        <f>IFERROR(IF(Calculadora!$C$6&gt;0,1-(G81/Calculadora!$C$6),0),0)</f>
        <v/>
      </c>
    </row>
    <row r="82" ht="18" customHeight="1">
      <c r="A82" s="46" t="n">
        <v>78</v>
      </c>
      <c r="B82" s="47">
        <f>IFERROR(IF(C82&lt;=0.01,"",EDATE(B81,1)),"")</f>
        <v/>
      </c>
      <c r="C82" s="48">
        <f>IF(G81&lt;=0.01,0,G81)</f>
        <v/>
      </c>
      <c r="D82" s="48">
        <f>IF(C82&lt;=0.01,0,IF(A82&lt;Calculadora!$C$8,E82,E82+C82))</f>
        <v/>
      </c>
      <c r="E82" s="49">
        <f>IF(C82&lt;=0.01,0,ROUND(C82*Calculadora!$C$7/12,2))</f>
        <v/>
      </c>
      <c r="F82" s="48">
        <f>IF(C82&lt;=0.01,0,D82-E82)</f>
        <v/>
      </c>
      <c r="G82" s="48">
        <f>IF(C82&lt;=0.01,0,MAX(ROUND(C82-F82,2),0))</f>
        <v/>
      </c>
      <c r="H82" s="50">
        <f>IFERROR(IF(Calculadora!$C$6&gt;0,1-(G82/Calculadora!$C$6),0),0)</f>
        <v/>
      </c>
    </row>
    <row r="83" ht="18" customHeight="1">
      <c r="A83" s="46" t="n">
        <v>79</v>
      </c>
      <c r="B83" s="47">
        <f>IFERROR(IF(C83&lt;=0.01,"",EDATE(B82,1)),"")</f>
        <v/>
      </c>
      <c r="C83" s="48">
        <f>IF(G82&lt;=0.01,0,G82)</f>
        <v/>
      </c>
      <c r="D83" s="48">
        <f>IF(C83&lt;=0.01,0,IF(A83&lt;Calculadora!$C$8,E83,E83+C83))</f>
        <v/>
      </c>
      <c r="E83" s="49">
        <f>IF(C83&lt;=0.01,0,ROUND(C83*Calculadora!$C$7/12,2))</f>
        <v/>
      </c>
      <c r="F83" s="48">
        <f>IF(C83&lt;=0.01,0,D83-E83)</f>
        <v/>
      </c>
      <c r="G83" s="48">
        <f>IF(C83&lt;=0.01,0,MAX(ROUND(C83-F83,2),0))</f>
        <v/>
      </c>
      <c r="H83" s="50">
        <f>IFERROR(IF(Calculadora!$C$6&gt;0,1-(G83/Calculadora!$C$6),0),0)</f>
        <v/>
      </c>
    </row>
    <row r="84" ht="18" customHeight="1">
      <c r="A84" s="46" t="n">
        <v>80</v>
      </c>
      <c r="B84" s="47">
        <f>IFERROR(IF(C84&lt;=0.01,"",EDATE(B83,1)),"")</f>
        <v/>
      </c>
      <c r="C84" s="48">
        <f>IF(G83&lt;=0.01,0,G83)</f>
        <v/>
      </c>
      <c r="D84" s="48">
        <f>IF(C84&lt;=0.01,0,IF(A84&lt;Calculadora!$C$8,E84,E84+C84))</f>
        <v/>
      </c>
      <c r="E84" s="49">
        <f>IF(C84&lt;=0.01,0,ROUND(C84*Calculadora!$C$7/12,2))</f>
        <v/>
      </c>
      <c r="F84" s="48">
        <f>IF(C84&lt;=0.01,0,D84-E84)</f>
        <v/>
      </c>
      <c r="G84" s="48">
        <f>IF(C84&lt;=0.01,0,MAX(ROUND(C84-F84,2),0))</f>
        <v/>
      </c>
      <c r="H84" s="50">
        <f>IFERROR(IF(Calculadora!$C$6&gt;0,1-(G84/Calculadora!$C$6),0),0)</f>
        <v/>
      </c>
    </row>
    <row r="85" ht="18" customHeight="1">
      <c r="A85" s="46" t="n">
        <v>81</v>
      </c>
      <c r="B85" s="47">
        <f>IFERROR(IF(C85&lt;=0.01,"",EDATE(B84,1)),"")</f>
        <v/>
      </c>
      <c r="C85" s="48">
        <f>IF(G84&lt;=0.01,0,G84)</f>
        <v/>
      </c>
      <c r="D85" s="48">
        <f>IF(C85&lt;=0.01,0,IF(A85&lt;Calculadora!$C$8,E85,E85+C85))</f>
        <v/>
      </c>
      <c r="E85" s="49">
        <f>IF(C85&lt;=0.01,0,ROUND(C85*Calculadora!$C$7/12,2))</f>
        <v/>
      </c>
      <c r="F85" s="48">
        <f>IF(C85&lt;=0.01,0,D85-E85)</f>
        <v/>
      </c>
      <c r="G85" s="48">
        <f>IF(C85&lt;=0.01,0,MAX(ROUND(C85-F85,2),0))</f>
        <v/>
      </c>
      <c r="H85" s="50">
        <f>IFERROR(IF(Calculadora!$C$6&gt;0,1-(G85/Calculadora!$C$6),0),0)</f>
        <v/>
      </c>
    </row>
    <row r="86" ht="18" customHeight="1">
      <c r="A86" s="46" t="n">
        <v>82</v>
      </c>
      <c r="B86" s="47">
        <f>IFERROR(IF(C86&lt;=0.01,"",EDATE(B85,1)),"")</f>
        <v/>
      </c>
      <c r="C86" s="48">
        <f>IF(G85&lt;=0.01,0,G85)</f>
        <v/>
      </c>
      <c r="D86" s="48">
        <f>IF(C86&lt;=0.01,0,IF(A86&lt;Calculadora!$C$8,E86,E86+C86))</f>
        <v/>
      </c>
      <c r="E86" s="49">
        <f>IF(C86&lt;=0.01,0,ROUND(C86*Calculadora!$C$7/12,2))</f>
        <v/>
      </c>
      <c r="F86" s="48">
        <f>IF(C86&lt;=0.01,0,D86-E86)</f>
        <v/>
      </c>
      <c r="G86" s="48">
        <f>IF(C86&lt;=0.01,0,MAX(ROUND(C86-F86,2),0))</f>
        <v/>
      </c>
      <c r="H86" s="50">
        <f>IFERROR(IF(Calculadora!$C$6&gt;0,1-(G86/Calculadora!$C$6),0),0)</f>
        <v/>
      </c>
    </row>
    <row r="87" ht="18" customHeight="1">
      <c r="A87" s="46" t="n">
        <v>83</v>
      </c>
      <c r="B87" s="47">
        <f>IFERROR(IF(C87&lt;=0.01,"",EDATE(B86,1)),"")</f>
        <v/>
      </c>
      <c r="C87" s="48">
        <f>IF(G86&lt;=0.01,0,G86)</f>
        <v/>
      </c>
      <c r="D87" s="48">
        <f>IF(C87&lt;=0.01,0,IF(A87&lt;Calculadora!$C$8,E87,E87+C87))</f>
        <v/>
      </c>
      <c r="E87" s="49">
        <f>IF(C87&lt;=0.01,0,ROUND(C87*Calculadora!$C$7/12,2))</f>
        <v/>
      </c>
      <c r="F87" s="48">
        <f>IF(C87&lt;=0.01,0,D87-E87)</f>
        <v/>
      </c>
      <c r="G87" s="48">
        <f>IF(C87&lt;=0.01,0,MAX(ROUND(C87-F87,2),0))</f>
        <v/>
      </c>
      <c r="H87" s="50">
        <f>IFERROR(IF(Calculadora!$C$6&gt;0,1-(G87/Calculadora!$C$6),0),0)</f>
        <v/>
      </c>
    </row>
    <row r="88" ht="18" customHeight="1">
      <c r="A88" s="46" t="n">
        <v>84</v>
      </c>
      <c r="B88" s="47">
        <f>IFERROR(IF(C88&lt;=0.01,"",EDATE(B87,1)),"")</f>
        <v/>
      </c>
      <c r="C88" s="48">
        <f>IF(G87&lt;=0.01,0,G87)</f>
        <v/>
      </c>
      <c r="D88" s="48">
        <f>IF(C88&lt;=0.01,0,IF(A88&lt;Calculadora!$C$8,E88,E88+C88))</f>
        <v/>
      </c>
      <c r="E88" s="49">
        <f>IF(C88&lt;=0.01,0,ROUND(C88*Calculadora!$C$7/12,2))</f>
        <v/>
      </c>
      <c r="F88" s="48">
        <f>IF(C88&lt;=0.01,0,D88-E88)</f>
        <v/>
      </c>
      <c r="G88" s="48">
        <f>IF(C88&lt;=0.01,0,MAX(ROUND(C88-F88,2),0))</f>
        <v/>
      </c>
      <c r="H88" s="50">
        <f>IFERROR(IF(Calculadora!$C$6&gt;0,1-(G88/Calculadora!$C$6),0),0)</f>
        <v/>
      </c>
    </row>
    <row r="89" ht="18" customHeight="1">
      <c r="A89" s="46" t="n">
        <v>85</v>
      </c>
      <c r="B89" s="47">
        <f>IFERROR(IF(C89&lt;=0.01,"",EDATE(B88,1)),"")</f>
        <v/>
      </c>
      <c r="C89" s="48">
        <f>IF(G88&lt;=0.01,0,G88)</f>
        <v/>
      </c>
      <c r="D89" s="48">
        <f>IF(C89&lt;=0.01,0,IF(A89&lt;Calculadora!$C$8,E89,E89+C89))</f>
        <v/>
      </c>
      <c r="E89" s="49">
        <f>IF(C89&lt;=0.01,0,ROUND(C89*Calculadora!$C$7/12,2))</f>
        <v/>
      </c>
      <c r="F89" s="48">
        <f>IF(C89&lt;=0.01,0,D89-E89)</f>
        <v/>
      </c>
      <c r="G89" s="48">
        <f>IF(C89&lt;=0.01,0,MAX(ROUND(C89-F89,2),0))</f>
        <v/>
      </c>
      <c r="H89" s="50">
        <f>IFERROR(IF(Calculadora!$C$6&gt;0,1-(G89/Calculadora!$C$6),0),0)</f>
        <v/>
      </c>
    </row>
    <row r="90" ht="18" customHeight="1">
      <c r="A90" s="46" t="n">
        <v>86</v>
      </c>
      <c r="B90" s="47">
        <f>IFERROR(IF(C90&lt;=0.01,"",EDATE(B89,1)),"")</f>
        <v/>
      </c>
      <c r="C90" s="48">
        <f>IF(G89&lt;=0.01,0,G89)</f>
        <v/>
      </c>
      <c r="D90" s="48">
        <f>IF(C90&lt;=0.01,0,IF(A90&lt;Calculadora!$C$8,E90,E90+C90))</f>
        <v/>
      </c>
      <c r="E90" s="49">
        <f>IF(C90&lt;=0.01,0,ROUND(C90*Calculadora!$C$7/12,2))</f>
        <v/>
      </c>
      <c r="F90" s="48">
        <f>IF(C90&lt;=0.01,0,D90-E90)</f>
        <v/>
      </c>
      <c r="G90" s="48">
        <f>IF(C90&lt;=0.01,0,MAX(ROUND(C90-F90,2),0))</f>
        <v/>
      </c>
      <c r="H90" s="50">
        <f>IFERROR(IF(Calculadora!$C$6&gt;0,1-(G90/Calculadora!$C$6),0),0)</f>
        <v/>
      </c>
    </row>
    <row r="91" ht="18" customHeight="1">
      <c r="A91" s="46" t="n">
        <v>87</v>
      </c>
      <c r="B91" s="47">
        <f>IFERROR(IF(C91&lt;=0.01,"",EDATE(B90,1)),"")</f>
        <v/>
      </c>
      <c r="C91" s="48">
        <f>IF(G90&lt;=0.01,0,G90)</f>
        <v/>
      </c>
      <c r="D91" s="48">
        <f>IF(C91&lt;=0.01,0,IF(A91&lt;Calculadora!$C$8,E91,E91+C91))</f>
        <v/>
      </c>
      <c r="E91" s="49">
        <f>IF(C91&lt;=0.01,0,ROUND(C91*Calculadora!$C$7/12,2))</f>
        <v/>
      </c>
      <c r="F91" s="48">
        <f>IF(C91&lt;=0.01,0,D91-E91)</f>
        <v/>
      </c>
      <c r="G91" s="48">
        <f>IF(C91&lt;=0.01,0,MAX(ROUND(C91-F91,2),0))</f>
        <v/>
      </c>
      <c r="H91" s="50">
        <f>IFERROR(IF(Calculadora!$C$6&gt;0,1-(G91/Calculadora!$C$6),0),0)</f>
        <v/>
      </c>
    </row>
    <row r="92" ht="18" customHeight="1">
      <c r="A92" s="46" t="n">
        <v>88</v>
      </c>
      <c r="B92" s="47">
        <f>IFERROR(IF(C92&lt;=0.01,"",EDATE(B91,1)),"")</f>
        <v/>
      </c>
      <c r="C92" s="48">
        <f>IF(G91&lt;=0.01,0,G91)</f>
        <v/>
      </c>
      <c r="D92" s="48">
        <f>IF(C92&lt;=0.01,0,IF(A92&lt;Calculadora!$C$8,E92,E92+C92))</f>
        <v/>
      </c>
      <c r="E92" s="49">
        <f>IF(C92&lt;=0.01,0,ROUND(C92*Calculadora!$C$7/12,2))</f>
        <v/>
      </c>
      <c r="F92" s="48">
        <f>IF(C92&lt;=0.01,0,D92-E92)</f>
        <v/>
      </c>
      <c r="G92" s="48">
        <f>IF(C92&lt;=0.01,0,MAX(ROUND(C92-F92,2),0))</f>
        <v/>
      </c>
      <c r="H92" s="50">
        <f>IFERROR(IF(Calculadora!$C$6&gt;0,1-(G92/Calculadora!$C$6),0),0)</f>
        <v/>
      </c>
    </row>
    <row r="93" ht="18" customHeight="1">
      <c r="A93" s="46" t="n">
        <v>89</v>
      </c>
      <c r="B93" s="47">
        <f>IFERROR(IF(C93&lt;=0.01,"",EDATE(B92,1)),"")</f>
        <v/>
      </c>
      <c r="C93" s="48">
        <f>IF(G92&lt;=0.01,0,G92)</f>
        <v/>
      </c>
      <c r="D93" s="48">
        <f>IF(C93&lt;=0.01,0,IF(A93&lt;Calculadora!$C$8,E93,E93+C93))</f>
        <v/>
      </c>
      <c r="E93" s="49">
        <f>IF(C93&lt;=0.01,0,ROUND(C93*Calculadora!$C$7/12,2))</f>
        <v/>
      </c>
      <c r="F93" s="48">
        <f>IF(C93&lt;=0.01,0,D93-E93)</f>
        <v/>
      </c>
      <c r="G93" s="48">
        <f>IF(C93&lt;=0.01,0,MAX(ROUND(C93-F93,2),0))</f>
        <v/>
      </c>
      <c r="H93" s="50">
        <f>IFERROR(IF(Calculadora!$C$6&gt;0,1-(G93/Calculadora!$C$6),0),0)</f>
        <v/>
      </c>
    </row>
    <row r="94" ht="18" customHeight="1">
      <c r="A94" s="46" t="n">
        <v>90</v>
      </c>
      <c r="B94" s="47">
        <f>IFERROR(IF(C94&lt;=0.01,"",EDATE(B93,1)),"")</f>
        <v/>
      </c>
      <c r="C94" s="48">
        <f>IF(G93&lt;=0.01,0,G93)</f>
        <v/>
      </c>
      <c r="D94" s="48">
        <f>IF(C94&lt;=0.01,0,IF(A94&lt;Calculadora!$C$8,E94,E94+C94))</f>
        <v/>
      </c>
      <c r="E94" s="49">
        <f>IF(C94&lt;=0.01,0,ROUND(C94*Calculadora!$C$7/12,2))</f>
        <v/>
      </c>
      <c r="F94" s="48">
        <f>IF(C94&lt;=0.01,0,D94-E94)</f>
        <v/>
      </c>
      <c r="G94" s="48">
        <f>IF(C94&lt;=0.01,0,MAX(ROUND(C94-F94,2),0))</f>
        <v/>
      </c>
      <c r="H94" s="50">
        <f>IFERROR(IF(Calculadora!$C$6&gt;0,1-(G94/Calculadora!$C$6),0),0)</f>
        <v/>
      </c>
    </row>
    <row r="95" ht="18" customHeight="1">
      <c r="A95" s="46" t="n">
        <v>91</v>
      </c>
      <c r="B95" s="47">
        <f>IFERROR(IF(C95&lt;=0.01,"",EDATE(B94,1)),"")</f>
        <v/>
      </c>
      <c r="C95" s="48">
        <f>IF(G94&lt;=0.01,0,G94)</f>
        <v/>
      </c>
      <c r="D95" s="48">
        <f>IF(C95&lt;=0.01,0,IF(A95&lt;Calculadora!$C$8,E95,E95+C95))</f>
        <v/>
      </c>
      <c r="E95" s="49">
        <f>IF(C95&lt;=0.01,0,ROUND(C95*Calculadora!$C$7/12,2))</f>
        <v/>
      </c>
      <c r="F95" s="48">
        <f>IF(C95&lt;=0.01,0,D95-E95)</f>
        <v/>
      </c>
      <c r="G95" s="48">
        <f>IF(C95&lt;=0.01,0,MAX(ROUND(C95-F95,2),0))</f>
        <v/>
      </c>
      <c r="H95" s="50">
        <f>IFERROR(IF(Calculadora!$C$6&gt;0,1-(G95/Calculadora!$C$6),0),0)</f>
        <v/>
      </c>
    </row>
    <row r="96" ht="18" customHeight="1">
      <c r="A96" s="46" t="n">
        <v>92</v>
      </c>
      <c r="B96" s="47">
        <f>IFERROR(IF(C96&lt;=0.01,"",EDATE(B95,1)),"")</f>
        <v/>
      </c>
      <c r="C96" s="48">
        <f>IF(G95&lt;=0.01,0,G95)</f>
        <v/>
      </c>
      <c r="D96" s="48">
        <f>IF(C96&lt;=0.01,0,IF(A96&lt;Calculadora!$C$8,E96,E96+C96))</f>
        <v/>
      </c>
      <c r="E96" s="49">
        <f>IF(C96&lt;=0.01,0,ROUND(C96*Calculadora!$C$7/12,2))</f>
        <v/>
      </c>
      <c r="F96" s="48">
        <f>IF(C96&lt;=0.01,0,D96-E96)</f>
        <v/>
      </c>
      <c r="G96" s="48">
        <f>IF(C96&lt;=0.01,0,MAX(ROUND(C96-F96,2),0))</f>
        <v/>
      </c>
      <c r="H96" s="50">
        <f>IFERROR(IF(Calculadora!$C$6&gt;0,1-(G96/Calculadora!$C$6),0),0)</f>
        <v/>
      </c>
    </row>
    <row r="97" ht="18" customHeight="1">
      <c r="A97" s="46" t="n">
        <v>93</v>
      </c>
      <c r="B97" s="47">
        <f>IFERROR(IF(C97&lt;=0.01,"",EDATE(B96,1)),"")</f>
        <v/>
      </c>
      <c r="C97" s="48">
        <f>IF(G96&lt;=0.01,0,G96)</f>
        <v/>
      </c>
      <c r="D97" s="48">
        <f>IF(C97&lt;=0.01,0,IF(A97&lt;Calculadora!$C$8,E97,E97+C97))</f>
        <v/>
      </c>
      <c r="E97" s="49">
        <f>IF(C97&lt;=0.01,0,ROUND(C97*Calculadora!$C$7/12,2))</f>
        <v/>
      </c>
      <c r="F97" s="48">
        <f>IF(C97&lt;=0.01,0,D97-E97)</f>
        <v/>
      </c>
      <c r="G97" s="48">
        <f>IF(C97&lt;=0.01,0,MAX(ROUND(C97-F97,2),0))</f>
        <v/>
      </c>
      <c r="H97" s="50">
        <f>IFERROR(IF(Calculadora!$C$6&gt;0,1-(G97/Calculadora!$C$6),0),0)</f>
        <v/>
      </c>
    </row>
    <row r="98" ht="18" customHeight="1">
      <c r="A98" s="46" t="n">
        <v>94</v>
      </c>
      <c r="B98" s="47">
        <f>IFERROR(IF(C98&lt;=0.01,"",EDATE(B97,1)),"")</f>
        <v/>
      </c>
      <c r="C98" s="48">
        <f>IF(G97&lt;=0.01,0,G97)</f>
        <v/>
      </c>
      <c r="D98" s="48">
        <f>IF(C98&lt;=0.01,0,IF(A98&lt;Calculadora!$C$8,E98,E98+C98))</f>
        <v/>
      </c>
      <c r="E98" s="49">
        <f>IF(C98&lt;=0.01,0,ROUND(C98*Calculadora!$C$7/12,2))</f>
        <v/>
      </c>
      <c r="F98" s="48">
        <f>IF(C98&lt;=0.01,0,D98-E98)</f>
        <v/>
      </c>
      <c r="G98" s="48">
        <f>IF(C98&lt;=0.01,0,MAX(ROUND(C98-F98,2),0))</f>
        <v/>
      </c>
      <c r="H98" s="50">
        <f>IFERROR(IF(Calculadora!$C$6&gt;0,1-(G98/Calculadora!$C$6),0),0)</f>
        <v/>
      </c>
    </row>
    <row r="99" ht="18" customHeight="1">
      <c r="A99" s="46" t="n">
        <v>95</v>
      </c>
      <c r="B99" s="47">
        <f>IFERROR(IF(C99&lt;=0.01,"",EDATE(B98,1)),"")</f>
        <v/>
      </c>
      <c r="C99" s="48">
        <f>IF(G98&lt;=0.01,0,G98)</f>
        <v/>
      </c>
      <c r="D99" s="48">
        <f>IF(C99&lt;=0.01,0,IF(A99&lt;Calculadora!$C$8,E99,E99+C99))</f>
        <v/>
      </c>
      <c r="E99" s="49">
        <f>IF(C99&lt;=0.01,0,ROUND(C99*Calculadora!$C$7/12,2))</f>
        <v/>
      </c>
      <c r="F99" s="48">
        <f>IF(C99&lt;=0.01,0,D99-E99)</f>
        <v/>
      </c>
      <c r="G99" s="48">
        <f>IF(C99&lt;=0.01,0,MAX(ROUND(C99-F99,2),0))</f>
        <v/>
      </c>
      <c r="H99" s="50">
        <f>IFERROR(IF(Calculadora!$C$6&gt;0,1-(G99/Calculadora!$C$6),0),0)</f>
        <v/>
      </c>
    </row>
    <row r="100" ht="18" customHeight="1">
      <c r="A100" s="46" t="n">
        <v>96</v>
      </c>
      <c r="B100" s="47">
        <f>IFERROR(IF(C100&lt;=0.01,"",EDATE(B99,1)),"")</f>
        <v/>
      </c>
      <c r="C100" s="48">
        <f>IF(G99&lt;=0.01,0,G99)</f>
        <v/>
      </c>
      <c r="D100" s="48">
        <f>IF(C100&lt;=0.01,0,IF(A100&lt;Calculadora!$C$8,E100,E100+C100))</f>
        <v/>
      </c>
      <c r="E100" s="49">
        <f>IF(C100&lt;=0.01,0,ROUND(C100*Calculadora!$C$7/12,2))</f>
        <v/>
      </c>
      <c r="F100" s="48">
        <f>IF(C100&lt;=0.01,0,D100-E100)</f>
        <v/>
      </c>
      <c r="G100" s="48">
        <f>IF(C100&lt;=0.01,0,MAX(ROUND(C100-F100,2),0))</f>
        <v/>
      </c>
      <c r="H100" s="50">
        <f>IFERROR(IF(Calculadora!$C$6&gt;0,1-(G100/Calculadora!$C$6),0),0)</f>
        <v/>
      </c>
    </row>
    <row r="101" ht="18" customHeight="1">
      <c r="A101" s="46" t="n">
        <v>97</v>
      </c>
      <c r="B101" s="47">
        <f>IFERROR(IF(C101&lt;=0.01,"",EDATE(B100,1)),"")</f>
        <v/>
      </c>
      <c r="C101" s="48">
        <f>IF(G100&lt;=0.01,0,G100)</f>
        <v/>
      </c>
      <c r="D101" s="48">
        <f>IF(C101&lt;=0.01,0,IF(A101&lt;Calculadora!$C$8,E101,E101+C101))</f>
        <v/>
      </c>
      <c r="E101" s="49">
        <f>IF(C101&lt;=0.01,0,ROUND(C101*Calculadora!$C$7/12,2))</f>
        <v/>
      </c>
      <c r="F101" s="48">
        <f>IF(C101&lt;=0.01,0,D101-E101)</f>
        <v/>
      </c>
      <c r="G101" s="48">
        <f>IF(C101&lt;=0.01,0,MAX(ROUND(C101-F101,2),0))</f>
        <v/>
      </c>
      <c r="H101" s="50">
        <f>IFERROR(IF(Calculadora!$C$6&gt;0,1-(G101/Calculadora!$C$6),0),0)</f>
        <v/>
      </c>
    </row>
    <row r="102" ht="18" customHeight="1">
      <c r="A102" s="46" t="n">
        <v>98</v>
      </c>
      <c r="B102" s="47">
        <f>IFERROR(IF(C102&lt;=0.01,"",EDATE(B101,1)),"")</f>
        <v/>
      </c>
      <c r="C102" s="48">
        <f>IF(G101&lt;=0.01,0,G101)</f>
        <v/>
      </c>
      <c r="D102" s="48">
        <f>IF(C102&lt;=0.01,0,IF(A102&lt;Calculadora!$C$8,E102,E102+C102))</f>
        <v/>
      </c>
      <c r="E102" s="49">
        <f>IF(C102&lt;=0.01,0,ROUND(C102*Calculadora!$C$7/12,2))</f>
        <v/>
      </c>
      <c r="F102" s="48">
        <f>IF(C102&lt;=0.01,0,D102-E102)</f>
        <v/>
      </c>
      <c r="G102" s="48">
        <f>IF(C102&lt;=0.01,0,MAX(ROUND(C102-F102,2),0))</f>
        <v/>
      </c>
      <c r="H102" s="50">
        <f>IFERROR(IF(Calculadora!$C$6&gt;0,1-(G102/Calculadora!$C$6),0),0)</f>
        <v/>
      </c>
    </row>
    <row r="103" ht="18" customHeight="1">
      <c r="A103" s="46" t="n">
        <v>99</v>
      </c>
      <c r="B103" s="47">
        <f>IFERROR(IF(C103&lt;=0.01,"",EDATE(B102,1)),"")</f>
        <v/>
      </c>
      <c r="C103" s="48">
        <f>IF(G102&lt;=0.01,0,G102)</f>
        <v/>
      </c>
      <c r="D103" s="48">
        <f>IF(C103&lt;=0.01,0,IF(A103&lt;Calculadora!$C$8,E103,E103+C103))</f>
        <v/>
      </c>
      <c r="E103" s="49">
        <f>IF(C103&lt;=0.01,0,ROUND(C103*Calculadora!$C$7/12,2))</f>
        <v/>
      </c>
      <c r="F103" s="48">
        <f>IF(C103&lt;=0.01,0,D103-E103)</f>
        <v/>
      </c>
      <c r="G103" s="48">
        <f>IF(C103&lt;=0.01,0,MAX(ROUND(C103-F103,2),0))</f>
        <v/>
      </c>
      <c r="H103" s="50">
        <f>IFERROR(IF(Calculadora!$C$6&gt;0,1-(G103/Calculadora!$C$6),0),0)</f>
        <v/>
      </c>
    </row>
    <row r="104" ht="18" customHeight="1">
      <c r="A104" s="46" t="n">
        <v>100</v>
      </c>
      <c r="B104" s="47">
        <f>IFERROR(IF(C104&lt;=0.01,"",EDATE(B103,1)),"")</f>
        <v/>
      </c>
      <c r="C104" s="48">
        <f>IF(G103&lt;=0.01,0,G103)</f>
        <v/>
      </c>
      <c r="D104" s="48">
        <f>IF(C104&lt;=0.01,0,IF(A104&lt;Calculadora!$C$8,E104,E104+C104))</f>
        <v/>
      </c>
      <c r="E104" s="49">
        <f>IF(C104&lt;=0.01,0,ROUND(C104*Calculadora!$C$7/12,2))</f>
        <v/>
      </c>
      <c r="F104" s="48">
        <f>IF(C104&lt;=0.01,0,D104-E104)</f>
        <v/>
      </c>
      <c r="G104" s="48">
        <f>IF(C104&lt;=0.01,0,MAX(ROUND(C104-F104,2),0))</f>
        <v/>
      </c>
      <c r="H104" s="50">
        <f>IFERROR(IF(Calculadora!$C$6&gt;0,1-(G104/Calculadora!$C$6),0),0)</f>
        <v/>
      </c>
    </row>
    <row r="105" ht="18" customHeight="1">
      <c r="A105" s="46" t="n">
        <v>101</v>
      </c>
      <c r="B105" s="47">
        <f>IFERROR(IF(C105&lt;=0.01,"",EDATE(B104,1)),"")</f>
        <v/>
      </c>
      <c r="C105" s="48">
        <f>IF(G104&lt;=0.01,0,G104)</f>
        <v/>
      </c>
      <c r="D105" s="48">
        <f>IF(C105&lt;=0.01,0,IF(A105&lt;Calculadora!$C$8,E105,E105+C105))</f>
        <v/>
      </c>
      <c r="E105" s="49">
        <f>IF(C105&lt;=0.01,0,ROUND(C105*Calculadora!$C$7/12,2))</f>
        <v/>
      </c>
      <c r="F105" s="48">
        <f>IF(C105&lt;=0.01,0,D105-E105)</f>
        <v/>
      </c>
      <c r="G105" s="48">
        <f>IF(C105&lt;=0.01,0,MAX(ROUND(C105-F105,2),0))</f>
        <v/>
      </c>
      <c r="H105" s="50">
        <f>IFERROR(IF(Calculadora!$C$6&gt;0,1-(G105/Calculadora!$C$6),0),0)</f>
        <v/>
      </c>
    </row>
    <row r="106" ht="18" customHeight="1">
      <c r="A106" s="46" t="n">
        <v>102</v>
      </c>
      <c r="B106" s="47">
        <f>IFERROR(IF(C106&lt;=0.01,"",EDATE(B105,1)),"")</f>
        <v/>
      </c>
      <c r="C106" s="48">
        <f>IF(G105&lt;=0.01,0,G105)</f>
        <v/>
      </c>
      <c r="D106" s="48">
        <f>IF(C106&lt;=0.01,0,IF(A106&lt;Calculadora!$C$8,E106,E106+C106))</f>
        <v/>
      </c>
      <c r="E106" s="49">
        <f>IF(C106&lt;=0.01,0,ROUND(C106*Calculadora!$C$7/12,2))</f>
        <v/>
      </c>
      <c r="F106" s="48">
        <f>IF(C106&lt;=0.01,0,D106-E106)</f>
        <v/>
      </c>
      <c r="G106" s="48">
        <f>IF(C106&lt;=0.01,0,MAX(ROUND(C106-F106,2),0))</f>
        <v/>
      </c>
      <c r="H106" s="50">
        <f>IFERROR(IF(Calculadora!$C$6&gt;0,1-(G106/Calculadora!$C$6),0),0)</f>
        <v/>
      </c>
    </row>
    <row r="107" ht="18" customHeight="1">
      <c r="A107" s="46" t="n">
        <v>103</v>
      </c>
      <c r="B107" s="47">
        <f>IFERROR(IF(C107&lt;=0.01,"",EDATE(B106,1)),"")</f>
        <v/>
      </c>
      <c r="C107" s="48">
        <f>IF(G106&lt;=0.01,0,G106)</f>
        <v/>
      </c>
      <c r="D107" s="48">
        <f>IF(C107&lt;=0.01,0,IF(A107&lt;Calculadora!$C$8,E107,E107+C107))</f>
        <v/>
      </c>
      <c r="E107" s="49">
        <f>IF(C107&lt;=0.01,0,ROUND(C107*Calculadora!$C$7/12,2))</f>
        <v/>
      </c>
      <c r="F107" s="48">
        <f>IF(C107&lt;=0.01,0,D107-E107)</f>
        <v/>
      </c>
      <c r="G107" s="48">
        <f>IF(C107&lt;=0.01,0,MAX(ROUND(C107-F107,2),0))</f>
        <v/>
      </c>
      <c r="H107" s="50">
        <f>IFERROR(IF(Calculadora!$C$6&gt;0,1-(G107/Calculadora!$C$6),0),0)</f>
        <v/>
      </c>
    </row>
    <row r="108" ht="18" customHeight="1">
      <c r="A108" s="46" t="n">
        <v>104</v>
      </c>
      <c r="B108" s="47">
        <f>IFERROR(IF(C108&lt;=0.01,"",EDATE(B107,1)),"")</f>
        <v/>
      </c>
      <c r="C108" s="48">
        <f>IF(G107&lt;=0.01,0,G107)</f>
        <v/>
      </c>
      <c r="D108" s="48">
        <f>IF(C108&lt;=0.01,0,IF(A108&lt;Calculadora!$C$8,E108,E108+C108))</f>
        <v/>
      </c>
      <c r="E108" s="49">
        <f>IF(C108&lt;=0.01,0,ROUND(C108*Calculadora!$C$7/12,2))</f>
        <v/>
      </c>
      <c r="F108" s="48">
        <f>IF(C108&lt;=0.01,0,D108-E108)</f>
        <v/>
      </c>
      <c r="G108" s="48">
        <f>IF(C108&lt;=0.01,0,MAX(ROUND(C108-F108,2),0))</f>
        <v/>
      </c>
      <c r="H108" s="50">
        <f>IFERROR(IF(Calculadora!$C$6&gt;0,1-(G108/Calculadora!$C$6),0),0)</f>
        <v/>
      </c>
    </row>
    <row r="109" ht="18" customHeight="1">
      <c r="A109" s="46" t="n">
        <v>105</v>
      </c>
      <c r="B109" s="47">
        <f>IFERROR(IF(C109&lt;=0.01,"",EDATE(B108,1)),"")</f>
        <v/>
      </c>
      <c r="C109" s="48">
        <f>IF(G108&lt;=0.01,0,G108)</f>
        <v/>
      </c>
      <c r="D109" s="48">
        <f>IF(C109&lt;=0.01,0,IF(A109&lt;Calculadora!$C$8,E109,E109+C109))</f>
        <v/>
      </c>
      <c r="E109" s="49">
        <f>IF(C109&lt;=0.01,0,ROUND(C109*Calculadora!$C$7/12,2))</f>
        <v/>
      </c>
      <c r="F109" s="48">
        <f>IF(C109&lt;=0.01,0,D109-E109)</f>
        <v/>
      </c>
      <c r="G109" s="48">
        <f>IF(C109&lt;=0.01,0,MAX(ROUND(C109-F109,2),0))</f>
        <v/>
      </c>
      <c r="H109" s="50">
        <f>IFERROR(IF(Calculadora!$C$6&gt;0,1-(G109/Calculadora!$C$6),0),0)</f>
        <v/>
      </c>
    </row>
    <row r="110" ht="18" customHeight="1">
      <c r="A110" s="46" t="n">
        <v>106</v>
      </c>
      <c r="B110" s="47">
        <f>IFERROR(IF(C110&lt;=0.01,"",EDATE(B109,1)),"")</f>
        <v/>
      </c>
      <c r="C110" s="48">
        <f>IF(G109&lt;=0.01,0,G109)</f>
        <v/>
      </c>
      <c r="D110" s="48">
        <f>IF(C110&lt;=0.01,0,IF(A110&lt;Calculadora!$C$8,E110,E110+C110))</f>
        <v/>
      </c>
      <c r="E110" s="49">
        <f>IF(C110&lt;=0.01,0,ROUND(C110*Calculadora!$C$7/12,2))</f>
        <v/>
      </c>
      <c r="F110" s="48">
        <f>IF(C110&lt;=0.01,0,D110-E110)</f>
        <v/>
      </c>
      <c r="G110" s="48">
        <f>IF(C110&lt;=0.01,0,MAX(ROUND(C110-F110,2),0))</f>
        <v/>
      </c>
      <c r="H110" s="50">
        <f>IFERROR(IF(Calculadora!$C$6&gt;0,1-(G110/Calculadora!$C$6),0),0)</f>
        <v/>
      </c>
    </row>
    <row r="111" ht="18" customHeight="1">
      <c r="A111" s="46" t="n">
        <v>107</v>
      </c>
      <c r="B111" s="47">
        <f>IFERROR(IF(C111&lt;=0.01,"",EDATE(B110,1)),"")</f>
        <v/>
      </c>
      <c r="C111" s="48">
        <f>IF(G110&lt;=0.01,0,G110)</f>
        <v/>
      </c>
      <c r="D111" s="48">
        <f>IF(C111&lt;=0.01,0,IF(A111&lt;Calculadora!$C$8,E111,E111+C111))</f>
        <v/>
      </c>
      <c r="E111" s="49">
        <f>IF(C111&lt;=0.01,0,ROUND(C111*Calculadora!$C$7/12,2))</f>
        <v/>
      </c>
      <c r="F111" s="48">
        <f>IF(C111&lt;=0.01,0,D111-E111)</f>
        <v/>
      </c>
      <c r="G111" s="48">
        <f>IF(C111&lt;=0.01,0,MAX(ROUND(C111-F111,2),0))</f>
        <v/>
      </c>
      <c r="H111" s="50">
        <f>IFERROR(IF(Calculadora!$C$6&gt;0,1-(G111/Calculadora!$C$6),0),0)</f>
        <v/>
      </c>
    </row>
    <row r="112" ht="18" customHeight="1">
      <c r="A112" s="46" t="n">
        <v>108</v>
      </c>
      <c r="B112" s="47">
        <f>IFERROR(IF(C112&lt;=0.01,"",EDATE(B111,1)),"")</f>
        <v/>
      </c>
      <c r="C112" s="48">
        <f>IF(G111&lt;=0.01,0,G111)</f>
        <v/>
      </c>
      <c r="D112" s="48">
        <f>IF(C112&lt;=0.01,0,IF(A112&lt;Calculadora!$C$8,E112,E112+C112))</f>
        <v/>
      </c>
      <c r="E112" s="49">
        <f>IF(C112&lt;=0.01,0,ROUND(C112*Calculadora!$C$7/12,2))</f>
        <v/>
      </c>
      <c r="F112" s="48">
        <f>IF(C112&lt;=0.01,0,D112-E112)</f>
        <v/>
      </c>
      <c r="G112" s="48">
        <f>IF(C112&lt;=0.01,0,MAX(ROUND(C112-F112,2),0))</f>
        <v/>
      </c>
      <c r="H112" s="50">
        <f>IFERROR(IF(Calculadora!$C$6&gt;0,1-(G112/Calculadora!$C$6),0),0)</f>
        <v/>
      </c>
    </row>
    <row r="113" ht="18" customHeight="1">
      <c r="A113" s="46" t="n">
        <v>109</v>
      </c>
      <c r="B113" s="47">
        <f>IFERROR(IF(C113&lt;=0.01,"",EDATE(B112,1)),"")</f>
        <v/>
      </c>
      <c r="C113" s="48">
        <f>IF(G112&lt;=0.01,0,G112)</f>
        <v/>
      </c>
      <c r="D113" s="48">
        <f>IF(C113&lt;=0.01,0,IF(A113&lt;Calculadora!$C$8,E113,E113+C113))</f>
        <v/>
      </c>
      <c r="E113" s="49">
        <f>IF(C113&lt;=0.01,0,ROUND(C113*Calculadora!$C$7/12,2))</f>
        <v/>
      </c>
      <c r="F113" s="48">
        <f>IF(C113&lt;=0.01,0,D113-E113)</f>
        <v/>
      </c>
      <c r="G113" s="48">
        <f>IF(C113&lt;=0.01,0,MAX(ROUND(C113-F113,2),0))</f>
        <v/>
      </c>
      <c r="H113" s="50">
        <f>IFERROR(IF(Calculadora!$C$6&gt;0,1-(G113/Calculadora!$C$6),0),0)</f>
        <v/>
      </c>
    </row>
    <row r="114" ht="18" customHeight="1">
      <c r="A114" s="46" t="n">
        <v>110</v>
      </c>
      <c r="B114" s="47">
        <f>IFERROR(IF(C114&lt;=0.01,"",EDATE(B113,1)),"")</f>
        <v/>
      </c>
      <c r="C114" s="48">
        <f>IF(G113&lt;=0.01,0,G113)</f>
        <v/>
      </c>
      <c r="D114" s="48">
        <f>IF(C114&lt;=0.01,0,IF(A114&lt;Calculadora!$C$8,E114,E114+C114))</f>
        <v/>
      </c>
      <c r="E114" s="49">
        <f>IF(C114&lt;=0.01,0,ROUND(C114*Calculadora!$C$7/12,2))</f>
        <v/>
      </c>
      <c r="F114" s="48">
        <f>IF(C114&lt;=0.01,0,D114-E114)</f>
        <v/>
      </c>
      <c r="G114" s="48">
        <f>IF(C114&lt;=0.01,0,MAX(ROUND(C114-F114,2),0))</f>
        <v/>
      </c>
      <c r="H114" s="50">
        <f>IFERROR(IF(Calculadora!$C$6&gt;0,1-(G114/Calculadora!$C$6),0),0)</f>
        <v/>
      </c>
    </row>
    <row r="115" ht="18" customHeight="1">
      <c r="A115" s="46" t="n">
        <v>111</v>
      </c>
      <c r="B115" s="47">
        <f>IFERROR(IF(C115&lt;=0.01,"",EDATE(B114,1)),"")</f>
        <v/>
      </c>
      <c r="C115" s="48">
        <f>IF(G114&lt;=0.01,0,G114)</f>
        <v/>
      </c>
      <c r="D115" s="48">
        <f>IF(C115&lt;=0.01,0,IF(A115&lt;Calculadora!$C$8,E115,E115+C115))</f>
        <v/>
      </c>
      <c r="E115" s="49">
        <f>IF(C115&lt;=0.01,0,ROUND(C115*Calculadora!$C$7/12,2))</f>
        <v/>
      </c>
      <c r="F115" s="48">
        <f>IF(C115&lt;=0.01,0,D115-E115)</f>
        <v/>
      </c>
      <c r="G115" s="48">
        <f>IF(C115&lt;=0.01,0,MAX(ROUND(C115-F115,2),0))</f>
        <v/>
      </c>
      <c r="H115" s="50">
        <f>IFERROR(IF(Calculadora!$C$6&gt;0,1-(G115/Calculadora!$C$6),0),0)</f>
        <v/>
      </c>
    </row>
    <row r="116" ht="18" customHeight="1">
      <c r="A116" s="46" t="n">
        <v>112</v>
      </c>
      <c r="B116" s="47">
        <f>IFERROR(IF(C116&lt;=0.01,"",EDATE(B115,1)),"")</f>
        <v/>
      </c>
      <c r="C116" s="48">
        <f>IF(G115&lt;=0.01,0,G115)</f>
        <v/>
      </c>
      <c r="D116" s="48">
        <f>IF(C116&lt;=0.01,0,IF(A116&lt;Calculadora!$C$8,E116,E116+C116))</f>
        <v/>
      </c>
      <c r="E116" s="49">
        <f>IF(C116&lt;=0.01,0,ROUND(C116*Calculadora!$C$7/12,2))</f>
        <v/>
      </c>
      <c r="F116" s="48">
        <f>IF(C116&lt;=0.01,0,D116-E116)</f>
        <v/>
      </c>
      <c r="G116" s="48">
        <f>IF(C116&lt;=0.01,0,MAX(ROUND(C116-F116,2),0))</f>
        <v/>
      </c>
      <c r="H116" s="50">
        <f>IFERROR(IF(Calculadora!$C$6&gt;0,1-(G116/Calculadora!$C$6),0),0)</f>
        <v/>
      </c>
    </row>
    <row r="117" ht="18" customHeight="1">
      <c r="A117" s="46" t="n">
        <v>113</v>
      </c>
      <c r="B117" s="47">
        <f>IFERROR(IF(C117&lt;=0.01,"",EDATE(B116,1)),"")</f>
        <v/>
      </c>
      <c r="C117" s="48">
        <f>IF(G116&lt;=0.01,0,G116)</f>
        <v/>
      </c>
      <c r="D117" s="48">
        <f>IF(C117&lt;=0.01,0,IF(A117&lt;Calculadora!$C$8,E117,E117+C117))</f>
        <v/>
      </c>
      <c r="E117" s="49">
        <f>IF(C117&lt;=0.01,0,ROUND(C117*Calculadora!$C$7/12,2))</f>
        <v/>
      </c>
      <c r="F117" s="48">
        <f>IF(C117&lt;=0.01,0,D117-E117)</f>
        <v/>
      </c>
      <c r="G117" s="48">
        <f>IF(C117&lt;=0.01,0,MAX(ROUND(C117-F117,2),0))</f>
        <v/>
      </c>
      <c r="H117" s="50">
        <f>IFERROR(IF(Calculadora!$C$6&gt;0,1-(G117/Calculadora!$C$6),0),0)</f>
        <v/>
      </c>
    </row>
    <row r="118" ht="18" customHeight="1">
      <c r="A118" s="46" t="n">
        <v>114</v>
      </c>
      <c r="B118" s="47">
        <f>IFERROR(IF(C118&lt;=0.01,"",EDATE(B117,1)),"")</f>
        <v/>
      </c>
      <c r="C118" s="48">
        <f>IF(G117&lt;=0.01,0,G117)</f>
        <v/>
      </c>
      <c r="D118" s="48">
        <f>IF(C118&lt;=0.01,0,IF(A118&lt;Calculadora!$C$8,E118,E118+C118))</f>
        <v/>
      </c>
      <c r="E118" s="49">
        <f>IF(C118&lt;=0.01,0,ROUND(C118*Calculadora!$C$7/12,2))</f>
        <v/>
      </c>
      <c r="F118" s="48">
        <f>IF(C118&lt;=0.01,0,D118-E118)</f>
        <v/>
      </c>
      <c r="G118" s="48">
        <f>IF(C118&lt;=0.01,0,MAX(ROUND(C118-F118,2),0))</f>
        <v/>
      </c>
      <c r="H118" s="50">
        <f>IFERROR(IF(Calculadora!$C$6&gt;0,1-(G118/Calculadora!$C$6),0),0)</f>
        <v/>
      </c>
    </row>
    <row r="119" ht="18" customHeight="1">
      <c r="A119" s="46" t="n">
        <v>115</v>
      </c>
      <c r="B119" s="47">
        <f>IFERROR(IF(C119&lt;=0.01,"",EDATE(B118,1)),"")</f>
        <v/>
      </c>
      <c r="C119" s="48">
        <f>IF(G118&lt;=0.01,0,G118)</f>
        <v/>
      </c>
      <c r="D119" s="48">
        <f>IF(C119&lt;=0.01,0,IF(A119&lt;Calculadora!$C$8,E119,E119+C119))</f>
        <v/>
      </c>
      <c r="E119" s="49">
        <f>IF(C119&lt;=0.01,0,ROUND(C119*Calculadora!$C$7/12,2))</f>
        <v/>
      </c>
      <c r="F119" s="48">
        <f>IF(C119&lt;=0.01,0,D119-E119)</f>
        <v/>
      </c>
      <c r="G119" s="48">
        <f>IF(C119&lt;=0.01,0,MAX(ROUND(C119-F119,2),0))</f>
        <v/>
      </c>
      <c r="H119" s="50">
        <f>IFERROR(IF(Calculadora!$C$6&gt;0,1-(G119/Calculadora!$C$6),0),0)</f>
        <v/>
      </c>
    </row>
    <row r="120" ht="18" customHeight="1">
      <c r="A120" s="46" t="n">
        <v>116</v>
      </c>
      <c r="B120" s="47">
        <f>IFERROR(IF(C120&lt;=0.01,"",EDATE(B119,1)),"")</f>
        <v/>
      </c>
      <c r="C120" s="48">
        <f>IF(G119&lt;=0.01,0,G119)</f>
        <v/>
      </c>
      <c r="D120" s="48">
        <f>IF(C120&lt;=0.01,0,IF(A120&lt;Calculadora!$C$8,E120,E120+C120))</f>
        <v/>
      </c>
      <c r="E120" s="49">
        <f>IF(C120&lt;=0.01,0,ROUND(C120*Calculadora!$C$7/12,2))</f>
        <v/>
      </c>
      <c r="F120" s="48">
        <f>IF(C120&lt;=0.01,0,D120-E120)</f>
        <v/>
      </c>
      <c r="G120" s="48">
        <f>IF(C120&lt;=0.01,0,MAX(ROUND(C120-F120,2),0))</f>
        <v/>
      </c>
      <c r="H120" s="50">
        <f>IFERROR(IF(Calculadora!$C$6&gt;0,1-(G120/Calculadora!$C$6),0),0)</f>
        <v/>
      </c>
    </row>
    <row r="121" ht="18" customHeight="1">
      <c r="A121" s="46" t="n">
        <v>117</v>
      </c>
      <c r="B121" s="47">
        <f>IFERROR(IF(C121&lt;=0.01,"",EDATE(B120,1)),"")</f>
        <v/>
      </c>
      <c r="C121" s="48">
        <f>IF(G120&lt;=0.01,0,G120)</f>
        <v/>
      </c>
      <c r="D121" s="48">
        <f>IF(C121&lt;=0.01,0,IF(A121&lt;Calculadora!$C$8,E121,E121+C121))</f>
        <v/>
      </c>
      <c r="E121" s="49">
        <f>IF(C121&lt;=0.01,0,ROUND(C121*Calculadora!$C$7/12,2))</f>
        <v/>
      </c>
      <c r="F121" s="48">
        <f>IF(C121&lt;=0.01,0,D121-E121)</f>
        <v/>
      </c>
      <c r="G121" s="48">
        <f>IF(C121&lt;=0.01,0,MAX(ROUND(C121-F121,2),0))</f>
        <v/>
      </c>
      <c r="H121" s="50">
        <f>IFERROR(IF(Calculadora!$C$6&gt;0,1-(G121/Calculadora!$C$6),0),0)</f>
        <v/>
      </c>
    </row>
    <row r="122" ht="18" customHeight="1">
      <c r="A122" s="46" t="n">
        <v>118</v>
      </c>
      <c r="B122" s="47">
        <f>IFERROR(IF(C122&lt;=0.01,"",EDATE(B121,1)),"")</f>
        <v/>
      </c>
      <c r="C122" s="48">
        <f>IF(G121&lt;=0.01,0,G121)</f>
        <v/>
      </c>
      <c r="D122" s="48">
        <f>IF(C122&lt;=0.01,0,IF(A122&lt;Calculadora!$C$8,E122,E122+C122))</f>
        <v/>
      </c>
      <c r="E122" s="49">
        <f>IF(C122&lt;=0.01,0,ROUND(C122*Calculadora!$C$7/12,2))</f>
        <v/>
      </c>
      <c r="F122" s="48">
        <f>IF(C122&lt;=0.01,0,D122-E122)</f>
        <v/>
      </c>
      <c r="G122" s="48">
        <f>IF(C122&lt;=0.01,0,MAX(ROUND(C122-F122,2),0))</f>
        <v/>
      </c>
      <c r="H122" s="50">
        <f>IFERROR(IF(Calculadora!$C$6&gt;0,1-(G122/Calculadora!$C$6),0),0)</f>
        <v/>
      </c>
    </row>
    <row r="123" ht="18" customHeight="1">
      <c r="A123" s="46" t="n">
        <v>119</v>
      </c>
      <c r="B123" s="47">
        <f>IFERROR(IF(C123&lt;=0.01,"",EDATE(B122,1)),"")</f>
        <v/>
      </c>
      <c r="C123" s="48">
        <f>IF(G122&lt;=0.01,0,G122)</f>
        <v/>
      </c>
      <c r="D123" s="48">
        <f>IF(C123&lt;=0.01,0,IF(A123&lt;Calculadora!$C$8,E123,E123+C123))</f>
        <v/>
      </c>
      <c r="E123" s="49">
        <f>IF(C123&lt;=0.01,0,ROUND(C123*Calculadora!$C$7/12,2))</f>
        <v/>
      </c>
      <c r="F123" s="48">
        <f>IF(C123&lt;=0.01,0,D123-E123)</f>
        <v/>
      </c>
      <c r="G123" s="48">
        <f>IF(C123&lt;=0.01,0,MAX(ROUND(C123-F123,2),0))</f>
        <v/>
      </c>
      <c r="H123" s="50">
        <f>IFERROR(IF(Calculadora!$C$6&gt;0,1-(G123/Calculadora!$C$6),0),0)</f>
        <v/>
      </c>
    </row>
    <row r="124" ht="18" customHeight="1">
      <c r="A124" s="46" t="n">
        <v>120</v>
      </c>
      <c r="B124" s="47">
        <f>IFERROR(IF(C124&lt;=0.01,"",EDATE(B123,1)),"")</f>
        <v/>
      </c>
      <c r="C124" s="48">
        <f>IF(G123&lt;=0.01,0,G123)</f>
        <v/>
      </c>
      <c r="D124" s="48">
        <f>IF(C124&lt;=0.01,0,IF(A124&lt;Calculadora!$C$8,E124,E124+C124))</f>
        <v/>
      </c>
      <c r="E124" s="49">
        <f>IF(C124&lt;=0.01,0,ROUND(C124*Calculadora!$C$7/12,2))</f>
        <v/>
      </c>
      <c r="F124" s="48">
        <f>IF(C124&lt;=0.01,0,D124-E124)</f>
        <v/>
      </c>
      <c r="G124" s="48">
        <f>IF(C124&lt;=0.01,0,MAX(ROUND(C124-F124,2),0))</f>
        <v/>
      </c>
      <c r="H124" s="50">
        <f>IFERROR(IF(Calculadora!$C$6&gt;0,1-(G124/Calculadora!$C$6),0),0)</f>
        <v/>
      </c>
    </row>
    <row r="125" ht="18" customHeight="1">
      <c r="A125" s="46" t="n">
        <v>121</v>
      </c>
      <c r="B125" s="47">
        <f>IFERROR(IF(C125&lt;=0.01,"",EDATE(B124,1)),"")</f>
        <v/>
      </c>
      <c r="C125" s="48">
        <f>IF(G124&lt;=0.01,0,G124)</f>
        <v/>
      </c>
      <c r="D125" s="48">
        <f>IF(C125&lt;=0.01,0,IF(A125&lt;Calculadora!$C$8,E125,E125+C125))</f>
        <v/>
      </c>
      <c r="E125" s="49">
        <f>IF(C125&lt;=0.01,0,ROUND(C125*Calculadora!$C$7/12,2))</f>
        <v/>
      </c>
      <c r="F125" s="48">
        <f>IF(C125&lt;=0.01,0,D125-E125)</f>
        <v/>
      </c>
      <c r="G125" s="48">
        <f>IF(C125&lt;=0.01,0,MAX(ROUND(C125-F125,2),0))</f>
        <v/>
      </c>
      <c r="H125" s="50">
        <f>IFERROR(IF(Calculadora!$C$6&gt;0,1-(G125/Calculadora!$C$6),0),0)</f>
        <v/>
      </c>
    </row>
    <row r="126" ht="18" customHeight="1">
      <c r="A126" s="46" t="n">
        <v>122</v>
      </c>
      <c r="B126" s="47">
        <f>IFERROR(IF(C126&lt;=0.01,"",EDATE(B125,1)),"")</f>
        <v/>
      </c>
      <c r="C126" s="48">
        <f>IF(G125&lt;=0.01,0,G125)</f>
        <v/>
      </c>
      <c r="D126" s="48">
        <f>IF(C126&lt;=0.01,0,IF(A126&lt;Calculadora!$C$8,E126,E126+C126))</f>
        <v/>
      </c>
      <c r="E126" s="49">
        <f>IF(C126&lt;=0.01,0,ROUND(C126*Calculadora!$C$7/12,2))</f>
        <v/>
      </c>
      <c r="F126" s="48">
        <f>IF(C126&lt;=0.01,0,D126-E126)</f>
        <v/>
      </c>
      <c r="G126" s="48">
        <f>IF(C126&lt;=0.01,0,MAX(ROUND(C126-F126,2),0))</f>
        <v/>
      </c>
      <c r="H126" s="50">
        <f>IFERROR(IF(Calculadora!$C$6&gt;0,1-(G126/Calculadora!$C$6),0),0)</f>
        <v/>
      </c>
    </row>
    <row r="127" ht="18" customHeight="1">
      <c r="A127" s="46" t="n">
        <v>123</v>
      </c>
      <c r="B127" s="47">
        <f>IFERROR(IF(C127&lt;=0.01,"",EDATE(B126,1)),"")</f>
        <v/>
      </c>
      <c r="C127" s="48">
        <f>IF(G126&lt;=0.01,0,G126)</f>
        <v/>
      </c>
      <c r="D127" s="48">
        <f>IF(C127&lt;=0.01,0,IF(A127&lt;Calculadora!$C$8,E127,E127+C127))</f>
        <v/>
      </c>
      <c r="E127" s="49">
        <f>IF(C127&lt;=0.01,0,ROUND(C127*Calculadora!$C$7/12,2))</f>
        <v/>
      </c>
      <c r="F127" s="48">
        <f>IF(C127&lt;=0.01,0,D127-E127)</f>
        <v/>
      </c>
      <c r="G127" s="48">
        <f>IF(C127&lt;=0.01,0,MAX(ROUND(C127-F127,2),0))</f>
        <v/>
      </c>
      <c r="H127" s="50">
        <f>IFERROR(IF(Calculadora!$C$6&gt;0,1-(G127/Calculadora!$C$6),0),0)</f>
        <v/>
      </c>
    </row>
    <row r="128" ht="18" customHeight="1">
      <c r="A128" s="46" t="n">
        <v>124</v>
      </c>
      <c r="B128" s="47">
        <f>IFERROR(IF(C128&lt;=0.01,"",EDATE(B127,1)),"")</f>
        <v/>
      </c>
      <c r="C128" s="48">
        <f>IF(G127&lt;=0.01,0,G127)</f>
        <v/>
      </c>
      <c r="D128" s="48">
        <f>IF(C128&lt;=0.01,0,IF(A128&lt;Calculadora!$C$8,E128,E128+C128))</f>
        <v/>
      </c>
      <c r="E128" s="49">
        <f>IF(C128&lt;=0.01,0,ROUND(C128*Calculadora!$C$7/12,2))</f>
        <v/>
      </c>
      <c r="F128" s="48">
        <f>IF(C128&lt;=0.01,0,D128-E128)</f>
        <v/>
      </c>
      <c r="G128" s="48">
        <f>IF(C128&lt;=0.01,0,MAX(ROUND(C128-F128,2),0))</f>
        <v/>
      </c>
      <c r="H128" s="50">
        <f>IFERROR(IF(Calculadora!$C$6&gt;0,1-(G128/Calculadora!$C$6),0),0)</f>
        <v/>
      </c>
    </row>
    <row r="129" ht="18" customHeight="1">
      <c r="A129" s="46" t="n">
        <v>125</v>
      </c>
      <c r="B129" s="47">
        <f>IFERROR(IF(C129&lt;=0.01,"",EDATE(B128,1)),"")</f>
        <v/>
      </c>
      <c r="C129" s="48">
        <f>IF(G128&lt;=0.01,0,G128)</f>
        <v/>
      </c>
      <c r="D129" s="48">
        <f>IF(C129&lt;=0.01,0,IF(A129&lt;Calculadora!$C$8,E129,E129+C129))</f>
        <v/>
      </c>
      <c r="E129" s="49">
        <f>IF(C129&lt;=0.01,0,ROUND(C129*Calculadora!$C$7/12,2))</f>
        <v/>
      </c>
      <c r="F129" s="48">
        <f>IF(C129&lt;=0.01,0,D129-E129)</f>
        <v/>
      </c>
      <c r="G129" s="48">
        <f>IF(C129&lt;=0.01,0,MAX(ROUND(C129-F129,2),0))</f>
        <v/>
      </c>
      <c r="H129" s="50">
        <f>IFERROR(IF(Calculadora!$C$6&gt;0,1-(G129/Calculadora!$C$6),0),0)</f>
        <v/>
      </c>
    </row>
    <row r="130" ht="18" customHeight="1">
      <c r="A130" s="46" t="n">
        <v>126</v>
      </c>
      <c r="B130" s="47">
        <f>IFERROR(IF(C130&lt;=0.01,"",EDATE(B129,1)),"")</f>
        <v/>
      </c>
      <c r="C130" s="48">
        <f>IF(G129&lt;=0.01,0,G129)</f>
        <v/>
      </c>
      <c r="D130" s="48">
        <f>IF(C130&lt;=0.01,0,IF(A130&lt;Calculadora!$C$8,E130,E130+C130))</f>
        <v/>
      </c>
      <c r="E130" s="49">
        <f>IF(C130&lt;=0.01,0,ROUND(C130*Calculadora!$C$7/12,2))</f>
        <v/>
      </c>
      <c r="F130" s="48">
        <f>IF(C130&lt;=0.01,0,D130-E130)</f>
        <v/>
      </c>
      <c r="G130" s="48">
        <f>IF(C130&lt;=0.01,0,MAX(ROUND(C130-F130,2),0))</f>
        <v/>
      </c>
      <c r="H130" s="50">
        <f>IFERROR(IF(Calculadora!$C$6&gt;0,1-(G130/Calculadora!$C$6),0),0)</f>
        <v/>
      </c>
    </row>
    <row r="131" ht="18" customHeight="1">
      <c r="A131" s="46" t="n">
        <v>127</v>
      </c>
      <c r="B131" s="47">
        <f>IFERROR(IF(C131&lt;=0.01,"",EDATE(B130,1)),"")</f>
        <v/>
      </c>
      <c r="C131" s="48">
        <f>IF(G130&lt;=0.01,0,G130)</f>
        <v/>
      </c>
      <c r="D131" s="48">
        <f>IF(C131&lt;=0.01,0,IF(A131&lt;Calculadora!$C$8,E131,E131+C131))</f>
        <v/>
      </c>
      <c r="E131" s="49">
        <f>IF(C131&lt;=0.01,0,ROUND(C131*Calculadora!$C$7/12,2))</f>
        <v/>
      </c>
      <c r="F131" s="48">
        <f>IF(C131&lt;=0.01,0,D131-E131)</f>
        <v/>
      </c>
      <c r="G131" s="48">
        <f>IF(C131&lt;=0.01,0,MAX(ROUND(C131-F131,2),0))</f>
        <v/>
      </c>
      <c r="H131" s="50">
        <f>IFERROR(IF(Calculadora!$C$6&gt;0,1-(G131/Calculadora!$C$6),0),0)</f>
        <v/>
      </c>
    </row>
    <row r="132" ht="18" customHeight="1">
      <c r="A132" s="46" t="n">
        <v>128</v>
      </c>
      <c r="B132" s="47">
        <f>IFERROR(IF(C132&lt;=0.01,"",EDATE(B131,1)),"")</f>
        <v/>
      </c>
      <c r="C132" s="48">
        <f>IF(G131&lt;=0.01,0,G131)</f>
        <v/>
      </c>
      <c r="D132" s="48">
        <f>IF(C132&lt;=0.01,0,IF(A132&lt;Calculadora!$C$8,E132,E132+C132))</f>
        <v/>
      </c>
      <c r="E132" s="49">
        <f>IF(C132&lt;=0.01,0,ROUND(C132*Calculadora!$C$7/12,2))</f>
        <v/>
      </c>
      <c r="F132" s="48">
        <f>IF(C132&lt;=0.01,0,D132-E132)</f>
        <v/>
      </c>
      <c r="G132" s="48">
        <f>IF(C132&lt;=0.01,0,MAX(ROUND(C132-F132,2),0))</f>
        <v/>
      </c>
      <c r="H132" s="50">
        <f>IFERROR(IF(Calculadora!$C$6&gt;0,1-(G132/Calculadora!$C$6),0),0)</f>
        <v/>
      </c>
    </row>
    <row r="133" ht="18" customHeight="1">
      <c r="A133" s="46" t="n">
        <v>129</v>
      </c>
      <c r="B133" s="47">
        <f>IFERROR(IF(C133&lt;=0.01,"",EDATE(B132,1)),"")</f>
        <v/>
      </c>
      <c r="C133" s="48">
        <f>IF(G132&lt;=0.01,0,G132)</f>
        <v/>
      </c>
      <c r="D133" s="48">
        <f>IF(C133&lt;=0.01,0,IF(A133&lt;Calculadora!$C$8,E133,E133+C133))</f>
        <v/>
      </c>
      <c r="E133" s="49">
        <f>IF(C133&lt;=0.01,0,ROUND(C133*Calculadora!$C$7/12,2))</f>
        <v/>
      </c>
      <c r="F133" s="48">
        <f>IF(C133&lt;=0.01,0,D133-E133)</f>
        <v/>
      </c>
      <c r="G133" s="48">
        <f>IF(C133&lt;=0.01,0,MAX(ROUND(C133-F133,2),0))</f>
        <v/>
      </c>
      <c r="H133" s="50">
        <f>IFERROR(IF(Calculadora!$C$6&gt;0,1-(G133/Calculadora!$C$6),0),0)</f>
        <v/>
      </c>
    </row>
    <row r="134" ht="18" customHeight="1">
      <c r="A134" s="46" t="n">
        <v>130</v>
      </c>
      <c r="B134" s="47">
        <f>IFERROR(IF(C134&lt;=0.01,"",EDATE(B133,1)),"")</f>
        <v/>
      </c>
      <c r="C134" s="48">
        <f>IF(G133&lt;=0.01,0,G133)</f>
        <v/>
      </c>
      <c r="D134" s="48">
        <f>IF(C134&lt;=0.01,0,IF(A134&lt;Calculadora!$C$8,E134,E134+C134))</f>
        <v/>
      </c>
      <c r="E134" s="49">
        <f>IF(C134&lt;=0.01,0,ROUND(C134*Calculadora!$C$7/12,2))</f>
        <v/>
      </c>
      <c r="F134" s="48">
        <f>IF(C134&lt;=0.01,0,D134-E134)</f>
        <v/>
      </c>
      <c r="G134" s="48">
        <f>IF(C134&lt;=0.01,0,MAX(ROUND(C134-F134,2),0))</f>
        <v/>
      </c>
      <c r="H134" s="50">
        <f>IFERROR(IF(Calculadora!$C$6&gt;0,1-(G134/Calculadora!$C$6),0),0)</f>
        <v/>
      </c>
    </row>
    <row r="135" ht="18" customHeight="1">
      <c r="A135" s="46" t="n">
        <v>131</v>
      </c>
      <c r="B135" s="47">
        <f>IFERROR(IF(C135&lt;=0.01,"",EDATE(B134,1)),"")</f>
        <v/>
      </c>
      <c r="C135" s="48">
        <f>IF(G134&lt;=0.01,0,G134)</f>
        <v/>
      </c>
      <c r="D135" s="48">
        <f>IF(C135&lt;=0.01,0,IF(A135&lt;Calculadora!$C$8,E135,E135+C135))</f>
        <v/>
      </c>
      <c r="E135" s="49">
        <f>IF(C135&lt;=0.01,0,ROUND(C135*Calculadora!$C$7/12,2))</f>
        <v/>
      </c>
      <c r="F135" s="48">
        <f>IF(C135&lt;=0.01,0,D135-E135)</f>
        <v/>
      </c>
      <c r="G135" s="48">
        <f>IF(C135&lt;=0.01,0,MAX(ROUND(C135-F135,2),0))</f>
        <v/>
      </c>
      <c r="H135" s="50">
        <f>IFERROR(IF(Calculadora!$C$6&gt;0,1-(G135/Calculadora!$C$6),0),0)</f>
        <v/>
      </c>
    </row>
    <row r="136" ht="18" customHeight="1">
      <c r="A136" s="46" t="n">
        <v>132</v>
      </c>
      <c r="B136" s="47">
        <f>IFERROR(IF(C136&lt;=0.01,"",EDATE(B135,1)),"")</f>
        <v/>
      </c>
      <c r="C136" s="48">
        <f>IF(G135&lt;=0.01,0,G135)</f>
        <v/>
      </c>
      <c r="D136" s="48">
        <f>IF(C136&lt;=0.01,0,IF(A136&lt;Calculadora!$C$8,E136,E136+C136))</f>
        <v/>
      </c>
      <c r="E136" s="49">
        <f>IF(C136&lt;=0.01,0,ROUND(C136*Calculadora!$C$7/12,2))</f>
        <v/>
      </c>
      <c r="F136" s="48">
        <f>IF(C136&lt;=0.01,0,D136-E136)</f>
        <v/>
      </c>
      <c r="G136" s="48">
        <f>IF(C136&lt;=0.01,0,MAX(ROUND(C136-F136,2),0))</f>
        <v/>
      </c>
      <c r="H136" s="50">
        <f>IFERROR(IF(Calculadora!$C$6&gt;0,1-(G136/Calculadora!$C$6),0),0)</f>
        <v/>
      </c>
    </row>
    <row r="137" ht="18" customHeight="1">
      <c r="A137" s="46" t="n">
        <v>133</v>
      </c>
      <c r="B137" s="47">
        <f>IFERROR(IF(C137&lt;=0.01,"",EDATE(B136,1)),"")</f>
        <v/>
      </c>
      <c r="C137" s="48">
        <f>IF(G136&lt;=0.01,0,G136)</f>
        <v/>
      </c>
      <c r="D137" s="48">
        <f>IF(C137&lt;=0.01,0,IF(A137&lt;Calculadora!$C$8,E137,E137+C137))</f>
        <v/>
      </c>
      <c r="E137" s="49">
        <f>IF(C137&lt;=0.01,0,ROUND(C137*Calculadora!$C$7/12,2))</f>
        <v/>
      </c>
      <c r="F137" s="48">
        <f>IF(C137&lt;=0.01,0,D137-E137)</f>
        <v/>
      </c>
      <c r="G137" s="48">
        <f>IF(C137&lt;=0.01,0,MAX(ROUND(C137-F137,2),0))</f>
        <v/>
      </c>
      <c r="H137" s="50">
        <f>IFERROR(IF(Calculadora!$C$6&gt;0,1-(G137/Calculadora!$C$6),0),0)</f>
        <v/>
      </c>
    </row>
    <row r="138" ht="18" customHeight="1">
      <c r="A138" s="46" t="n">
        <v>134</v>
      </c>
      <c r="B138" s="47">
        <f>IFERROR(IF(C138&lt;=0.01,"",EDATE(B137,1)),"")</f>
        <v/>
      </c>
      <c r="C138" s="48">
        <f>IF(G137&lt;=0.01,0,G137)</f>
        <v/>
      </c>
      <c r="D138" s="48">
        <f>IF(C138&lt;=0.01,0,IF(A138&lt;Calculadora!$C$8,E138,E138+C138))</f>
        <v/>
      </c>
      <c r="E138" s="49">
        <f>IF(C138&lt;=0.01,0,ROUND(C138*Calculadora!$C$7/12,2))</f>
        <v/>
      </c>
      <c r="F138" s="48">
        <f>IF(C138&lt;=0.01,0,D138-E138)</f>
        <v/>
      </c>
      <c r="G138" s="48">
        <f>IF(C138&lt;=0.01,0,MAX(ROUND(C138-F138,2),0))</f>
        <v/>
      </c>
      <c r="H138" s="50">
        <f>IFERROR(IF(Calculadora!$C$6&gt;0,1-(G138/Calculadora!$C$6),0),0)</f>
        <v/>
      </c>
    </row>
    <row r="139" ht="18" customHeight="1">
      <c r="A139" s="46" t="n">
        <v>135</v>
      </c>
      <c r="B139" s="47">
        <f>IFERROR(IF(C139&lt;=0.01,"",EDATE(B138,1)),"")</f>
        <v/>
      </c>
      <c r="C139" s="48">
        <f>IF(G138&lt;=0.01,0,G138)</f>
        <v/>
      </c>
      <c r="D139" s="48">
        <f>IF(C139&lt;=0.01,0,IF(A139&lt;Calculadora!$C$8,E139,E139+C139))</f>
        <v/>
      </c>
      <c r="E139" s="49">
        <f>IF(C139&lt;=0.01,0,ROUND(C139*Calculadora!$C$7/12,2))</f>
        <v/>
      </c>
      <c r="F139" s="48">
        <f>IF(C139&lt;=0.01,0,D139-E139)</f>
        <v/>
      </c>
      <c r="G139" s="48">
        <f>IF(C139&lt;=0.01,0,MAX(ROUND(C139-F139,2),0))</f>
        <v/>
      </c>
      <c r="H139" s="50">
        <f>IFERROR(IF(Calculadora!$C$6&gt;0,1-(G139/Calculadora!$C$6),0),0)</f>
        <v/>
      </c>
    </row>
    <row r="140" ht="18" customHeight="1">
      <c r="A140" s="46" t="n">
        <v>136</v>
      </c>
      <c r="B140" s="47">
        <f>IFERROR(IF(C140&lt;=0.01,"",EDATE(B139,1)),"")</f>
        <v/>
      </c>
      <c r="C140" s="48">
        <f>IF(G139&lt;=0.01,0,G139)</f>
        <v/>
      </c>
      <c r="D140" s="48">
        <f>IF(C140&lt;=0.01,0,IF(A140&lt;Calculadora!$C$8,E140,E140+C140))</f>
        <v/>
      </c>
      <c r="E140" s="49">
        <f>IF(C140&lt;=0.01,0,ROUND(C140*Calculadora!$C$7/12,2))</f>
        <v/>
      </c>
      <c r="F140" s="48">
        <f>IF(C140&lt;=0.01,0,D140-E140)</f>
        <v/>
      </c>
      <c r="G140" s="48">
        <f>IF(C140&lt;=0.01,0,MAX(ROUND(C140-F140,2),0))</f>
        <v/>
      </c>
      <c r="H140" s="50">
        <f>IFERROR(IF(Calculadora!$C$6&gt;0,1-(G140/Calculadora!$C$6),0),0)</f>
        <v/>
      </c>
    </row>
    <row r="141" ht="18" customHeight="1">
      <c r="A141" s="46" t="n">
        <v>137</v>
      </c>
      <c r="B141" s="47">
        <f>IFERROR(IF(C141&lt;=0.01,"",EDATE(B140,1)),"")</f>
        <v/>
      </c>
      <c r="C141" s="48">
        <f>IF(G140&lt;=0.01,0,G140)</f>
        <v/>
      </c>
      <c r="D141" s="48">
        <f>IF(C141&lt;=0.01,0,IF(A141&lt;Calculadora!$C$8,E141,E141+C141))</f>
        <v/>
      </c>
      <c r="E141" s="49">
        <f>IF(C141&lt;=0.01,0,ROUND(C141*Calculadora!$C$7/12,2))</f>
        <v/>
      </c>
      <c r="F141" s="48">
        <f>IF(C141&lt;=0.01,0,D141-E141)</f>
        <v/>
      </c>
      <c r="G141" s="48">
        <f>IF(C141&lt;=0.01,0,MAX(ROUND(C141-F141,2),0))</f>
        <v/>
      </c>
      <c r="H141" s="50">
        <f>IFERROR(IF(Calculadora!$C$6&gt;0,1-(G141/Calculadora!$C$6),0),0)</f>
        <v/>
      </c>
    </row>
    <row r="142" ht="18" customHeight="1">
      <c r="A142" s="46" t="n">
        <v>138</v>
      </c>
      <c r="B142" s="47">
        <f>IFERROR(IF(C142&lt;=0.01,"",EDATE(B141,1)),"")</f>
        <v/>
      </c>
      <c r="C142" s="48">
        <f>IF(G141&lt;=0.01,0,G141)</f>
        <v/>
      </c>
      <c r="D142" s="48">
        <f>IF(C142&lt;=0.01,0,IF(A142&lt;Calculadora!$C$8,E142,E142+C142))</f>
        <v/>
      </c>
      <c r="E142" s="49">
        <f>IF(C142&lt;=0.01,0,ROUND(C142*Calculadora!$C$7/12,2))</f>
        <v/>
      </c>
      <c r="F142" s="48">
        <f>IF(C142&lt;=0.01,0,D142-E142)</f>
        <v/>
      </c>
      <c r="G142" s="48">
        <f>IF(C142&lt;=0.01,0,MAX(ROUND(C142-F142,2),0))</f>
        <v/>
      </c>
      <c r="H142" s="50">
        <f>IFERROR(IF(Calculadora!$C$6&gt;0,1-(G142/Calculadora!$C$6),0),0)</f>
        <v/>
      </c>
    </row>
    <row r="143" ht="18" customHeight="1">
      <c r="A143" s="46" t="n">
        <v>139</v>
      </c>
      <c r="B143" s="47">
        <f>IFERROR(IF(C143&lt;=0.01,"",EDATE(B142,1)),"")</f>
        <v/>
      </c>
      <c r="C143" s="48">
        <f>IF(G142&lt;=0.01,0,G142)</f>
        <v/>
      </c>
      <c r="D143" s="48">
        <f>IF(C143&lt;=0.01,0,IF(A143&lt;Calculadora!$C$8,E143,E143+C143))</f>
        <v/>
      </c>
      <c r="E143" s="49">
        <f>IF(C143&lt;=0.01,0,ROUND(C143*Calculadora!$C$7/12,2))</f>
        <v/>
      </c>
      <c r="F143" s="48">
        <f>IF(C143&lt;=0.01,0,D143-E143)</f>
        <v/>
      </c>
      <c r="G143" s="48">
        <f>IF(C143&lt;=0.01,0,MAX(ROUND(C143-F143,2),0))</f>
        <v/>
      </c>
      <c r="H143" s="50">
        <f>IFERROR(IF(Calculadora!$C$6&gt;0,1-(G143/Calculadora!$C$6),0),0)</f>
        <v/>
      </c>
    </row>
    <row r="144" ht="18" customHeight="1">
      <c r="A144" s="46" t="n">
        <v>140</v>
      </c>
      <c r="B144" s="47">
        <f>IFERROR(IF(C144&lt;=0.01,"",EDATE(B143,1)),"")</f>
        <v/>
      </c>
      <c r="C144" s="48">
        <f>IF(G143&lt;=0.01,0,G143)</f>
        <v/>
      </c>
      <c r="D144" s="48">
        <f>IF(C144&lt;=0.01,0,IF(A144&lt;Calculadora!$C$8,E144,E144+C144))</f>
        <v/>
      </c>
      <c r="E144" s="49">
        <f>IF(C144&lt;=0.01,0,ROUND(C144*Calculadora!$C$7/12,2))</f>
        <v/>
      </c>
      <c r="F144" s="48">
        <f>IF(C144&lt;=0.01,0,D144-E144)</f>
        <v/>
      </c>
      <c r="G144" s="48">
        <f>IF(C144&lt;=0.01,0,MAX(ROUND(C144-F144,2),0))</f>
        <v/>
      </c>
      <c r="H144" s="50">
        <f>IFERROR(IF(Calculadora!$C$6&gt;0,1-(G144/Calculadora!$C$6),0),0)</f>
        <v/>
      </c>
    </row>
    <row r="145" ht="18" customHeight="1">
      <c r="A145" s="46" t="n">
        <v>141</v>
      </c>
      <c r="B145" s="47">
        <f>IFERROR(IF(C145&lt;=0.01,"",EDATE(B144,1)),"")</f>
        <v/>
      </c>
      <c r="C145" s="48">
        <f>IF(G144&lt;=0.01,0,G144)</f>
        <v/>
      </c>
      <c r="D145" s="48">
        <f>IF(C145&lt;=0.01,0,IF(A145&lt;Calculadora!$C$8,E145,E145+C145))</f>
        <v/>
      </c>
      <c r="E145" s="49">
        <f>IF(C145&lt;=0.01,0,ROUND(C145*Calculadora!$C$7/12,2))</f>
        <v/>
      </c>
      <c r="F145" s="48">
        <f>IF(C145&lt;=0.01,0,D145-E145)</f>
        <v/>
      </c>
      <c r="G145" s="48">
        <f>IF(C145&lt;=0.01,0,MAX(ROUND(C145-F145,2),0))</f>
        <v/>
      </c>
      <c r="H145" s="50">
        <f>IFERROR(IF(Calculadora!$C$6&gt;0,1-(G145/Calculadora!$C$6),0),0)</f>
        <v/>
      </c>
    </row>
    <row r="146" ht="18" customHeight="1">
      <c r="A146" s="46" t="n">
        <v>142</v>
      </c>
      <c r="B146" s="47">
        <f>IFERROR(IF(C146&lt;=0.01,"",EDATE(B145,1)),"")</f>
        <v/>
      </c>
      <c r="C146" s="48">
        <f>IF(G145&lt;=0.01,0,G145)</f>
        <v/>
      </c>
      <c r="D146" s="48">
        <f>IF(C146&lt;=0.01,0,IF(A146&lt;Calculadora!$C$8,E146,E146+C146))</f>
        <v/>
      </c>
      <c r="E146" s="49">
        <f>IF(C146&lt;=0.01,0,ROUND(C146*Calculadora!$C$7/12,2))</f>
        <v/>
      </c>
      <c r="F146" s="48">
        <f>IF(C146&lt;=0.01,0,D146-E146)</f>
        <v/>
      </c>
      <c r="G146" s="48">
        <f>IF(C146&lt;=0.01,0,MAX(ROUND(C146-F146,2),0))</f>
        <v/>
      </c>
      <c r="H146" s="50">
        <f>IFERROR(IF(Calculadora!$C$6&gt;0,1-(G146/Calculadora!$C$6),0),0)</f>
        <v/>
      </c>
    </row>
    <row r="147" ht="18" customHeight="1">
      <c r="A147" s="46" t="n">
        <v>143</v>
      </c>
      <c r="B147" s="47">
        <f>IFERROR(IF(C147&lt;=0.01,"",EDATE(B146,1)),"")</f>
        <v/>
      </c>
      <c r="C147" s="48">
        <f>IF(G146&lt;=0.01,0,G146)</f>
        <v/>
      </c>
      <c r="D147" s="48">
        <f>IF(C147&lt;=0.01,0,IF(A147&lt;Calculadora!$C$8,E147,E147+C147))</f>
        <v/>
      </c>
      <c r="E147" s="49">
        <f>IF(C147&lt;=0.01,0,ROUND(C147*Calculadora!$C$7/12,2))</f>
        <v/>
      </c>
      <c r="F147" s="48">
        <f>IF(C147&lt;=0.01,0,D147-E147)</f>
        <v/>
      </c>
      <c r="G147" s="48">
        <f>IF(C147&lt;=0.01,0,MAX(ROUND(C147-F147,2),0))</f>
        <v/>
      </c>
      <c r="H147" s="50">
        <f>IFERROR(IF(Calculadora!$C$6&gt;0,1-(G147/Calculadora!$C$6),0),0)</f>
        <v/>
      </c>
    </row>
    <row r="148" ht="18" customHeight="1">
      <c r="A148" s="46" t="n">
        <v>144</v>
      </c>
      <c r="B148" s="47">
        <f>IFERROR(IF(C148&lt;=0.01,"",EDATE(B147,1)),"")</f>
        <v/>
      </c>
      <c r="C148" s="48">
        <f>IF(G147&lt;=0.01,0,G147)</f>
        <v/>
      </c>
      <c r="D148" s="48">
        <f>IF(C148&lt;=0.01,0,IF(A148&lt;Calculadora!$C$8,E148,E148+C148))</f>
        <v/>
      </c>
      <c r="E148" s="49">
        <f>IF(C148&lt;=0.01,0,ROUND(C148*Calculadora!$C$7/12,2))</f>
        <v/>
      </c>
      <c r="F148" s="48">
        <f>IF(C148&lt;=0.01,0,D148-E148)</f>
        <v/>
      </c>
      <c r="G148" s="48">
        <f>IF(C148&lt;=0.01,0,MAX(ROUND(C148-F148,2),0))</f>
        <v/>
      </c>
      <c r="H148" s="50">
        <f>IFERROR(IF(Calculadora!$C$6&gt;0,1-(G148/Calculadora!$C$6),0),0)</f>
        <v/>
      </c>
    </row>
    <row r="149" ht="18" customHeight="1">
      <c r="A149" s="46" t="n">
        <v>145</v>
      </c>
      <c r="B149" s="47">
        <f>IFERROR(IF(C149&lt;=0.01,"",EDATE(B148,1)),"")</f>
        <v/>
      </c>
      <c r="C149" s="48">
        <f>IF(G148&lt;=0.01,0,G148)</f>
        <v/>
      </c>
      <c r="D149" s="48">
        <f>IF(C149&lt;=0.01,0,IF(A149&lt;Calculadora!$C$8,E149,E149+C149))</f>
        <v/>
      </c>
      <c r="E149" s="49">
        <f>IF(C149&lt;=0.01,0,ROUND(C149*Calculadora!$C$7/12,2))</f>
        <v/>
      </c>
      <c r="F149" s="48">
        <f>IF(C149&lt;=0.01,0,D149-E149)</f>
        <v/>
      </c>
      <c r="G149" s="48">
        <f>IF(C149&lt;=0.01,0,MAX(ROUND(C149-F149,2),0))</f>
        <v/>
      </c>
      <c r="H149" s="50">
        <f>IFERROR(IF(Calculadora!$C$6&gt;0,1-(G149/Calculadora!$C$6),0),0)</f>
        <v/>
      </c>
    </row>
    <row r="150" ht="18" customHeight="1">
      <c r="A150" s="46" t="n">
        <v>146</v>
      </c>
      <c r="B150" s="47">
        <f>IFERROR(IF(C150&lt;=0.01,"",EDATE(B149,1)),"")</f>
        <v/>
      </c>
      <c r="C150" s="48">
        <f>IF(G149&lt;=0.01,0,G149)</f>
        <v/>
      </c>
      <c r="D150" s="48">
        <f>IF(C150&lt;=0.01,0,IF(A150&lt;Calculadora!$C$8,E150,E150+C150))</f>
        <v/>
      </c>
      <c r="E150" s="49">
        <f>IF(C150&lt;=0.01,0,ROUND(C150*Calculadora!$C$7/12,2))</f>
        <v/>
      </c>
      <c r="F150" s="48">
        <f>IF(C150&lt;=0.01,0,D150-E150)</f>
        <v/>
      </c>
      <c r="G150" s="48">
        <f>IF(C150&lt;=0.01,0,MAX(ROUND(C150-F150,2),0))</f>
        <v/>
      </c>
      <c r="H150" s="50">
        <f>IFERROR(IF(Calculadora!$C$6&gt;0,1-(G150/Calculadora!$C$6),0),0)</f>
        <v/>
      </c>
    </row>
    <row r="151" ht="18" customHeight="1">
      <c r="A151" s="46" t="n">
        <v>147</v>
      </c>
      <c r="B151" s="47">
        <f>IFERROR(IF(C151&lt;=0.01,"",EDATE(B150,1)),"")</f>
        <v/>
      </c>
      <c r="C151" s="48">
        <f>IF(G150&lt;=0.01,0,G150)</f>
        <v/>
      </c>
      <c r="D151" s="48">
        <f>IF(C151&lt;=0.01,0,IF(A151&lt;Calculadora!$C$8,E151,E151+C151))</f>
        <v/>
      </c>
      <c r="E151" s="49">
        <f>IF(C151&lt;=0.01,0,ROUND(C151*Calculadora!$C$7/12,2))</f>
        <v/>
      </c>
      <c r="F151" s="48">
        <f>IF(C151&lt;=0.01,0,D151-E151)</f>
        <v/>
      </c>
      <c r="G151" s="48">
        <f>IF(C151&lt;=0.01,0,MAX(ROUND(C151-F151,2),0))</f>
        <v/>
      </c>
      <c r="H151" s="50">
        <f>IFERROR(IF(Calculadora!$C$6&gt;0,1-(G151/Calculadora!$C$6),0),0)</f>
        <v/>
      </c>
    </row>
    <row r="152" ht="18" customHeight="1">
      <c r="A152" s="46" t="n">
        <v>148</v>
      </c>
      <c r="B152" s="47">
        <f>IFERROR(IF(C152&lt;=0.01,"",EDATE(B151,1)),"")</f>
        <v/>
      </c>
      <c r="C152" s="48">
        <f>IF(G151&lt;=0.01,0,G151)</f>
        <v/>
      </c>
      <c r="D152" s="48">
        <f>IF(C152&lt;=0.01,0,IF(A152&lt;Calculadora!$C$8,E152,E152+C152))</f>
        <v/>
      </c>
      <c r="E152" s="49">
        <f>IF(C152&lt;=0.01,0,ROUND(C152*Calculadora!$C$7/12,2))</f>
        <v/>
      </c>
      <c r="F152" s="48">
        <f>IF(C152&lt;=0.01,0,D152-E152)</f>
        <v/>
      </c>
      <c r="G152" s="48">
        <f>IF(C152&lt;=0.01,0,MAX(ROUND(C152-F152,2),0))</f>
        <v/>
      </c>
      <c r="H152" s="50">
        <f>IFERROR(IF(Calculadora!$C$6&gt;0,1-(G152/Calculadora!$C$6),0),0)</f>
        <v/>
      </c>
    </row>
    <row r="153" ht="18" customHeight="1">
      <c r="A153" s="46" t="n">
        <v>149</v>
      </c>
      <c r="B153" s="47">
        <f>IFERROR(IF(C153&lt;=0.01,"",EDATE(B152,1)),"")</f>
        <v/>
      </c>
      <c r="C153" s="48">
        <f>IF(G152&lt;=0.01,0,G152)</f>
        <v/>
      </c>
      <c r="D153" s="48">
        <f>IF(C153&lt;=0.01,0,IF(A153&lt;Calculadora!$C$8,E153,E153+C153))</f>
        <v/>
      </c>
      <c r="E153" s="49">
        <f>IF(C153&lt;=0.01,0,ROUND(C153*Calculadora!$C$7/12,2))</f>
        <v/>
      </c>
      <c r="F153" s="48">
        <f>IF(C153&lt;=0.01,0,D153-E153)</f>
        <v/>
      </c>
      <c r="G153" s="48">
        <f>IF(C153&lt;=0.01,0,MAX(ROUND(C153-F153,2),0))</f>
        <v/>
      </c>
      <c r="H153" s="50">
        <f>IFERROR(IF(Calculadora!$C$6&gt;0,1-(G153/Calculadora!$C$6),0),0)</f>
        <v/>
      </c>
    </row>
    <row r="154" ht="18" customHeight="1">
      <c r="A154" s="46" t="n">
        <v>150</v>
      </c>
      <c r="B154" s="47">
        <f>IFERROR(IF(C154&lt;=0.01,"",EDATE(B153,1)),"")</f>
        <v/>
      </c>
      <c r="C154" s="48">
        <f>IF(G153&lt;=0.01,0,G153)</f>
        <v/>
      </c>
      <c r="D154" s="48">
        <f>IF(C154&lt;=0.01,0,IF(A154&lt;Calculadora!$C$8,E154,E154+C154))</f>
        <v/>
      </c>
      <c r="E154" s="49">
        <f>IF(C154&lt;=0.01,0,ROUND(C154*Calculadora!$C$7/12,2))</f>
        <v/>
      </c>
      <c r="F154" s="48">
        <f>IF(C154&lt;=0.01,0,D154-E154)</f>
        <v/>
      </c>
      <c r="G154" s="48">
        <f>IF(C154&lt;=0.01,0,MAX(ROUND(C154-F154,2),0))</f>
        <v/>
      </c>
      <c r="H154" s="50">
        <f>IFERROR(IF(Calculadora!$C$6&gt;0,1-(G154/Calculadora!$C$6),0),0)</f>
        <v/>
      </c>
    </row>
    <row r="155" ht="18" customHeight="1">
      <c r="A155" s="46" t="n">
        <v>151</v>
      </c>
      <c r="B155" s="47">
        <f>IFERROR(IF(C155&lt;=0.01,"",EDATE(B154,1)),"")</f>
        <v/>
      </c>
      <c r="C155" s="48">
        <f>IF(G154&lt;=0.01,0,G154)</f>
        <v/>
      </c>
      <c r="D155" s="48">
        <f>IF(C155&lt;=0.01,0,IF(A155&lt;Calculadora!$C$8,E155,E155+C155))</f>
        <v/>
      </c>
      <c r="E155" s="49">
        <f>IF(C155&lt;=0.01,0,ROUND(C155*Calculadora!$C$7/12,2))</f>
        <v/>
      </c>
      <c r="F155" s="48">
        <f>IF(C155&lt;=0.01,0,D155-E155)</f>
        <v/>
      </c>
      <c r="G155" s="48">
        <f>IF(C155&lt;=0.01,0,MAX(ROUND(C155-F155,2),0))</f>
        <v/>
      </c>
      <c r="H155" s="50">
        <f>IFERROR(IF(Calculadora!$C$6&gt;0,1-(G155/Calculadora!$C$6),0),0)</f>
        <v/>
      </c>
    </row>
    <row r="156" ht="18" customHeight="1">
      <c r="A156" s="46" t="n">
        <v>152</v>
      </c>
      <c r="B156" s="47">
        <f>IFERROR(IF(C156&lt;=0.01,"",EDATE(B155,1)),"")</f>
        <v/>
      </c>
      <c r="C156" s="48">
        <f>IF(G155&lt;=0.01,0,G155)</f>
        <v/>
      </c>
      <c r="D156" s="48">
        <f>IF(C156&lt;=0.01,0,IF(A156&lt;Calculadora!$C$8,E156,E156+C156))</f>
        <v/>
      </c>
      <c r="E156" s="49">
        <f>IF(C156&lt;=0.01,0,ROUND(C156*Calculadora!$C$7/12,2))</f>
        <v/>
      </c>
      <c r="F156" s="48">
        <f>IF(C156&lt;=0.01,0,D156-E156)</f>
        <v/>
      </c>
      <c r="G156" s="48">
        <f>IF(C156&lt;=0.01,0,MAX(ROUND(C156-F156,2),0))</f>
        <v/>
      </c>
      <c r="H156" s="50">
        <f>IFERROR(IF(Calculadora!$C$6&gt;0,1-(G156/Calculadora!$C$6),0),0)</f>
        <v/>
      </c>
    </row>
    <row r="157" ht="18" customHeight="1">
      <c r="A157" s="46" t="n">
        <v>153</v>
      </c>
      <c r="B157" s="47">
        <f>IFERROR(IF(C157&lt;=0.01,"",EDATE(B156,1)),"")</f>
        <v/>
      </c>
      <c r="C157" s="48">
        <f>IF(G156&lt;=0.01,0,G156)</f>
        <v/>
      </c>
      <c r="D157" s="48">
        <f>IF(C157&lt;=0.01,0,IF(A157&lt;Calculadora!$C$8,E157,E157+C157))</f>
        <v/>
      </c>
      <c r="E157" s="49">
        <f>IF(C157&lt;=0.01,0,ROUND(C157*Calculadora!$C$7/12,2))</f>
        <v/>
      </c>
      <c r="F157" s="48">
        <f>IF(C157&lt;=0.01,0,D157-E157)</f>
        <v/>
      </c>
      <c r="G157" s="48">
        <f>IF(C157&lt;=0.01,0,MAX(ROUND(C157-F157,2),0))</f>
        <v/>
      </c>
      <c r="H157" s="50">
        <f>IFERROR(IF(Calculadora!$C$6&gt;0,1-(G157/Calculadora!$C$6),0),0)</f>
        <v/>
      </c>
    </row>
    <row r="158" ht="18" customHeight="1">
      <c r="A158" s="46" t="n">
        <v>154</v>
      </c>
      <c r="B158" s="47">
        <f>IFERROR(IF(C158&lt;=0.01,"",EDATE(B157,1)),"")</f>
        <v/>
      </c>
      <c r="C158" s="48">
        <f>IF(G157&lt;=0.01,0,G157)</f>
        <v/>
      </c>
      <c r="D158" s="48">
        <f>IF(C158&lt;=0.01,0,IF(A158&lt;Calculadora!$C$8,E158,E158+C158))</f>
        <v/>
      </c>
      <c r="E158" s="49">
        <f>IF(C158&lt;=0.01,0,ROUND(C158*Calculadora!$C$7/12,2))</f>
        <v/>
      </c>
      <c r="F158" s="48">
        <f>IF(C158&lt;=0.01,0,D158-E158)</f>
        <v/>
      </c>
      <c r="G158" s="48">
        <f>IF(C158&lt;=0.01,0,MAX(ROUND(C158-F158,2),0))</f>
        <v/>
      </c>
      <c r="H158" s="50">
        <f>IFERROR(IF(Calculadora!$C$6&gt;0,1-(G158/Calculadora!$C$6),0),0)</f>
        <v/>
      </c>
    </row>
    <row r="159" ht="18" customHeight="1">
      <c r="A159" s="46" t="n">
        <v>155</v>
      </c>
      <c r="B159" s="47">
        <f>IFERROR(IF(C159&lt;=0.01,"",EDATE(B158,1)),"")</f>
        <v/>
      </c>
      <c r="C159" s="48">
        <f>IF(G158&lt;=0.01,0,G158)</f>
        <v/>
      </c>
      <c r="D159" s="48">
        <f>IF(C159&lt;=0.01,0,IF(A159&lt;Calculadora!$C$8,E159,E159+C159))</f>
        <v/>
      </c>
      <c r="E159" s="49">
        <f>IF(C159&lt;=0.01,0,ROUND(C159*Calculadora!$C$7/12,2))</f>
        <v/>
      </c>
      <c r="F159" s="48">
        <f>IF(C159&lt;=0.01,0,D159-E159)</f>
        <v/>
      </c>
      <c r="G159" s="48">
        <f>IF(C159&lt;=0.01,0,MAX(ROUND(C159-F159,2),0))</f>
        <v/>
      </c>
      <c r="H159" s="50">
        <f>IFERROR(IF(Calculadora!$C$6&gt;0,1-(G159/Calculadora!$C$6),0),0)</f>
        <v/>
      </c>
    </row>
    <row r="160" ht="18" customHeight="1">
      <c r="A160" s="46" t="n">
        <v>156</v>
      </c>
      <c r="B160" s="47">
        <f>IFERROR(IF(C160&lt;=0.01,"",EDATE(B159,1)),"")</f>
        <v/>
      </c>
      <c r="C160" s="48">
        <f>IF(G159&lt;=0.01,0,G159)</f>
        <v/>
      </c>
      <c r="D160" s="48">
        <f>IF(C160&lt;=0.01,0,IF(A160&lt;Calculadora!$C$8,E160,E160+C160))</f>
        <v/>
      </c>
      <c r="E160" s="49">
        <f>IF(C160&lt;=0.01,0,ROUND(C160*Calculadora!$C$7/12,2))</f>
        <v/>
      </c>
      <c r="F160" s="48">
        <f>IF(C160&lt;=0.01,0,D160-E160)</f>
        <v/>
      </c>
      <c r="G160" s="48">
        <f>IF(C160&lt;=0.01,0,MAX(ROUND(C160-F160,2),0))</f>
        <v/>
      </c>
      <c r="H160" s="50">
        <f>IFERROR(IF(Calculadora!$C$6&gt;0,1-(G160/Calculadora!$C$6),0),0)</f>
        <v/>
      </c>
    </row>
    <row r="161" ht="18" customHeight="1">
      <c r="A161" s="46" t="n">
        <v>157</v>
      </c>
      <c r="B161" s="47">
        <f>IFERROR(IF(C161&lt;=0.01,"",EDATE(B160,1)),"")</f>
        <v/>
      </c>
      <c r="C161" s="48">
        <f>IF(G160&lt;=0.01,0,G160)</f>
        <v/>
      </c>
      <c r="D161" s="48">
        <f>IF(C161&lt;=0.01,0,IF(A161&lt;Calculadora!$C$8,E161,E161+C161))</f>
        <v/>
      </c>
      <c r="E161" s="49">
        <f>IF(C161&lt;=0.01,0,ROUND(C161*Calculadora!$C$7/12,2))</f>
        <v/>
      </c>
      <c r="F161" s="48">
        <f>IF(C161&lt;=0.01,0,D161-E161)</f>
        <v/>
      </c>
      <c r="G161" s="48">
        <f>IF(C161&lt;=0.01,0,MAX(ROUND(C161-F161,2),0))</f>
        <v/>
      </c>
      <c r="H161" s="50">
        <f>IFERROR(IF(Calculadora!$C$6&gt;0,1-(G161/Calculadora!$C$6),0),0)</f>
        <v/>
      </c>
    </row>
    <row r="162" ht="18" customHeight="1">
      <c r="A162" s="46" t="n">
        <v>158</v>
      </c>
      <c r="B162" s="47">
        <f>IFERROR(IF(C162&lt;=0.01,"",EDATE(B161,1)),"")</f>
        <v/>
      </c>
      <c r="C162" s="48">
        <f>IF(G161&lt;=0.01,0,G161)</f>
        <v/>
      </c>
      <c r="D162" s="48">
        <f>IF(C162&lt;=0.01,0,IF(A162&lt;Calculadora!$C$8,E162,E162+C162))</f>
        <v/>
      </c>
      <c r="E162" s="49">
        <f>IF(C162&lt;=0.01,0,ROUND(C162*Calculadora!$C$7/12,2))</f>
        <v/>
      </c>
      <c r="F162" s="48">
        <f>IF(C162&lt;=0.01,0,D162-E162)</f>
        <v/>
      </c>
      <c r="G162" s="48">
        <f>IF(C162&lt;=0.01,0,MAX(ROUND(C162-F162,2),0))</f>
        <v/>
      </c>
      <c r="H162" s="50">
        <f>IFERROR(IF(Calculadora!$C$6&gt;0,1-(G162/Calculadora!$C$6),0),0)</f>
        <v/>
      </c>
    </row>
    <row r="163" ht="18" customHeight="1">
      <c r="A163" s="46" t="n">
        <v>159</v>
      </c>
      <c r="B163" s="47">
        <f>IFERROR(IF(C163&lt;=0.01,"",EDATE(B162,1)),"")</f>
        <v/>
      </c>
      <c r="C163" s="48">
        <f>IF(G162&lt;=0.01,0,G162)</f>
        <v/>
      </c>
      <c r="D163" s="48">
        <f>IF(C163&lt;=0.01,0,IF(A163&lt;Calculadora!$C$8,E163,E163+C163))</f>
        <v/>
      </c>
      <c r="E163" s="49">
        <f>IF(C163&lt;=0.01,0,ROUND(C163*Calculadora!$C$7/12,2))</f>
        <v/>
      </c>
      <c r="F163" s="48">
        <f>IF(C163&lt;=0.01,0,D163-E163)</f>
        <v/>
      </c>
      <c r="G163" s="48">
        <f>IF(C163&lt;=0.01,0,MAX(ROUND(C163-F163,2),0))</f>
        <v/>
      </c>
      <c r="H163" s="50">
        <f>IFERROR(IF(Calculadora!$C$6&gt;0,1-(G163/Calculadora!$C$6),0),0)</f>
        <v/>
      </c>
    </row>
    <row r="164" ht="18" customHeight="1">
      <c r="A164" s="46" t="n">
        <v>160</v>
      </c>
      <c r="B164" s="47">
        <f>IFERROR(IF(C164&lt;=0.01,"",EDATE(B163,1)),"")</f>
        <v/>
      </c>
      <c r="C164" s="48">
        <f>IF(G163&lt;=0.01,0,G163)</f>
        <v/>
      </c>
      <c r="D164" s="48">
        <f>IF(C164&lt;=0.01,0,IF(A164&lt;Calculadora!$C$8,E164,E164+C164))</f>
        <v/>
      </c>
      <c r="E164" s="49">
        <f>IF(C164&lt;=0.01,0,ROUND(C164*Calculadora!$C$7/12,2))</f>
        <v/>
      </c>
      <c r="F164" s="48">
        <f>IF(C164&lt;=0.01,0,D164-E164)</f>
        <v/>
      </c>
      <c r="G164" s="48">
        <f>IF(C164&lt;=0.01,0,MAX(ROUND(C164-F164,2),0))</f>
        <v/>
      </c>
      <c r="H164" s="50">
        <f>IFERROR(IF(Calculadora!$C$6&gt;0,1-(G164/Calculadora!$C$6),0),0)</f>
        <v/>
      </c>
    </row>
    <row r="165" ht="18" customHeight="1">
      <c r="A165" s="46" t="n">
        <v>161</v>
      </c>
      <c r="B165" s="47">
        <f>IFERROR(IF(C165&lt;=0.01,"",EDATE(B164,1)),"")</f>
        <v/>
      </c>
      <c r="C165" s="48">
        <f>IF(G164&lt;=0.01,0,G164)</f>
        <v/>
      </c>
      <c r="D165" s="48">
        <f>IF(C165&lt;=0.01,0,IF(A165&lt;Calculadora!$C$8,E165,E165+C165))</f>
        <v/>
      </c>
      <c r="E165" s="49">
        <f>IF(C165&lt;=0.01,0,ROUND(C165*Calculadora!$C$7/12,2))</f>
        <v/>
      </c>
      <c r="F165" s="48">
        <f>IF(C165&lt;=0.01,0,D165-E165)</f>
        <v/>
      </c>
      <c r="G165" s="48">
        <f>IF(C165&lt;=0.01,0,MAX(ROUND(C165-F165,2),0))</f>
        <v/>
      </c>
      <c r="H165" s="50">
        <f>IFERROR(IF(Calculadora!$C$6&gt;0,1-(G165/Calculadora!$C$6),0),0)</f>
        <v/>
      </c>
    </row>
    <row r="166" ht="18" customHeight="1">
      <c r="A166" s="46" t="n">
        <v>162</v>
      </c>
      <c r="B166" s="47">
        <f>IFERROR(IF(C166&lt;=0.01,"",EDATE(B165,1)),"")</f>
        <v/>
      </c>
      <c r="C166" s="48">
        <f>IF(G165&lt;=0.01,0,G165)</f>
        <v/>
      </c>
      <c r="D166" s="48">
        <f>IF(C166&lt;=0.01,0,IF(A166&lt;Calculadora!$C$8,E166,E166+C166))</f>
        <v/>
      </c>
      <c r="E166" s="49">
        <f>IF(C166&lt;=0.01,0,ROUND(C166*Calculadora!$C$7/12,2))</f>
        <v/>
      </c>
      <c r="F166" s="48">
        <f>IF(C166&lt;=0.01,0,D166-E166)</f>
        <v/>
      </c>
      <c r="G166" s="48">
        <f>IF(C166&lt;=0.01,0,MAX(ROUND(C166-F166,2),0))</f>
        <v/>
      </c>
      <c r="H166" s="50">
        <f>IFERROR(IF(Calculadora!$C$6&gt;0,1-(G166/Calculadora!$C$6),0),0)</f>
        <v/>
      </c>
    </row>
    <row r="167" ht="18" customHeight="1">
      <c r="A167" s="46" t="n">
        <v>163</v>
      </c>
      <c r="B167" s="47">
        <f>IFERROR(IF(C167&lt;=0.01,"",EDATE(B166,1)),"")</f>
        <v/>
      </c>
      <c r="C167" s="48">
        <f>IF(G166&lt;=0.01,0,G166)</f>
        <v/>
      </c>
      <c r="D167" s="48">
        <f>IF(C167&lt;=0.01,0,IF(A167&lt;Calculadora!$C$8,E167,E167+C167))</f>
        <v/>
      </c>
      <c r="E167" s="49">
        <f>IF(C167&lt;=0.01,0,ROUND(C167*Calculadora!$C$7/12,2))</f>
        <v/>
      </c>
      <c r="F167" s="48">
        <f>IF(C167&lt;=0.01,0,D167-E167)</f>
        <v/>
      </c>
      <c r="G167" s="48">
        <f>IF(C167&lt;=0.01,0,MAX(ROUND(C167-F167,2),0))</f>
        <v/>
      </c>
      <c r="H167" s="50">
        <f>IFERROR(IF(Calculadora!$C$6&gt;0,1-(G167/Calculadora!$C$6),0),0)</f>
        <v/>
      </c>
    </row>
    <row r="168" ht="18" customHeight="1">
      <c r="A168" s="46" t="n">
        <v>164</v>
      </c>
      <c r="B168" s="47">
        <f>IFERROR(IF(C168&lt;=0.01,"",EDATE(B167,1)),"")</f>
        <v/>
      </c>
      <c r="C168" s="48">
        <f>IF(G167&lt;=0.01,0,G167)</f>
        <v/>
      </c>
      <c r="D168" s="48">
        <f>IF(C168&lt;=0.01,0,IF(A168&lt;Calculadora!$C$8,E168,E168+C168))</f>
        <v/>
      </c>
      <c r="E168" s="49">
        <f>IF(C168&lt;=0.01,0,ROUND(C168*Calculadora!$C$7/12,2))</f>
        <v/>
      </c>
      <c r="F168" s="48">
        <f>IF(C168&lt;=0.01,0,D168-E168)</f>
        <v/>
      </c>
      <c r="G168" s="48">
        <f>IF(C168&lt;=0.01,0,MAX(ROUND(C168-F168,2),0))</f>
        <v/>
      </c>
      <c r="H168" s="50">
        <f>IFERROR(IF(Calculadora!$C$6&gt;0,1-(G168/Calculadora!$C$6),0),0)</f>
        <v/>
      </c>
    </row>
    <row r="169" ht="18" customHeight="1">
      <c r="A169" s="46" t="n">
        <v>165</v>
      </c>
      <c r="B169" s="47">
        <f>IFERROR(IF(C169&lt;=0.01,"",EDATE(B168,1)),"")</f>
        <v/>
      </c>
      <c r="C169" s="48">
        <f>IF(G168&lt;=0.01,0,G168)</f>
        <v/>
      </c>
      <c r="D169" s="48">
        <f>IF(C169&lt;=0.01,0,IF(A169&lt;Calculadora!$C$8,E169,E169+C169))</f>
        <v/>
      </c>
      <c r="E169" s="49">
        <f>IF(C169&lt;=0.01,0,ROUND(C169*Calculadora!$C$7/12,2))</f>
        <v/>
      </c>
      <c r="F169" s="48">
        <f>IF(C169&lt;=0.01,0,D169-E169)</f>
        <v/>
      </c>
      <c r="G169" s="48">
        <f>IF(C169&lt;=0.01,0,MAX(ROUND(C169-F169,2),0))</f>
        <v/>
      </c>
      <c r="H169" s="50">
        <f>IFERROR(IF(Calculadora!$C$6&gt;0,1-(G169/Calculadora!$C$6),0),0)</f>
        <v/>
      </c>
    </row>
    <row r="170" ht="18" customHeight="1">
      <c r="A170" s="46" t="n">
        <v>166</v>
      </c>
      <c r="B170" s="47">
        <f>IFERROR(IF(C170&lt;=0.01,"",EDATE(B169,1)),"")</f>
        <v/>
      </c>
      <c r="C170" s="48">
        <f>IF(G169&lt;=0.01,0,G169)</f>
        <v/>
      </c>
      <c r="D170" s="48">
        <f>IF(C170&lt;=0.01,0,IF(A170&lt;Calculadora!$C$8,E170,E170+C170))</f>
        <v/>
      </c>
      <c r="E170" s="49">
        <f>IF(C170&lt;=0.01,0,ROUND(C170*Calculadora!$C$7/12,2))</f>
        <v/>
      </c>
      <c r="F170" s="48">
        <f>IF(C170&lt;=0.01,0,D170-E170)</f>
        <v/>
      </c>
      <c r="G170" s="48">
        <f>IF(C170&lt;=0.01,0,MAX(ROUND(C170-F170,2),0))</f>
        <v/>
      </c>
      <c r="H170" s="50">
        <f>IFERROR(IF(Calculadora!$C$6&gt;0,1-(G170/Calculadora!$C$6),0),0)</f>
        <v/>
      </c>
    </row>
    <row r="171" ht="18" customHeight="1">
      <c r="A171" s="46" t="n">
        <v>167</v>
      </c>
      <c r="B171" s="47">
        <f>IFERROR(IF(C171&lt;=0.01,"",EDATE(B170,1)),"")</f>
        <v/>
      </c>
      <c r="C171" s="48">
        <f>IF(G170&lt;=0.01,0,G170)</f>
        <v/>
      </c>
      <c r="D171" s="48">
        <f>IF(C171&lt;=0.01,0,IF(A171&lt;Calculadora!$C$8,E171,E171+C171))</f>
        <v/>
      </c>
      <c r="E171" s="49">
        <f>IF(C171&lt;=0.01,0,ROUND(C171*Calculadora!$C$7/12,2))</f>
        <v/>
      </c>
      <c r="F171" s="48">
        <f>IF(C171&lt;=0.01,0,D171-E171)</f>
        <v/>
      </c>
      <c r="G171" s="48">
        <f>IF(C171&lt;=0.01,0,MAX(ROUND(C171-F171,2),0))</f>
        <v/>
      </c>
      <c r="H171" s="50">
        <f>IFERROR(IF(Calculadora!$C$6&gt;0,1-(G171/Calculadora!$C$6),0),0)</f>
        <v/>
      </c>
    </row>
    <row r="172" ht="18" customHeight="1">
      <c r="A172" s="46" t="n">
        <v>168</v>
      </c>
      <c r="B172" s="47">
        <f>IFERROR(IF(C172&lt;=0.01,"",EDATE(B171,1)),"")</f>
        <v/>
      </c>
      <c r="C172" s="48">
        <f>IF(G171&lt;=0.01,0,G171)</f>
        <v/>
      </c>
      <c r="D172" s="48">
        <f>IF(C172&lt;=0.01,0,IF(A172&lt;Calculadora!$C$8,E172,E172+C172))</f>
        <v/>
      </c>
      <c r="E172" s="49">
        <f>IF(C172&lt;=0.01,0,ROUND(C172*Calculadora!$C$7/12,2))</f>
        <v/>
      </c>
      <c r="F172" s="48">
        <f>IF(C172&lt;=0.01,0,D172-E172)</f>
        <v/>
      </c>
      <c r="G172" s="48">
        <f>IF(C172&lt;=0.01,0,MAX(ROUND(C172-F172,2),0))</f>
        <v/>
      </c>
      <c r="H172" s="50">
        <f>IFERROR(IF(Calculadora!$C$6&gt;0,1-(G172/Calculadora!$C$6),0),0)</f>
        <v/>
      </c>
    </row>
    <row r="173" ht="18" customHeight="1">
      <c r="A173" s="46" t="n">
        <v>169</v>
      </c>
      <c r="B173" s="47">
        <f>IFERROR(IF(C173&lt;=0.01,"",EDATE(B172,1)),"")</f>
        <v/>
      </c>
      <c r="C173" s="48">
        <f>IF(G172&lt;=0.01,0,G172)</f>
        <v/>
      </c>
      <c r="D173" s="48">
        <f>IF(C173&lt;=0.01,0,IF(A173&lt;Calculadora!$C$8,E173,E173+C173))</f>
        <v/>
      </c>
      <c r="E173" s="49">
        <f>IF(C173&lt;=0.01,0,ROUND(C173*Calculadora!$C$7/12,2))</f>
        <v/>
      </c>
      <c r="F173" s="48">
        <f>IF(C173&lt;=0.01,0,D173-E173)</f>
        <v/>
      </c>
      <c r="G173" s="48">
        <f>IF(C173&lt;=0.01,0,MAX(ROUND(C173-F173,2),0))</f>
        <v/>
      </c>
      <c r="H173" s="50">
        <f>IFERROR(IF(Calculadora!$C$6&gt;0,1-(G173/Calculadora!$C$6),0),0)</f>
        <v/>
      </c>
    </row>
    <row r="174" ht="18" customHeight="1">
      <c r="A174" s="46" t="n">
        <v>170</v>
      </c>
      <c r="B174" s="47">
        <f>IFERROR(IF(C174&lt;=0.01,"",EDATE(B173,1)),"")</f>
        <v/>
      </c>
      <c r="C174" s="48">
        <f>IF(G173&lt;=0.01,0,G173)</f>
        <v/>
      </c>
      <c r="D174" s="48">
        <f>IF(C174&lt;=0.01,0,IF(A174&lt;Calculadora!$C$8,E174,E174+C174))</f>
        <v/>
      </c>
      <c r="E174" s="49">
        <f>IF(C174&lt;=0.01,0,ROUND(C174*Calculadora!$C$7/12,2))</f>
        <v/>
      </c>
      <c r="F174" s="48">
        <f>IF(C174&lt;=0.01,0,D174-E174)</f>
        <v/>
      </c>
      <c r="G174" s="48">
        <f>IF(C174&lt;=0.01,0,MAX(ROUND(C174-F174,2),0))</f>
        <v/>
      </c>
      <c r="H174" s="50">
        <f>IFERROR(IF(Calculadora!$C$6&gt;0,1-(G174/Calculadora!$C$6),0),0)</f>
        <v/>
      </c>
    </row>
    <row r="175" ht="18" customHeight="1">
      <c r="A175" s="46" t="n">
        <v>171</v>
      </c>
      <c r="B175" s="47">
        <f>IFERROR(IF(C175&lt;=0.01,"",EDATE(B174,1)),"")</f>
        <v/>
      </c>
      <c r="C175" s="48">
        <f>IF(G174&lt;=0.01,0,G174)</f>
        <v/>
      </c>
      <c r="D175" s="48">
        <f>IF(C175&lt;=0.01,0,IF(A175&lt;Calculadora!$C$8,E175,E175+C175))</f>
        <v/>
      </c>
      <c r="E175" s="49">
        <f>IF(C175&lt;=0.01,0,ROUND(C175*Calculadora!$C$7/12,2))</f>
        <v/>
      </c>
      <c r="F175" s="48">
        <f>IF(C175&lt;=0.01,0,D175-E175)</f>
        <v/>
      </c>
      <c r="G175" s="48">
        <f>IF(C175&lt;=0.01,0,MAX(ROUND(C175-F175,2),0))</f>
        <v/>
      </c>
      <c r="H175" s="50">
        <f>IFERROR(IF(Calculadora!$C$6&gt;0,1-(G175/Calculadora!$C$6),0),0)</f>
        <v/>
      </c>
    </row>
    <row r="176" ht="18" customHeight="1">
      <c r="A176" s="46" t="n">
        <v>172</v>
      </c>
      <c r="B176" s="47">
        <f>IFERROR(IF(C176&lt;=0.01,"",EDATE(B175,1)),"")</f>
        <v/>
      </c>
      <c r="C176" s="48">
        <f>IF(G175&lt;=0.01,0,G175)</f>
        <v/>
      </c>
      <c r="D176" s="48">
        <f>IF(C176&lt;=0.01,0,IF(A176&lt;Calculadora!$C$8,E176,E176+C176))</f>
        <v/>
      </c>
      <c r="E176" s="49">
        <f>IF(C176&lt;=0.01,0,ROUND(C176*Calculadora!$C$7/12,2))</f>
        <v/>
      </c>
      <c r="F176" s="48">
        <f>IF(C176&lt;=0.01,0,D176-E176)</f>
        <v/>
      </c>
      <c r="G176" s="48">
        <f>IF(C176&lt;=0.01,0,MAX(ROUND(C176-F176,2),0))</f>
        <v/>
      </c>
      <c r="H176" s="50">
        <f>IFERROR(IF(Calculadora!$C$6&gt;0,1-(G176/Calculadora!$C$6),0),0)</f>
        <v/>
      </c>
    </row>
    <row r="177" ht="18" customHeight="1">
      <c r="A177" s="46" t="n">
        <v>173</v>
      </c>
      <c r="B177" s="47">
        <f>IFERROR(IF(C177&lt;=0.01,"",EDATE(B176,1)),"")</f>
        <v/>
      </c>
      <c r="C177" s="48">
        <f>IF(G176&lt;=0.01,0,G176)</f>
        <v/>
      </c>
      <c r="D177" s="48">
        <f>IF(C177&lt;=0.01,0,IF(A177&lt;Calculadora!$C$8,E177,E177+C177))</f>
        <v/>
      </c>
      <c r="E177" s="49">
        <f>IF(C177&lt;=0.01,0,ROUND(C177*Calculadora!$C$7/12,2))</f>
        <v/>
      </c>
      <c r="F177" s="48">
        <f>IF(C177&lt;=0.01,0,D177-E177)</f>
        <v/>
      </c>
      <c r="G177" s="48">
        <f>IF(C177&lt;=0.01,0,MAX(ROUND(C177-F177,2),0))</f>
        <v/>
      </c>
      <c r="H177" s="50">
        <f>IFERROR(IF(Calculadora!$C$6&gt;0,1-(G177/Calculadora!$C$6),0),0)</f>
        <v/>
      </c>
    </row>
    <row r="178" ht="18" customHeight="1">
      <c r="A178" s="46" t="n">
        <v>174</v>
      </c>
      <c r="B178" s="47">
        <f>IFERROR(IF(C178&lt;=0.01,"",EDATE(B177,1)),"")</f>
        <v/>
      </c>
      <c r="C178" s="48">
        <f>IF(G177&lt;=0.01,0,G177)</f>
        <v/>
      </c>
      <c r="D178" s="48">
        <f>IF(C178&lt;=0.01,0,IF(A178&lt;Calculadora!$C$8,E178,E178+C178))</f>
        <v/>
      </c>
      <c r="E178" s="49">
        <f>IF(C178&lt;=0.01,0,ROUND(C178*Calculadora!$C$7/12,2))</f>
        <v/>
      </c>
      <c r="F178" s="48">
        <f>IF(C178&lt;=0.01,0,D178-E178)</f>
        <v/>
      </c>
      <c r="G178" s="48">
        <f>IF(C178&lt;=0.01,0,MAX(ROUND(C178-F178,2),0))</f>
        <v/>
      </c>
      <c r="H178" s="50">
        <f>IFERROR(IF(Calculadora!$C$6&gt;0,1-(G178/Calculadora!$C$6),0),0)</f>
        <v/>
      </c>
    </row>
    <row r="179" ht="18" customHeight="1">
      <c r="A179" s="46" t="n">
        <v>175</v>
      </c>
      <c r="B179" s="47">
        <f>IFERROR(IF(C179&lt;=0.01,"",EDATE(B178,1)),"")</f>
        <v/>
      </c>
      <c r="C179" s="48">
        <f>IF(G178&lt;=0.01,0,G178)</f>
        <v/>
      </c>
      <c r="D179" s="48">
        <f>IF(C179&lt;=0.01,0,IF(A179&lt;Calculadora!$C$8,E179,E179+C179))</f>
        <v/>
      </c>
      <c r="E179" s="49">
        <f>IF(C179&lt;=0.01,0,ROUND(C179*Calculadora!$C$7/12,2))</f>
        <v/>
      </c>
      <c r="F179" s="48">
        <f>IF(C179&lt;=0.01,0,D179-E179)</f>
        <v/>
      </c>
      <c r="G179" s="48">
        <f>IF(C179&lt;=0.01,0,MAX(ROUND(C179-F179,2),0))</f>
        <v/>
      </c>
      <c r="H179" s="50">
        <f>IFERROR(IF(Calculadora!$C$6&gt;0,1-(G179/Calculadora!$C$6),0),0)</f>
        <v/>
      </c>
    </row>
    <row r="180" ht="18" customHeight="1">
      <c r="A180" s="46" t="n">
        <v>176</v>
      </c>
      <c r="B180" s="47">
        <f>IFERROR(IF(C180&lt;=0.01,"",EDATE(B179,1)),"")</f>
        <v/>
      </c>
      <c r="C180" s="48">
        <f>IF(G179&lt;=0.01,0,G179)</f>
        <v/>
      </c>
      <c r="D180" s="48">
        <f>IF(C180&lt;=0.01,0,IF(A180&lt;Calculadora!$C$8,E180,E180+C180))</f>
        <v/>
      </c>
      <c r="E180" s="49">
        <f>IF(C180&lt;=0.01,0,ROUND(C180*Calculadora!$C$7/12,2))</f>
        <v/>
      </c>
      <c r="F180" s="48">
        <f>IF(C180&lt;=0.01,0,D180-E180)</f>
        <v/>
      </c>
      <c r="G180" s="48">
        <f>IF(C180&lt;=0.01,0,MAX(ROUND(C180-F180,2),0))</f>
        <v/>
      </c>
      <c r="H180" s="50">
        <f>IFERROR(IF(Calculadora!$C$6&gt;0,1-(G180/Calculadora!$C$6),0),0)</f>
        <v/>
      </c>
    </row>
    <row r="181" ht="18" customHeight="1">
      <c r="A181" s="46" t="n">
        <v>177</v>
      </c>
      <c r="B181" s="47">
        <f>IFERROR(IF(C181&lt;=0.01,"",EDATE(B180,1)),"")</f>
        <v/>
      </c>
      <c r="C181" s="48">
        <f>IF(G180&lt;=0.01,0,G180)</f>
        <v/>
      </c>
      <c r="D181" s="48">
        <f>IF(C181&lt;=0.01,0,IF(A181&lt;Calculadora!$C$8,E181,E181+C181))</f>
        <v/>
      </c>
      <c r="E181" s="49">
        <f>IF(C181&lt;=0.01,0,ROUND(C181*Calculadora!$C$7/12,2))</f>
        <v/>
      </c>
      <c r="F181" s="48">
        <f>IF(C181&lt;=0.01,0,D181-E181)</f>
        <v/>
      </c>
      <c r="G181" s="48">
        <f>IF(C181&lt;=0.01,0,MAX(ROUND(C181-F181,2),0))</f>
        <v/>
      </c>
      <c r="H181" s="50">
        <f>IFERROR(IF(Calculadora!$C$6&gt;0,1-(G181/Calculadora!$C$6),0),0)</f>
        <v/>
      </c>
    </row>
    <row r="182" ht="18" customHeight="1">
      <c r="A182" s="46" t="n">
        <v>178</v>
      </c>
      <c r="B182" s="47">
        <f>IFERROR(IF(C182&lt;=0.01,"",EDATE(B181,1)),"")</f>
        <v/>
      </c>
      <c r="C182" s="48">
        <f>IF(G181&lt;=0.01,0,G181)</f>
        <v/>
      </c>
      <c r="D182" s="48">
        <f>IF(C182&lt;=0.01,0,IF(A182&lt;Calculadora!$C$8,E182,E182+C182))</f>
        <v/>
      </c>
      <c r="E182" s="49">
        <f>IF(C182&lt;=0.01,0,ROUND(C182*Calculadora!$C$7/12,2))</f>
        <v/>
      </c>
      <c r="F182" s="48">
        <f>IF(C182&lt;=0.01,0,D182-E182)</f>
        <v/>
      </c>
      <c r="G182" s="48">
        <f>IF(C182&lt;=0.01,0,MAX(ROUND(C182-F182,2),0))</f>
        <v/>
      </c>
      <c r="H182" s="50">
        <f>IFERROR(IF(Calculadora!$C$6&gt;0,1-(G182/Calculadora!$C$6),0),0)</f>
        <v/>
      </c>
    </row>
    <row r="183" ht="18" customHeight="1">
      <c r="A183" s="46" t="n">
        <v>179</v>
      </c>
      <c r="B183" s="47">
        <f>IFERROR(IF(C183&lt;=0.01,"",EDATE(B182,1)),"")</f>
        <v/>
      </c>
      <c r="C183" s="48">
        <f>IF(G182&lt;=0.01,0,G182)</f>
        <v/>
      </c>
      <c r="D183" s="48">
        <f>IF(C183&lt;=0.01,0,IF(A183&lt;Calculadora!$C$8,E183,E183+C183))</f>
        <v/>
      </c>
      <c r="E183" s="49">
        <f>IF(C183&lt;=0.01,0,ROUND(C183*Calculadora!$C$7/12,2))</f>
        <v/>
      </c>
      <c r="F183" s="48">
        <f>IF(C183&lt;=0.01,0,D183-E183)</f>
        <v/>
      </c>
      <c r="G183" s="48">
        <f>IF(C183&lt;=0.01,0,MAX(ROUND(C183-F183,2),0))</f>
        <v/>
      </c>
      <c r="H183" s="50">
        <f>IFERROR(IF(Calculadora!$C$6&gt;0,1-(G183/Calculadora!$C$6),0),0)</f>
        <v/>
      </c>
    </row>
    <row r="184" ht="18" customHeight="1">
      <c r="A184" s="46" t="n">
        <v>180</v>
      </c>
      <c r="B184" s="47">
        <f>IFERROR(IF(C184&lt;=0.01,"",EDATE(B183,1)),"")</f>
        <v/>
      </c>
      <c r="C184" s="48">
        <f>IF(G183&lt;=0.01,0,G183)</f>
        <v/>
      </c>
      <c r="D184" s="48">
        <f>IF(C184&lt;=0.01,0,IF(A184&lt;Calculadora!$C$8,E184,E184+C184))</f>
        <v/>
      </c>
      <c r="E184" s="49">
        <f>IF(C184&lt;=0.01,0,ROUND(C184*Calculadora!$C$7/12,2))</f>
        <v/>
      </c>
      <c r="F184" s="48">
        <f>IF(C184&lt;=0.01,0,D184-E184)</f>
        <v/>
      </c>
      <c r="G184" s="48">
        <f>IF(C184&lt;=0.01,0,MAX(ROUND(C184-F184,2),0))</f>
        <v/>
      </c>
      <c r="H184" s="50">
        <f>IFERROR(IF(Calculadora!$C$6&gt;0,1-(G184/Calculadora!$C$6),0),0)</f>
        <v/>
      </c>
    </row>
    <row r="185" ht="18" customHeight="1">
      <c r="A185" s="46" t="n">
        <v>181</v>
      </c>
      <c r="B185" s="47">
        <f>IFERROR(IF(C185&lt;=0.01,"",EDATE(B184,1)),"")</f>
        <v/>
      </c>
      <c r="C185" s="48">
        <f>IF(G184&lt;=0.01,0,G184)</f>
        <v/>
      </c>
      <c r="D185" s="48">
        <f>IF(C185&lt;=0.01,0,IF(A185&lt;Calculadora!$C$8,E185,E185+C185))</f>
        <v/>
      </c>
      <c r="E185" s="49">
        <f>IF(C185&lt;=0.01,0,ROUND(C185*Calculadora!$C$7/12,2))</f>
        <v/>
      </c>
      <c r="F185" s="48">
        <f>IF(C185&lt;=0.01,0,D185-E185)</f>
        <v/>
      </c>
      <c r="G185" s="48">
        <f>IF(C185&lt;=0.01,0,MAX(ROUND(C185-F185,2),0))</f>
        <v/>
      </c>
      <c r="H185" s="50">
        <f>IFERROR(IF(Calculadora!$C$6&gt;0,1-(G185/Calculadora!$C$6),0),0)</f>
        <v/>
      </c>
    </row>
    <row r="186" ht="18" customHeight="1">
      <c r="A186" s="46" t="n">
        <v>182</v>
      </c>
      <c r="B186" s="47">
        <f>IFERROR(IF(C186&lt;=0.01,"",EDATE(B185,1)),"")</f>
        <v/>
      </c>
      <c r="C186" s="48">
        <f>IF(G185&lt;=0.01,0,G185)</f>
        <v/>
      </c>
      <c r="D186" s="48">
        <f>IF(C186&lt;=0.01,0,IF(A186&lt;Calculadora!$C$8,E186,E186+C186))</f>
        <v/>
      </c>
      <c r="E186" s="49">
        <f>IF(C186&lt;=0.01,0,ROUND(C186*Calculadora!$C$7/12,2))</f>
        <v/>
      </c>
      <c r="F186" s="48">
        <f>IF(C186&lt;=0.01,0,D186-E186)</f>
        <v/>
      </c>
      <c r="G186" s="48">
        <f>IF(C186&lt;=0.01,0,MAX(ROUND(C186-F186,2),0))</f>
        <v/>
      </c>
      <c r="H186" s="50">
        <f>IFERROR(IF(Calculadora!$C$6&gt;0,1-(G186/Calculadora!$C$6),0),0)</f>
        <v/>
      </c>
    </row>
    <row r="187" ht="18" customHeight="1">
      <c r="A187" s="46" t="n">
        <v>183</v>
      </c>
      <c r="B187" s="47">
        <f>IFERROR(IF(C187&lt;=0.01,"",EDATE(B186,1)),"")</f>
        <v/>
      </c>
      <c r="C187" s="48">
        <f>IF(G186&lt;=0.01,0,G186)</f>
        <v/>
      </c>
      <c r="D187" s="48">
        <f>IF(C187&lt;=0.01,0,IF(A187&lt;Calculadora!$C$8,E187,E187+C187))</f>
        <v/>
      </c>
      <c r="E187" s="49">
        <f>IF(C187&lt;=0.01,0,ROUND(C187*Calculadora!$C$7/12,2))</f>
        <v/>
      </c>
      <c r="F187" s="48">
        <f>IF(C187&lt;=0.01,0,D187-E187)</f>
        <v/>
      </c>
      <c r="G187" s="48">
        <f>IF(C187&lt;=0.01,0,MAX(ROUND(C187-F187,2),0))</f>
        <v/>
      </c>
      <c r="H187" s="50">
        <f>IFERROR(IF(Calculadora!$C$6&gt;0,1-(G187/Calculadora!$C$6),0),0)</f>
        <v/>
      </c>
    </row>
    <row r="188" ht="18" customHeight="1">
      <c r="A188" s="46" t="n">
        <v>184</v>
      </c>
      <c r="B188" s="47">
        <f>IFERROR(IF(C188&lt;=0.01,"",EDATE(B187,1)),"")</f>
        <v/>
      </c>
      <c r="C188" s="48">
        <f>IF(G187&lt;=0.01,0,G187)</f>
        <v/>
      </c>
      <c r="D188" s="48">
        <f>IF(C188&lt;=0.01,0,IF(A188&lt;Calculadora!$C$8,E188,E188+C188))</f>
        <v/>
      </c>
      <c r="E188" s="49">
        <f>IF(C188&lt;=0.01,0,ROUND(C188*Calculadora!$C$7/12,2))</f>
        <v/>
      </c>
      <c r="F188" s="48">
        <f>IF(C188&lt;=0.01,0,D188-E188)</f>
        <v/>
      </c>
      <c r="G188" s="48">
        <f>IF(C188&lt;=0.01,0,MAX(ROUND(C188-F188,2),0))</f>
        <v/>
      </c>
      <c r="H188" s="50">
        <f>IFERROR(IF(Calculadora!$C$6&gt;0,1-(G188/Calculadora!$C$6),0),0)</f>
        <v/>
      </c>
    </row>
    <row r="189" ht="18" customHeight="1">
      <c r="A189" s="46" t="n">
        <v>185</v>
      </c>
      <c r="B189" s="47">
        <f>IFERROR(IF(C189&lt;=0.01,"",EDATE(B188,1)),"")</f>
        <v/>
      </c>
      <c r="C189" s="48">
        <f>IF(G188&lt;=0.01,0,G188)</f>
        <v/>
      </c>
      <c r="D189" s="48">
        <f>IF(C189&lt;=0.01,0,IF(A189&lt;Calculadora!$C$8,E189,E189+C189))</f>
        <v/>
      </c>
      <c r="E189" s="49">
        <f>IF(C189&lt;=0.01,0,ROUND(C189*Calculadora!$C$7/12,2))</f>
        <v/>
      </c>
      <c r="F189" s="48">
        <f>IF(C189&lt;=0.01,0,D189-E189)</f>
        <v/>
      </c>
      <c r="G189" s="48">
        <f>IF(C189&lt;=0.01,0,MAX(ROUND(C189-F189,2),0))</f>
        <v/>
      </c>
      <c r="H189" s="50">
        <f>IFERROR(IF(Calculadora!$C$6&gt;0,1-(G189/Calculadora!$C$6),0),0)</f>
        <v/>
      </c>
    </row>
    <row r="190" ht="18" customHeight="1">
      <c r="A190" s="46" t="n">
        <v>186</v>
      </c>
      <c r="B190" s="47">
        <f>IFERROR(IF(C190&lt;=0.01,"",EDATE(B189,1)),"")</f>
        <v/>
      </c>
      <c r="C190" s="48">
        <f>IF(G189&lt;=0.01,0,G189)</f>
        <v/>
      </c>
      <c r="D190" s="48">
        <f>IF(C190&lt;=0.01,0,IF(A190&lt;Calculadora!$C$8,E190,E190+C190))</f>
        <v/>
      </c>
      <c r="E190" s="49">
        <f>IF(C190&lt;=0.01,0,ROUND(C190*Calculadora!$C$7/12,2))</f>
        <v/>
      </c>
      <c r="F190" s="48">
        <f>IF(C190&lt;=0.01,0,D190-E190)</f>
        <v/>
      </c>
      <c r="G190" s="48">
        <f>IF(C190&lt;=0.01,0,MAX(ROUND(C190-F190,2),0))</f>
        <v/>
      </c>
      <c r="H190" s="50">
        <f>IFERROR(IF(Calculadora!$C$6&gt;0,1-(G190/Calculadora!$C$6),0),0)</f>
        <v/>
      </c>
    </row>
    <row r="191" ht="18" customHeight="1">
      <c r="A191" s="46" t="n">
        <v>187</v>
      </c>
      <c r="B191" s="47">
        <f>IFERROR(IF(C191&lt;=0.01,"",EDATE(B190,1)),"")</f>
        <v/>
      </c>
      <c r="C191" s="48">
        <f>IF(G190&lt;=0.01,0,G190)</f>
        <v/>
      </c>
      <c r="D191" s="48">
        <f>IF(C191&lt;=0.01,0,IF(A191&lt;Calculadora!$C$8,E191,E191+C191))</f>
        <v/>
      </c>
      <c r="E191" s="49">
        <f>IF(C191&lt;=0.01,0,ROUND(C191*Calculadora!$C$7/12,2))</f>
        <v/>
      </c>
      <c r="F191" s="48">
        <f>IF(C191&lt;=0.01,0,D191-E191)</f>
        <v/>
      </c>
      <c r="G191" s="48">
        <f>IF(C191&lt;=0.01,0,MAX(ROUND(C191-F191,2),0))</f>
        <v/>
      </c>
      <c r="H191" s="50">
        <f>IFERROR(IF(Calculadora!$C$6&gt;0,1-(G191/Calculadora!$C$6),0),0)</f>
        <v/>
      </c>
    </row>
    <row r="192" ht="18" customHeight="1">
      <c r="A192" s="46" t="n">
        <v>188</v>
      </c>
      <c r="B192" s="47">
        <f>IFERROR(IF(C192&lt;=0.01,"",EDATE(B191,1)),"")</f>
        <v/>
      </c>
      <c r="C192" s="48">
        <f>IF(G191&lt;=0.01,0,G191)</f>
        <v/>
      </c>
      <c r="D192" s="48">
        <f>IF(C192&lt;=0.01,0,IF(A192&lt;Calculadora!$C$8,E192,E192+C192))</f>
        <v/>
      </c>
      <c r="E192" s="49">
        <f>IF(C192&lt;=0.01,0,ROUND(C192*Calculadora!$C$7/12,2))</f>
        <v/>
      </c>
      <c r="F192" s="48">
        <f>IF(C192&lt;=0.01,0,D192-E192)</f>
        <v/>
      </c>
      <c r="G192" s="48">
        <f>IF(C192&lt;=0.01,0,MAX(ROUND(C192-F192,2),0))</f>
        <v/>
      </c>
      <c r="H192" s="50">
        <f>IFERROR(IF(Calculadora!$C$6&gt;0,1-(G192/Calculadora!$C$6),0),0)</f>
        <v/>
      </c>
    </row>
    <row r="193" ht="18" customHeight="1">
      <c r="A193" s="46" t="n">
        <v>189</v>
      </c>
      <c r="B193" s="47">
        <f>IFERROR(IF(C193&lt;=0.01,"",EDATE(B192,1)),"")</f>
        <v/>
      </c>
      <c r="C193" s="48">
        <f>IF(G192&lt;=0.01,0,G192)</f>
        <v/>
      </c>
      <c r="D193" s="48">
        <f>IF(C193&lt;=0.01,0,IF(A193&lt;Calculadora!$C$8,E193,E193+C193))</f>
        <v/>
      </c>
      <c r="E193" s="49">
        <f>IF(C193&lt;=0.01,0,ROUND(C193*Calculadora!$C$7/12,2))</f>
        <v/>
      </c>
      <c r="F193" s="48">
        <f>IF(C193&lt;=0.01,0,D193-E193)</f>
        <v/>
      </c>
      <c r="G193" s="48">
        <f>IF(C193&lt;=0.01,0,MAX(ROUND(C193-F193,2),0))</f>
        <v/>
      </c>
      <c r="H193" s="50">
        <f>IFERROR(IF(Calculadora!$C$6&gt;0,1-(G193/Calculadora!$C$6),0),0)</f>
        <v/>
      </c>
    </row>
    <row r="194" ht="18" customHeight="1">
      <c r="A194" s="46" t="n">
        <v>190</v>
      </c>
      <c r="B194" s="47">
        <f>IFERROR(IF(C194&lt;=0.01,"",EDATE(B193,1)),"")</f>
        <v/>
      </c>
      <c r="C194" s="48">
        <f>IF(G193&lt;=0.01,0,G193)</f>
        <v/>
      </c>
      <c r="D194" s="48">
        <f>IF(C194&lt;=0.01,0,IF(A194&lt;Calculadora!$C$8,E194,E194+C194))</f>
        <v/>
      </c>
      <c r="E194" s="49">
        <f>IF(C194&lt;=0.01,0,ROUND(C194*Calculadora!$C$7/12,2))</f>
        <v/>
      </c>
      <c r="F194" s="48">
        <f>IF(C194&lt;=0.01,0,D194-E194)</f>
        <v/>
      </c>
      <c r="G194" s="48">
        <f>IF(C194&lt;=0.01,0,MAX(ROUND(C194-F194,2),0))</f>
        <v/>
      </c>
      <c r="H194" s="50">
        <f>IFERROR(IF(Calculadora!$C$6&gt;0,1-(G194/Calculadora!$C$6),0),0)</f>
        <v/>
      </c>
    </row>
    <row r="195" ht="18" customHeight="1">
      <c r="A195" s="46" t="n">
        <v>191</v>
      </c>
      <c r="B195" s="47">
        <f>IFERROR(IF(C195&lt;=0.01,"",EDATE(B194,1)),"")</f>
        <v/>
      </c>
      <c r="C195" s="48">
        <f>IF(G194&lt;=0.01,0,G194)</f>
        <v/>
      </c>
      <c r="D195" s="48">
        <f>IF(C195&lt;=0.01,0,IF(A195&lt;Calculadora!$C$8,E195,E195+C195))</f>
        <v/>
      </c>
      <c r="E195" s="49">
        <f>IF(C195&lt;=0.01,0,ROUND(C195*Calculadora!$C$7/12,2))</f>
        <v/>
      </c>
      <c r="F195" s="48">
        <f>IF(C195&lt;=0.01,0,D195-E195)</f>
        <v/>
      </c>
      <c r="G195" s="48">
        <f>IF(C195&lt;=0.01,0,MAX(ROUND(C195-F195,2),0))</f>
        <v/>
      </c>
      <c r="H195" s="50">
        <f>IFERROR(IF(Calculadora!$C$6&gt;0,1-(G195/Calculadora!$C$6),0),0)</f>
        <v/>
      </c>
    </row>
    <row r="196" ht="18" customHeight="1">
      <c r="A196" s="46" t="n">
        <v>192</v>
      </c>
      <c r="B196" s="47">
        <f>IFERROR(IF(C196&lt;=0.01,"",EDATE(B195,1)),"")</f>
        <v/>
      </c>
      <c r="C196" s="48">
        <f>IF(G195&lt;=0.01,0,G195)</f>
        <v/>
      </c>
      <c r="D196" s="48">
        <f>IF(C196&lt;=0.01,0,IF(A196&lt;Calculadora!$C$8,E196,E196+C196))</f>
        <v/>
      </c>
      <c r="E196" s="49">
        <f>IF(C196&lt;=0.01,0,ROUND(C196*Calculadora!$C$7/12,2))</f>
        <v/>
      </c>
      <c r="F196" s="48">
        <f>IF(C196&lt;=0.01,0,D196-E196)</f>
        <v/>
      </c>
      <c r="G196" s="48">
        <f>IF(C196&lt;=0.01,0,MAX(ROUND(C196-F196,2),0))</f>
        <v/>
      </c>
      <c r="H196" s="50">
        <f>IFERROR(IF(Calculadora!$C$6&gt;0,1-(G196/Calculadora!$C$6),0),0)</f>
        <v/>
      </c>
    </row>
    <row r="197" ht="18" customHeight="1">
      <c r="A197" s="46" t="n">
        <v>193</v>
      </c>
      <c r="B197" s="47">
        <f>IFERROR(IF(C197&lt;=0.01,"",EDATE(B196,1)),"")</f>
        <v/>
      </c>
      <c r="C197" s="48">
        <f>IF(G196&lt;=0.01,0,G196)</f>
        <v/>
      </c>
      <c r="D197" s="48">
        <f>IF(C197&lt;=0.01,0,IF(A197&lt;Calculadora!$C$8,E197,E197+C197))</f>
        <v/>
      </c>
      <c r="E197" s="49">
        <f>IF(C197&lt;=0.01,0,ROUND(C197*Calculadora!$C$7/12,2))</f>
        <v/>
      </c>
      <c r="F197" s="48">
        <f>IF(C197&lt;=0.01,0,D197-E197)</f>
        <v/>
      </c>
      <c r="G197" s="48">
        <f>IF(C197&lt;=0.01,0,MAX(ROUND(C197-F197,2),0))</f>
        <v/>
      </c>
      <c r="H197" s="50">
        <f>IFERROR(IF(Calculadora!$C$6&gt;0,1-(G197/Calculadora!$C$6),0),0)</f>
        <v/>
      </c>
    </row>
    <row r="198" ht="18" customHeight="1">
      <c r="A198" s="46" t="n">
        <v>194</v>
      </c>
      <c r="B198" s="47">
        <f>IFERROR(IF(C198&lt;=0.01,"",EDATE(B197,1)),"")</f>
        <v/>
      </c>
      <c r="C198" s="48">
        <f>IF(G197&lt;=0.01,0,G197)</f>
        <v/>
      </c>
      <c r="D198" s="48">
        <f>IF(C198&lt;=0.01,0,IF(A198&lt;Calculadora!$C$8,E198,E198+C198))</f>
        <v/>
      </c>
      <c r="E198" s="49">
        <f>IF(C198&lt;=0.01,0,ROUND(C198*Calculadora!$C$7/12,2))</f>
        <v/>
      </c>
      <c r="F198" s="48">
        <f>IF(C198&lt;=0.01,0,D198-E198)</f>
        <v/>
      </c>
      <c r="G198" s="48">
        <f>IF(C198&lt;=0.01,0,MAX(ROUND(C198-F198,2),0))</f>
        <v/>
      </c>
      <c r="H198" s="50">
        <f>IFERROR(IF(Calculadora!$C$6&gt;0,1-(G198/Calculadora!$C$6),0),0)</f>
        <v/>
      </c>
    </row>
    <row r="199" ht="18" customHeight="1">
      <c r="A199" s="46" t="n">
        <v>195</v>
      </c>
      <c r="B199" s="47">
        <f>IFERROR(IF(C199&lt;=0.01,"",EDATE(B198,1)),"")</f>
        <v/>
      </c>
      <c r="C199" s="48">
        <f>IF(G198&lt;=0.01,0,G198)</f>
        <v/>
      </c>
      <c r="D199" s="48">
        <f>IF(C199&lt;=0.01,0,IF(A199&lt;Calculadora!$C$8,E199,E199+C199))</f>
        <v/>
      </c>
      <c r="E199" s="49">
        <f>IF(C199&lt;=0.01,0,ROUND(C199*Calculadora!$C$7/12,2))</f>
        <v/>
      </c>
      <c r="F199" s="48">
        <f>IF(C199&lt;=0.01,0,D199-E199)</f>
        <v/>
      </c>
      <c r="G199" s="48">
        <f>IF(C199&lt;=0.01,0,MAX(ROUND(C199-F199,2),0))</f>
        <v/>
      </c>
      <c r="H199" s="50">
        <f>IFERROR(IF(Calculadora!$C$6&gt;0,1-(G199/Calculadora!$C$6),0),0)</f>
        <v/>
      </c>
    </row>
    <row r="200" ht="18" customHeight="1">
      <c r="A200" s="46" t="n">
        <v>196</v>
      </c>
      <c r="B200" s="47">
        <f>IFERROR(IF(C200&lt;=0.01,"",EDATE(B199,1)),"")</f>
        <v/>
      </c>
      <c r="C200" s="48">
        <f>IF(G199&lt;=0.01,0,G199)</f>
        <v/>
      </c>
      <c r="D200" s="48">
        <f>IF(C200&lt;=0.01,0,IF(A200&lt;Calculadora!$C$8,E200,E200+C200))</f>
        <v/>
      </c>
      <c r="E200" s="49">
        <f>IF(C200&lt;=0.01,0,ROUND(C200*Calculadora!$C$7/12,2))</f>
        <v/>
      </c>
      <c r="F200" s="48">
        <f>IF(C200&lt;=0.01,0,D200-E200)</f>
        <v/>
      </c>
      <c r="G200" s="48">
        <f>IF(C200&lt;=0.01,0,MAX(ROUND(C200-F200,2),0))</f>
        <v/>
      </c>
      <c r="H200" s="50">
        <f>IFERROR(IF(Calculadora!$C$6&gt;0,1-(G200/Calculadora!$C$6),0),0)</f>
        <v/>
      </c>
    </row>
    <row r="201" ht="18" customHeight="1">
      <c r="A201" s="46" t="n">
        <v>197</v>
      </c>
      <c r="B201" s="47">
        <f>IFERROR(IF(C201&lt;=0.01,"",EDATE(B200,1)),"")</f>
        <v/>
      </c>
      <c r="C201" s="48">
        <f>IF(G200&lt;=0.01,0,G200)</f>
        <v/>
      </c>
      <c r="D201" s="48">
        <f>IF(C201&lt;=0.01,0,IF(A201&lt;Calculadora!$C$8,E201,E201+C201))</f>
        <v/>
      </c>
      <c r="E201" s="49">
        <f>IF(C201&lt;=0.01,0,ROUND(C201*Calculadora!$C$7/12,2))</f>
        <v/>
      </c>
      <c r="F201" s="48">
        <f>IF(C201&lt;=0.01,0,D201-E201)</f>
        <v/>
      </c>
      <c r="G201" s="48">
        <f>IF(C201&lt;=0.01,0,MAX(ROUND(C201-F201,2),0))</f>
        <v/>
      </c>
      <c r="H201" s="50">
        <f>IFERROR(IF(Calculadora!$C$6&gt;0,1-(G201/Calculadora!$C$6),0),0)</f>
        <v/>
      </c>
    </row>
    <row r="202" ht="18" customHeight="1">
      <c r="A202" s="46" t="n">
        <v>198</v>
      </c>
      <c r="B202" s="47">
        <f>IFERROR(IF(C202&lt;=0.01,"",EDATE(B201,1)),"")</f>
        <v/>
      </c>
      <c r="C202" s="48">
        <f>IF(G201&lt;=0.01,0,G201)</f>
        <v/>
      </c>
      <c r="D202" s="48">
        <f>IF(C202&lt;=0.01,0,IF(A202&lt;Calculadora!$C$8,E202,E202+C202))</f>
        <v/>
      </c>
      <c r="E202" s="49">
        <f>IF(C202&lt;=0.01,0,ROUND(C202*Calculadora!$C$7/12,2))</f>
        <v/>
      </c>
      <c r="F202" s="48">
        <f>IF(C202&lt;=0.01,0,D202-E202)</f>
        <v/>
      </c>
      <c r="G202" s="48">
        <f>IF(C202&lt;=0.01,0,MAX(ROUND(C202-F202,2),0))</f>
        <v/>
      </c>
      <c r="H202" s="50">
        <f>IFERROR(IF(Calculadora!$C$6&gt;0,1-(G202/Calculadora!$C$6),0),0)</f>
        <v/>
      </c>
    </row>
    <row r="203" ht="18" customHeight="1">
      <c r="A203" s="46" t="n">
        <v>199</v>
      </c>
      <c r="B203" s="47">
        <f>IFERROR(IF(C203&lt;=0.01,"",EDATE(B202,1)),"")</f>
        <v/>
      </c>
      <c r="C203" s="48">
        <f>IF(G202&lt;=0.01,0,G202)</f>
        <v/>
      </c>
      <c r="D203" s="48">
        <f>IF(C203&lt;=0.01,0,IF(A203&lt;Calculadora!$C$8,E203,E203+C203))</f>
        <v/>
      </c>
      <c r="E203" s="49">
        <f>IF(C203&lt;=0.01,0,ROUND(C203*Calculadora!$C$7/12,2))</f>
        <v/>
      </c>
      <c r="F203" s="48">
        <f>IF(C203&lt;=0.01,0,D203-E203)</f>
        <v/>
      </c>
      <c r="G203" s="48">
        <f>IF(C203&lt;=0.01,0,MAX(ROUND(C203-F203,2),0))</f>
        <v/>
      </c>
      <c r="H203" s="50">
        <f>IFERROR(IF(Calculadora!$C$6&gt;0,1-(G203/Calculadora!$C$6),0),0)</f>
        <v/>
      </c>
    </row>
    <row r="204" ht="18" customHeight="1">
      <c r="A204" s="46" t="n">
        <v>200</v>
      </c>
      <c r="B204" s="47">
        <f>IFERROR(IF(C204&lt;=0.01,"",EDATE(B203,1)),"")</f>
        <v/>
      </c>
      <c r="C204" s="48">
        <f>IF(G203&lt;=0.01,0,G203)</f>
        <v/>
      </c>
      <c r="D204" s="48">
        <f>IF(C204&lt;=0.01,0,IF(A204&lt;Calculadora!$C$8,E204,E204+C204))</f>
        <v/>
      </c>
      <c r="E204" s="49">
        <f>IF(C204&lt;=0.01,0,ROUND(C204*Calculadora!$C$7/12,2))</f>
        <v/>
      </c>
      <c r="F204" s="48">
        <f>IF(C204&lt;=0.01,0,D204-E204)</f>
        <v/>
      </c>
      <c r="G204" s="48">
        <f>IF(C204&lt;=0.01,0,MAX(ROUND(C204-F204,2),0))</f>
        <v/>
      </c>
      <c r="H204" s="50">
        <f>IFERROR(IF(Calculadora!$C$6&gt;0,1-(G204/Calculadora!$C$6),0),0)</f>
        <v/>
      </c>
    </row>
    <row r="205" ht="18" customHeight="1">
      <c r="A205" s="46" t="n">
        <v>201</v>
      </c>
      <c r="B205" s="47">
        <f>IFERROR(IF(C205&lt;=0.01,"",EDATE(B204,1)),"")</f>
        <v/>
      </c>
      <c r="C205" s="48">
        <f>IF(G204&lt;=0.01,0,G204)</f>
        <v/>
      </c>
      <c r="D205" s="48">
        <f>IF(C205&lt;=0.01,0,IF(A205&lt;Calculadora!$C$8,E205,E205+C205))</f>
        <v/>
      </c>
      <c r="E205" s="49">
        <f>IF(C205&lt;=0.01,0,ROUND(C205*Calculadora!$C$7/12,2))</f>
        <v/>
      </c>
      <c r="F205" s="48">
        <f>IF(C205&lt;=0.01,0,D205-E205)</f>
        <v/>
      </c>
      <c r="G205" s="48">
        <f>IF(C205&lt;=0.01,0,MAX(ROUND(C205-F205,2),0))</f>
        <v/>
      </c>
      <c r="H205" s="50">
        <f>IFERROR(IF(Calculadora!$C$6&gt;0,1-(G205/Calculadora!$C$6),0),0)</f>
        <v/>
      </c>
    </row>
    <row r="206" ht="18" customHeight="1">
      <c r="A206" s="46" t="n">
        <v>202</v>
      </c>
      <c r="B206" s="47">
        <f>IFERROR(IF(C206&lt;=0.01,"",EDATE(B205,1)),"")</f>
        <v/>
      </c>
      <c r="C206" s="48">
        <f>IF(G205&lt;=0.01,0,G205)</f>
        <v/>
      </c>
      <c r="D206" s="48">
        <f>IF(C206&lt;=0.01,0,IF(A206&lt;Calculadora!$C$8,E206,E206+C206))</f>
        <v/>
      </c>
      <c r="E206" s="49">
        <f>IF(C206&lt;=0.01,0,ROUND(C206*Calculadora!$C$7/12,2))</f>
        <v/>
      </c>
      <c r="F206" s="48">
        <f>IF(C206&lt;=0.01,0,D206-E206)</f>
        <v/>
      </c>
      <c r="G206" s="48">
        <f>IF(C206&lt;=0.01,0,MAX(ROUND(C206-F206,2),0))</f>
        <v/>
      </c>
      <c r="H206" s="50">
        <f>IFERROR(IF(Calculadora!$C$6&gt;0,1-(G206/Calculadora!$C$6),0),0)</f>
        <v/>
      </c>
    </row>
    <row r="207" ht="18" customHeight="1">
      <c r="A207" s="46" t="n">
        <v>203</v>
      </c>
      <c r="B207" s="47">
        <f>IFERROR(IF(C207&lt;=0.01,"",EDATE(B206,1)),"")</f>
        <v/>
      </c>
      <c r="C207" s="48">
        <f>IF(G206&lt;=0.01,0,G206)</f>
        <v/>
      </c>
      <c r="D207" s="48">
        <f>IF(C207&lt;=0.01,0,IF(A207&lt;Calculadora!$C$8,E207,E207+C207))</f>
        <v/>
      </c>
      <c r="E207" s="49">
        <f>IF(C207&lt;=0.01,0,ROUND(C207*Calculadora!$C$7/12,2))</f>
        <v/>
      </c>
      <c r="F207" s="48">
        <f>IF(C207&lt;=0.01,0,D207-E207)</f>
        <v/>
      </c>
      <c r="G207" s="48">
        <f>IF(C207&lt;=0.01,0,MAX(ROUND(C207-F207,2),0))</f>
        <v/>
      </c>
      <c r="H207" s="50">
        <f>IFERROR(IF(Calculadora!$C$6&gt;0,1-(G207/Calculadora!$C$6),0),0)</f>
        <v/>
      </c>
    </row>
    <row r="208" ht="18" customHeight="1">
      <c r="A208" s="46" t="n">
        <v>204</v>
      </c>
      <c r="B208" s="47">
        <f>IFERROR(IF(C208&lt;=0.01,"",EDATE(B207,1)),"")</f>
        <v/>
      </c>
      <c r="C208" s="48">
        <f>IF(G207&lt;=0.01,0,G207)</f>
        <v/>
      </c>
      <c r="D208" s="48">
        <f>IF(C208&lt;=0.01,0,IF(A208&lt;Calculadora!$C$8,E208,E208+C208))</f>
        <v/>
      </c>
      <c r="E208" s="49">
        <f>IF(C208&lt;=0.01,0,ROUND(C208*Calculadora!$C$7/12,2))</f>
        <v/>
      </c>
      <c r="F208" s="48">
        <f>IF(C208&lt;=0.01,0,D208-E208)</f>
        <v/>
      </c>
      <c r="G208" s="48">
        <f>IF(C208&lt;=0.01,0,MAX(ROUND(C208-F208,2),0))</f>
        <v/>
      </c>
      <c r="H208" s="50">
        <f>IFERROR(IF(Calculadora!$C$6&gt;0,1-(G208/Calculadora!$C$6),0),0)</f>
        <v/>
      </c>
    </row>
    <row r="209" ht="18" customHeight="1">
      <c r="A209" s="46" t="n">
        <v>205</v>
      </c>
      <c r="B209" s="47">
        <f>IFERROR(IF(C209&lt;=0.01,"",EDATE(B208,1)),"")</f>
        <v/>
      </c>
      <c r="C209" s="48">
        <f>IF(G208&lt;=0.01,0,G208)</f>
        <v/>
      </c>
      <c r="D209" s="48">
        <f>IF(C209&lt;=0.01,0,IF(A209&lt;Calculadora!$C$8,E209,E209+C209))</f>
        <v/>
      </c>
      <c r="E209" s="49">
        <f>IF(C209&lt;=0.01,0,ROUND(C209*Calculadora!$C$7/12,2))</f>
        <v/>
      </c>
      <c r="F209" s="48">
        <f>IF(C209&lt;=0.01,0,D209-E209)</f>
        <v/>
      </c>
      <c r="G209" s="48">
        <f>IF(C209&lt;=0.01,0,MAX(ROUND(C209-F209,2),0))</f>
        <v/>
      </c>
      <c r="H209" s="50">
        <f>IFERROR(IF(Calculadora!$C$6&gt;0,1-(G209/Calculadora!$C$6),0),0)</f>
        <v/>
      </c>
    </row>
    <row r="210" ht="18" customHeight="1">
      <c r="A210" s="46" t="n">
        <v>206</v>
      </c>
      <c r="B210" s="47">
        <f>IFERROR(IF(C210&lt;=0.01,"",EDATE(B209,1)),"")</f>
        <v/>
      </c>
      <c r="C210" s="48">
        <f>IF(G209&lt;=0.01,0,G209)</f>
        <v/>
      </c>
      <c r="D210" s="48">
        <f>IF(C210&lt;=0.01,0,IF(A210&lt;Calculadora!$C$8,E210,E210+C210))</f>
        <v/>
      </c>
      <c r="E210" s="49">
        <f>IF(C210&lt;=0.01,0,ROUND(C210*Calculadora!$C$7/12,2))</f>
        <v/>
      </c>
      <c r="F210" s="48">
        <f>IF(C210&lt;=0.01,0,D210-E210)</f>
        <v/>
      </c>
      <c r="G210" s="48">
        <f>IF(C210&lt;=0.01,0,MAX(ROUND(C210-F210,2),0))</f>
        <v/>
      </c>
      <c r="H210" s="50">
        <f>IFERROR(IF(Calculadora!$C$6&gt;0,1-(G210/Calculadora!$C$6),0),0)</f>
        <v/>
      </c>
    </row>
    <row r="211" ht="18" customHeight="1">
      <c r="A211" s="46" t="n">
        <v>207</v>
      </c>
      <c r="B211" s="47">
        <f>IFERROR(IF(C211&lt;=0.01,"",EDATE(B210,1)),"")</f>
        <v/>
      </c>
      <c r="C211" s="48">
        <f>IF(G210&lt;=0.01,0,G210)</f>
        <v/>
      </c>
      <c r="D211" s="48">
        <f>IF(C211&lt;=0.01,0,IF(A211&lt;Calculadora!$C$8,E211,E211+C211))</f>
        <v/>
      </c>
      <c r="E211" s="49">
        <f>IF(C211&lt;=0.01,0,ROUND(C211*Calculadora!$C$7/12,2))</f>
        <v/>
      </c>
      <c r="F211" s="48">
        <f>IF(C211&lt;=0.01,0,D211-E211)</f>
        <v/>
      </c>
      <c r="G211" s="48">
        <f>IF(C211&lt;=0.01,0,MAX(ROUND(C211-F211,2),0))</f>
        <v/>
      </c>
      <c r="H211" s="50">
        <f>IFERROR(IF(Calculadora!$C$6&gt;0,1-(G211/Calculadora!$C$6),0),0)</f>
        <v/>
      </c>
    </row>
    <row r="212" ht="18" customHeight="1">
      <c r="A212" s="46" t="n">
        <v>208</v>
      </c>
      <c r="B212" s="47">
        <f>IFERROR(IF(C212&lt;=0.01,"",EDATE(B211,1)),"")</f>
        <v/>
      </c>
      <c r="C212" s="48">
        <f>IF(G211&lt;=0.01,0,G211)</f>
        <v/>
      </c>
      <c r="D212" s="48">
        <f>IF(C212&lt;=0.01,0,IF(A212&lt;Calculadora!$C$8,E212,E212+C212))</f>
        <v/>
      </c>
      <c r="E212" s="49">
        <f>IF(C212&lt;=0.01,0,ROUND(C212*Calculadora!$C$7/12,2))</f>
        <v/>
      </c>
      <c r="F212" s="48">
        <f>IF(C212&lt;=0.01,0,D212-E212)</f>
        <v/>
      </c>
      <c r="G212" s="48">
        <f>IF(C212&lt;=0.01,0,MAX(ROUND(C212-F212,2),0))</f>
        <v/>
      </c>
      <c r="H212" s="50">
        <f>IFERROR(IF(Calculadora!$C$6&gt;0,1-(G212/Calculadora!$C$6),0),0)</f>
        <v/>
      </c>
    </row>
    <row r="213" ht="18" customHeight="1">
      <c r="A213" s="46" t="n">
        <v>209</v>
      </c>
      <c r="B213" s="47">
        <f>IFERROR(IF(C213&lt;=0.01,"",EDATE(B212,1)),"")</f>
        <v/>
      </c>
      <c r="C213" s="48">
        <f>IF(G212&lt;=0.01,0,G212)</f>
        <v/>
      </c>
      <c r="D213" s="48">
        <f>IF(C213&lt;=0.01,0,IF(A213&lt;Calculadora!$C$8,E213,E213+C213))</f>
        <v/>
      </c>
      <c r="E213" s="49">
        <f>IF(C213&lt;=0.01,0,ROUND(C213*Calculadora!$C$7/12,2))</f>
        <v/>
      </c>
      <c r="F213" s="48">
        <f>IF(C213&lt;=0.01,0,D213-E213)</f>
        <v/>
      </c>
      <c r="G213" s="48">
        <f>IF(C213&lt;=0.01,0,MAX(ROUND(C213-F213,2),0))</f>
        <v/>
      </c>
      <c r="H213" s="50">
        <f>IFERROR(IF(Calculadora!$C$6&gt;0,1-(G213/Calculadora!$C$6),0),0)</f>
        <v/>
      </c>
    </row>
    <row r="214" ht="18" customHeight="1">
      <c r="A214" s="46" t="n">
        <v>210</v>
      </c>
      <c r="B214" s="47">
        <f>IFERROR(IF(C214&lt;=0.01,"",EDATE(B213,1)),"")</f>
        <v/>
      </c>
      <c r="C214" s="48">
        <f>IF(G213&lt;=0.01,0,G213)</f>
        <v/>
      </c>
      <c r="D214" s="48">
        <f>IF(C214&lt;=0.01,0,IF(A214&lt;Calculadora!$C$8,E214,E214+C214))</f>
        <v/>
      </c>
      <c r="E214" s="49">
        <f>IF(C214&lt;=0.01,0,ROUND(C214*Calculadora!$C$7/12,2))</f>
        <v/>
      </c>
      <c r="F214" s="48">
        <f>IF(C214&lt;=0.01,0,D214-E214)</f>
        <v/>
      </c>
      <c r="G214" s="48">
        <f>IF(C214&lt;=0.01,0,MAX(ROUND(C214-F214,2),0))</f>
        <v/>
      </c>
      <c r="H214" s="50">
        <f>IFERROR(IF(Calculadora!$C$6&gt;0,1-(G214/Calculadora!$C$6),0),0)</f>
        <v/>
      </c>
    </row>
    <row r="215" ht="18" customHeight="1">
      <c r="A215" s="46" t="n">
        <v>211</v>
      </c>
      <c r="B215" s="47">
        <f>IFERROR(IF(C215&lt;=0.01,"",EDATE(B214,1)),"")</f>
        <v/>
      </c>
      <c r="C215" s="48">
        <f>IF(G214&lt;=0.01,0,G214)</f>
        <v/>
      </c>
      <c r="D215" s="48">
        <f>IF(C215&lt;=0.01,0,IF(A215&lt;Calculadora!$C$8,E215,E215+C215))</f>
        <v/>
      </c>
      <c r="E215" s="49">
        <f>IF(C215&lt;=0.01,0,ROUND(C215*Calculadora!$C$7/12,2))</f>
        <v/>
      </c>
      <c r="F215" s="48">
        <f>IF(C215&lt;=0.01,0,D215-E215)</f>
        <v/>
      </c>
      <c r="G215" s="48">
        <f>IF(C215&lt;=0.01,0,MAX(ROUND(C215-F215,2),0))</f>
        <v/>
      </c>
      <c r="H215" s="50">
        <f>IFERROR(IF(Calculadora!$C$6&gt;0,1-(G215/Calculadora!$C$6),0),0)</f>
        <v/>
      </c>
    </row>
    <row r="216" ht="18" customHeight="1">
      <c r="A216" s="46" t="n">
        <v>212</v>
      </c>
      <c r="B216" s="47">
        <f>IFERROR(IF(C216&lt;=0.01,"",EDATE(B215,1)),"")</f>
        <v/>
      </c>
      <c r="C216" s="48">
        <f>IF(G215&lt;=0.01,0,G215)</f>
        <v/>
      </c>
      <c r="D216" s="48">
        <f>IF(C216&lt;=0.01,0,IF(A216&lt;Calculadora!$C$8,E216,E216+C216))</f>
        <v/>
      </c>
      <c r="E216" s="49">
        <f>IF(C216&lt;=0.01,0,ROUND(C216*Calculadora!$C$7/12,2))</f>
        <v/>
      </c>
      <c r="F216" s="48">
        <f>IF(C216&lt;=0.01,0,D216-E216)</f>
        <v/>
      </c>
      <c r="G216" s="48">
        <f>IF(C216&lt;=0.01,0,MAX(ROUND(C216-F216,2),0))</f>
        <v/>
      </c>
      <c r="H216" s="50">
        <f>IFERROR(IF(Calculadora!$C$6&gt;0,1-(G216/Calculadora!$C$6),0),0)</f>
        <v/>
      </c>
    </row>
    <row r="217" ht="18" customHeight="1">
      <c r="A217" s="46" t="n">
        <v>213</v>
      </c>
      <c r="B217" s="47">
        <f>IFERROR(IF(C217&lt;=0.01,"",EDATE(B216,1)),"")</f>
        <v/>
      </c>
      <c r="C217" s="48">
        <f>IF(G216&lt;=0.01,0,G216)</f>
        <v/>
      </c>
      <c r="D217" s="48">
        <f>IF(C217&lt;=0.01,0,IF(A217&lt;Calculadora!$C$8,E217,E217+C217))</f>
        <v/>
      </c>
      <c r="E217" s="49">
        <f>IF(C217&lt;=0.01,0,ROUND(C217*Calculadora!$C$7/12,2))</f>
        <v/>
      </c>
      <c r="F217" s="48">
        <f>IF(C217&lt;=0.01,0,D217-E217)</f>
        <v/>
      </c>
      <c r="G217" s="48">
        <f>IF(C217&lt;=0.01,0,MAX(ROUND(C217-F217,2),0))</f>
        <v/>
      </c>
      <c r="H217" s="50">
        <f>IFERROR(IF(Calculadora!$C$6&gt;0,1-(G217/Calculadora!$C$6),0),0)</f>
        <v/>
      </c>
    </row>
    <row r="218" ht="18" customHeight="1">
      <c r="A218" s="46" t="n">
        <v>214</v>
      </c>
      <c r="B218" s="47">
        <f>IFERROR(IF(C218&lt;=0.01,"",EDATE(B217,1)),"")</f>
        <v/>
      </c>
      <c r="C218" s="48">
        <f>IF(G217&lt;=0.01,0,G217)</f>
        <v/>
      </c>
      <c r="D218" s="48">
        <f>IF(C218&lt;=0.01,0,IF(A218&lt;Calculadora!$C$8,E218,E218+C218))</f>
        <v/>
      </c>
      <c r="E218" s="49">
        <f>IF(C218&lt;=0.01,0,ROUND(C218*Calculadora!$C$7/12,2))</f>
        <v/>
      </c>
      <c r="F218" s="48">
        <f>IF(C218&lt;=0.01,0,D218-E218)</f>
        <v/>
      </c>
      <c r="G218" s="48">
        <f>IF(C218&lt;=0.01,0,MAX(ROUND(C218-F218,2),0))</f>
        <v/>
      </c>
      <c r="H218" s="50">
        <f>IFERROR(IF(Calculadora!$C$6&gt;0,1-(G218/Calculadora!$C$6),0),0)</f>
        <v/>
      </c>
    </row>
    <row r="219" ht="18" customHeight="1">
      <c r="A219" s="46" t="n">
        <v>215</v>
      </c>
      <c r="B219" s="47">
        <f>IFERROR(IF(C219&lt;=0.01,"",EDATE(B218,1)),"")</f>
        <v/>
      </c>
      <c r="C219" s="48">
        <f>IF(G218&lt;=0.01,0,G218)</f>
        <v/>
      </c>
      <c r="D219" s="48">
        <f>IF(C219&lt;=0.01,0,IF(A219&lt;Calculadora!$C$8,E219,E219+C219))</f>
        <v/>
      </c>
      <c r="E219" s="49">
        <f>IF(C219&lt;=0.01,0,ROUND(C219*Calculadora!$C$7/12,2))</f>
        <v/>
      </c>
      <c r="F219" s="48">
        <f>IF(C219&lt;=0.01,0,D219-E219)</f>
        <v/>
      </c>
      <c r="G219" s="48">
        <f>IF(C219&lt;=0.01,0,MAX(ROUND(C219-F219,2),0))</f>
        <v/>
      </c>
      <c r="H219" s="50">
        <f>IFERROR(IF(Calculadora!$C$6&gt;0,1-(G219/Calculadora!$C$6),0),0)</f>
        <v/>
      </c>
    </row>
    <row r="220" ht="18" customHeight="1">
      <c r="A220" s="46" t="n">
        <v>216</v>
      </c>
      <c r="B220" s="47">
        <f>IFERROR(IF(C220&lt;=0.01,"",EDATE(B219,1)),"")</f>
        <v/>
      </c>
      <c r="C220" s="48">
        <f>IF(G219&lt;=0.01,0,G219)</f>
        <v/>
      </c>
      <c r="D220" s="48">
        <f>IF(C220&lt;=0.01,0,IF(A220&lt;Calculadora!$C$8,E220,E220+C220))</f>
        <v/>
      </c>
      <c r="E220" s="49">
        <f>IF(C220&lt;=0.01,0,ROUND(C220*Calculadora!$C$7/12,2))</f>
        <v/>
      </c>
      <c r="F220" s="48">
        <f>IF(C220&lt;=0.01,0,D220-E220)</f>
        <v/>
      </c>
      <c r="G220" s="48">
        <f>IF(C220&lt;=0.01,0,MAX(ROUND(C220-F220,2),0))</f>
        <v/>
      </c>
      <c r="H220" s="50">
        <f>IFERROR(IF(Calculadora!$C$6&gt;0,1-(G220/Calculadora!$C$6),0),0)</f>
        <v/>
      </c>
    </row>
    <row r="221" ht="18" customHeight="1">
      <c r="A221" s="46" t="n">
        <v>217</v>
      </c>
      <c r="B221" s="47">
        <f>IFERROR(IF(C221&lt;=0.01,"",EDATE(B220,1)),"")</f>
        <v/>
      </c>
      <c r="C221" s="48">
        <f>IF(G220&lt;=0.01,0,G220)</f>
        <v/>
      </c>
      <c r="D221" s="48">
        <f>IF(C221&lt;=0.01,0,IF(A221&lt;Calculadora!$C$8,E221,E221+C221))</f>
        <v/>
      </c>
      <c r="E221" s="49">
        <f>IF(C221&lt;=0.01,0,ROUND(C221*Calculadora!$C$7/12,2))</f>
        <v/>
      </c>
      <c r="F221" s="48">
        <f>IF(C221&lt;=0.01,0,D221-E221)</f>
        <v/>
      </c>
      <c r="G221" s="48">
        <f>IF(C221&lt;=0.01,0,MAX(ROUND(C221-F221,2),0))</f>
        <v/>
      </c>
      <c r="H221" s="50">
        <f>IFERROR(IF(Calculadora!$C$6&gt;0,1-(G221/Calculadora!$C$6),0),0)</f>
        <v/>
      </c>
    </row>
    <row r="222" ht="18" customHeight="1">
      <c r="A222" s="46" t="n">
        <v>218</v>
      </c>
      <c r="B222" s="47">
        <f>IFERROR(IF(C222&lt;=0.01,"",EDATE(B221,1)),"")</f>
        <v/>
      </c>
      <c r="C222" s="48">
        <f>IF(G221&lt;=0.01,0,G221)</f>
        <v/>
      </c>
      <c r="D222" s="48">
        <f>IF(C222&lt;=0.01,0,IF(A222&lt;Calculadora!$C$8,E222,E222+C222))</f>
        <v/>
      </c>
      <c r="E222" s="49">
        <f>IF(C222&lt;=0.01,0,ROUND(C222*Calculadora!$C$7/12,2))</f>
        <v/>
      </c>
      <c r="F222" s="48">
        <f>IF(C222&lt;=0.01,0,D222-E222)</f>
        <v/>
      </c>
      <c r="G222" s="48">
        <f>IF(C222&lt;=0.01,0,MAX(ROUND(C222-F222,2),0))</f>
        <v/>
      </c>
      <c r="H222" s="50">
        <f>IFERROR(IF(Calculadora!$C$6&gt;0,1-(G222/Calculadora!$C$6),0),0)</f>
        <v/>
      </c>
    </row>
    <row r="223" ht="18" customHeight="1">
      <c r="A223" s="46" t="n">
        <v>219</v>
      </c>
      <c r="B223" s="47">
        <f>IFERROR(IF(C223&lt;=0.01,"",EDATE(B222,1)),"")</f>
        <v/>
      </c>
      <c r="C223" s="48">
        <f>IF(G222&lt;=0.01,0,G222)</f>
        <v/>
      </c>
      <c r="D223" s="48">
        <f>IF(C223&lt;=0.01,0,IF(A223&lt;Calculadora!$C$8,E223,E223+C223))</f>
        <v/>
      </c>
      <c r="E223" s="49">
        <f>IF(C223&lt;=0.01,0,ROUND(C223*Calculadora!$C$7/12,2))</f>
        <v/>
      </c>
      <c r="F223" s="48">
        <f>IF(C223&lt;=0.01,0,D223-E223)</f>
        <v/>
      </c>
      <c r="G223" s="48">
        <f>IF(C223&lt;=0.01,0,MAX(ROUND(C223-F223,2),0))</f>
        <v/>
      </c>
      <c r="H223" s="50">
        <f>IFERROR(IF(Calculadora!$C$6&gt;0,1-(G223/Calculadora!$C$6),0),0)</f>
        <v/>
      </c>
    </row>
    <row r="224" ht="18" customHeight="1">
      <c r="A224" s="46" t="n">
        <v>220</v>
      </c>
      <c r="B224" s="47">
        <f>IFERROR(IF(C224&lt;=0.01,"",EDATE(B223,1)),"")</f>
        <v/>
      </c>
      <c r="C224" s="48">
        <f>IF(G223&lt;=0.01,0,G223)</f>
        <v/>
      </c>
      <c r="D224" s="48">
        <f>IF(C224&lt;=0.01,0,IF(A224&lt;Calculadora!$C$8,E224,E224+C224))</f>
        <v/>
      </c>
      <c r="E224" s="49">
        <f>IF(C224&lt;=0.01,0,ROUND(C224*Calculadora!$C$7/12,2))</f>
        <v/>
      </c>
      <c r="F224" s="48">
        <f>IF(C224&lt;=0.01,0,D224-E224)</f>
        <v/>
      </c>
      <c r="G224" s="48">
        <f>IF(C224&lt;=0.01,0,MAX(ROUND(C224-F224,2),0))</f>
        <v/>
      </c>
      <c r="H224" s="50">
        <f>IFERROR(IF(Calculadora!$C$6&gt;0,1-(G224/Calculadora!$C$6),0),0)</f>
        <v/>
      </c>
    </row>
    <row r="225" ht="18" customHeight="1">
      <c r="A225" s="46" t="n">
        <v>221</v>
      </c>
      <c r="B225" s="47">
        <f>IFERROR(IF(C225&lt;=0.01,"",EDATE(B224,1)),"")</f>
        <v/>
      </c>
      <c r="C225" s="48">
        <f>IF(G224&lt;=0.01,0,G224)</f>
        <v/>
      </c>
      <c r="D225" s="48">
        <f>IF(C225&lt;=0.01,0,IF(A225&lt;Calculadora!$C$8,E225,E225+C225))</f>
        <v/>
      </c>
      <c r="E225" s="49">
        <f>IF(C225&lt;=0.01,0,ROUND(C225*Calculadora!$C$7/12,2))</f>
        <v/>
      </c>
      <c r="F225" s="48">
        <f>IF(C225&lt;=0.01,0,D225-E225)</f>
        <v/>
      </c>
      <c r="G225" s="48">
        <f>IF(C225&lt;=0.01,0,MAX(ROUND(C225-F225,2),0))</f>
        <v/>
      </c>
      <c r="H225" s="50">
        <f>IFERROR(IF(Calculadora!$C$6&gt;0,1-(G225/Calculadora!$C$6),0),0)</f>
        <v/>
      </c>
    </row>
    <row r="226" ht="18" customHeight="1">
      <c r="A226" s="46" t="n">
        <v>222</v>
      </c>
      <c r="B226" s="47">
        <f>IFERROR(IF(C226&lt;=0.01,"",EDATE(B225,1)),"")</f>
        <v/>
      </c>
      <c r="C226" s="48">
        <f>IF(G225&lt;=0.01,0,G225)</f>
        <v/>
      </c>
      <c r="D226" s="48">
        <f>IF(C226&lt;=0.01,0,IF(A226&lt;Calculadora!$C$8,E226,E226+C226))</f>
        <v/>
      </c>
      <c r="E226" s="49">
        <f>IF(C226&lt;=0.01,0,ROUND(C226*Calculadora!$C$7/12,2))</f>
        <v/>
      </c>
      <c r="F226" s="48">
        <f>IF(C226&lt;=0.01,0,D226-E226)</f>
        <v/>
      </c>
      <c r="G226" s="48">
        <f>IF(C226&lt;=0.01,0,MAX(ROUND(C226-F226,2),0))</f>
        <v/>
      </c>
      <c r="H226" s="50">
        <f>IFERROR(IF(Calculadora!$C$6&gt;0,1-(G226/Calculadora!$C$6),0),0)</f>
        <v/>
      </c>
    </row>
    <row r="227" ht="18" customHeight="1">
      <c r="A227" s="46" t="n">
        <v>223</v>
      </c>
      <c r="B227" s="47">
        <f>IFERROR(IF(C227&lt;=0.01,"",EDATE(B226,1)),"")</f>
        <v/>
      </c>
      <c r="C227" s="48">
        <f>IF(G226&lt;=0.01,0,G226)</f>
        <v/>
      </c>
      <c r="D227" s="48">
        <f>IF(C227&lt;=0.01,0,IF(A227&lt;Calculadora!$C$8,E227,E227+C227))</f>
        <v/>
      </c>
      <c r="E227" s="49">
        <f>IF(C227&lt;=0.01,0,ROUND(C227*Calculadora!$C$7/12,2))</f>
        <v/>
      </c>
      <c r="F227" s="48">
        <f>IF(C227&lt;=0.01,0,D227-E227)</f>
        <v/>
      </c>
      <c r="G227" s="48">
        <f>IF(C227&lt;=0.01,0,MAX(ROUND(C227-F227,2),0))</f>
        <v/>
      </c>
      <c r="H227" s="50">
        <f>IFERROR(IF(Calculadora!$C$6&gt;0,1-(G227/Calculadora!$C$6),0),0)</f>
        <v/>
      </c>
    </row>
    <row r="228" ht="18" customHeight="1">
      <c r="A228" s="46" t="n">
        <v>224</v>
      </c>
      <c r="B228" s="47">
        <f>IFERROR(IF(C228&lt;=0.01,"",EDATE(B227,1)),"")</f>
        <v/>
      </c>
      <c r="C228" s="48">
        <f>IF(G227&lt;=0.01,0,G227)</f>
        <v/>
      </c>
      <c r="D228" s="48">
        <f>IF(C228&lt;=0.01,0,IF(A228&lt;Calculadora!$C$8,E228,E228+C228))</f>
        <v/>
      </c>
      <c r="E228" s="49">
        <f>IF(C228&lt;=0.01,0,ROUND(C228*Calculadora!$C$7/12,2))</f>
        <v/>
      </c>
      <c r="F228" s="48">
        <f>IF(C228&lt;=0.01,0,D228-E228)</f>
        <v/>
      </c>
      <c r="G228" s="48">
        <f>IF(C228&lt;=0.01,0,MAX(ROUND(C228-F228,2),0))</f>
        <v/>
      </c>
      <c r="H228" s="50">
        <f>IFERROR(IF(Calculadora!$C$6&gt;0,1-(G228/Calculadora!$C$6),0),0)</f>
        <v/>
      </c>
    </row>
    <row r="229" ht="18" customHeight="1">
      <c r="A229" s="46" t="n">
        <v>225</v>
      </c>
      <c r="B229" s="47">
        <f>IFERROR(IF(C229&lt;=0.01,"",EDATE(B228,1)),"")</f>
        <v/>
      </c>
      <c r="C229" s="48">
        <f>IF(G228&lt;=0.01,0,G228)</f>
        <v/>
      </c>
      <c r="D229" s="48">
        <f>IF(C229&lt;=0.01,0,IF(A229&lt;Calculadora!$C$8,E229,E229+C229))</f>
        <v/>
      </c>
      <c r="E229" s="49">
        <f>IF(C229&lt;=0.01,0,ROUND(C229*Calculadora!$C$7/12,2))</f>
        <v/>
      </c>
      <c r="F229" s="48">
        <f>IF(C229&lt;=0.01,0,D229-E229)</f>
        <v/>
      </c>
      <c r="G229" s="48">
        <f>IF(C229&lt;=0.01,0,MAX(ROUND(C229-F229,2),0))</f>
        <v/>
      </c>
      <c r="H229" s="50">
        <f>IFERROR(IF(Calculadora!$C$6&gt;0,1-(G229/Calculadora!$C$6),0),0)</f>
        <v/>
      </c>
    </row>
    <row r="230" ht="18" customHeight="1">
      <c r="A230" s="46" t="n">
        <v>226</v>
      </c>
      <c r="B230" s="47">
        <f>IFERROR(IF(C230&lt;=0.01,"",EDATE(B229,1)),"")</f>
        <v/>
      </c>
      <c r="C230" s="48">
        <f>IF(G229&lt;=0.01,0,G229)</f>
        <v/>
      </c>
      <c r="D230" s="48">
        <f>IF(C230&lt;=0.01,0,IF(A230&lt;Calculadora!$C$8,E230,E230+C230))</f>
        <v/>
      </c>
      <c r="E230" s="49">
        <f>IF(C230&lt;=0.01,0,ROUND(C230*Calculadora!$C$7/12,2))</f>
        <v/>
      </c>
      <c r="F230" s="48">
        <f>IF(C230&lt;=0.01,0,D230-E230)</f>
        <v/>
      </c>
      <c r="G230" s="48">
        <f>IF(C230&lt;=0.01,0,MAX(ROUND(C230-F230,2),0))</f>
        <v/>
      </c>
      <c r="H230" s="50">
        <f>IFERROR(IF(Calculadora!$C$6&gt;0,1-(G230/Calculadora!$C$6),0),0)</f>
        <v/>
      </c>
    </row>
    <row r="231" ht="18" customHeight="1">
      <c r="A231" s="46" t="n">
        <v>227</v>
      </c>
      <c r="B231" s="47">
        <f>IFERROR(IF(C231&lt;=0.01,"",EDATE(B230,1)),"")</f>
        <v/>
      </c>
      <c r="C231" s="48">
        <f>IF(G230&lt;=0.01,0,G230)</f>
        <v/>
      </c>
      <c r="D231" s="48">
        <f>IF(C231&lt;=0.01,0,IF(A231&lt;Calculadora!$C$8,E231,E231+C231))</f>
        <v/>
      </c>
      <c r="E231" s="49">
        <f>IF(C231&lt;=0.01,0,ROUND(C231*Calculadora!$C$7/12,2))</f>
        <v/>
      </c>
      <c r="F231" s="48">
        <f>IF(C231&lt;=0.01,0,D231-E231)</f>
        <v/>
      </c>
      <c r="G231" s="48">
        <f>IF(C231&lt;=0.01,0,MAX(ROUND(C231-F231,2),0))</f>
        <v/>
      </c>
      <c r="H231" s="50">
        <f>IFERROR(IF(Calculadora!$C$6&gt;0,1-(G231/Calculadora!$C$6),0),0)</f>
        <v/>
      </c>
    </row>
    <row r="232" ht="18" customHeight="1">
      <c r="A232" s="46" t="n">
        <v>228</v>
      </c>
      <c r="B232" s="47">
        <f>IFERROR(IF(C232&lt;=0.01,"",EDATE(B231,1)),"")</f>
        <v/>
      </c>
      <c r="C232" s="48">
        <f>IF(G231&lt;=0.01,0,G231)</f>
        <v/>
      </c>
      <c r="D232" s="48">
        <f>IF(C232&lt;=0.01,0,IF(A232&lt;Calculadora!$C$8,E232,E232+C232))</f>
        <v/>
      </c>
      <c r="E232" s="49">
        <f>IF(C232&lt;=0.01,0,ROUND(C232*Calculadora!$C$7/12,2))</f>
        <v/>
      </c>
      <c r="F232" s="48">
        <f>IF(C232&lt;=0.01,0,D232-E232)</f>
        <v/>
      </c>
      <c r="G232" s="48">
        <f>IF(C232&lt;=0.01,0,MAX(ROUND(C232-F232,2),0))</f>
        <v/>
      </c>
      <c r="H232" s="50">
        <f>IFERROR(IF(Calculadora!$C$6&gt;0,1-(G232/Calculadora!$C$6),0),0)</f>
        <v/>
      </c>
    </row>
    <row r="233" ht="18" customHeight="1">
      <c r="A233" s="46" t="n">
        <v>229</v>
      </c>
      <c r="B233" s="47">
        <f>IFERROR(IF(C233&lt;=0.01,"",EDATE(B232,1)),"")</f>
        <v/>
      </c>
      <c r="C233" s="48">
        <f>IF(G232&lt;=0.01,0,G232)</f>
        <v/>
      </c>
      <c r="D233" s="48">
        <f>IF(C233&lt;=0.01,0,IF(A233&lt;Calculadora!$C$8,E233,E233+C233))</f>
        <v/>
      </c>
      <c r="E233" s="49">
        <f>IF(C233&lt;=0.01,0,ROUND(C233*Calculadora!$C$7/12,2))</f>
        <v/>
      </c>
      <c r="F233" s="48">
        <f>IF(C233&lt;=0.01,0,D233-E233)</f>
        <v/>
      </c>
      <c r="G233" s="48">
        <f>IF(C233&lt;=0.01,0,MAX(ROUND(C233-F233,2),0))</f>
        <v/>
      </c>
      <c r="H233" s="50">
        <f>IFERROR(IF(Calculadora!$C$6&gt;0,1-(G233/Calculadora!$C$6),0),0)</f>
        <v/>
      </c>
    </row>
    <row r="234" ht="18" customHeight="1">
      <c r="A234" s="46" t="n">
        <v>230</v>
      </c>
      <c r="B234" s="47">
        <f>IFERROR(IF(C234&lt;=0.01,"",EDATE(B233,1)),"")</f>
        <v/>
      </c>
      <c r="C234" s="48">
        <f>IF(G233&lt;=0.01,0,G233)</f>
        <v/>
      </c>
      <c r="D234" s="48">
        <f>IF(C234&lt;=0.01,0,IF(A234&lt;Calculadora!$C$8,E234,E234+C234))</f>
        <v/>
      </c>
      <c r="E234" s="49">
        <f>IF(C234&lt;=0.01,0,ROUND(C234*Calculadora!$C$7/12,2))</f>
        <v/>
      </c>
      <c r="F234" s="48">
        <f>IF(C234&lt;=0.01,0,D234-E234)</f>
        <v/>
      </c>
      <c r="G234" s="48">
        <f>IF(C234&lt;=0.01,0,MAX(ROUND(C234-F234,2),0))</f>
        <v/>
      </c>
      <c r="H234" s="50">
        <f>IFERROR(IF(Calculadora!$C$6&gt;0,1-(G234/Calculadora!$C$6),0),0)</f>
        <v/>
      </c>
    </row>
    <row r="235" ht="18" customHeight="1">
      <c r="A235" s="46" t="n">
        <v>231</v>
      </c>
      <c r="B235" s="47">
        <f>IFERROR(IF(C235&lt;=0.01,"",EDATE(B234,1)),"")</f>
        <v/>
      </c>
      <c r="C235" s="48">
        <f>IF(G234&lt;=0.01,0,G234)</f>
        <v/>
      </c>
      <c r="D235" s="48">
        <f>IF(C235&lt;=0.01,0,IF(A235&lt;Calculadora!$C$8,E235,E235+C235))</f>
        <v/>
      </c>
      <c r="E235" s="49">
        <f>IF(C235&lt;=0.01,0,ROUND(C235*Calculadora!$C$7/12,2))</f>
        <v/>
      </c>
      <c r="F235" s="48">
        <f>IF(C235&lt;=0.01,0,D235-E235)</f>
        <v/>
      </c>
      <c r="G235" s="48">
        <f>IF(C235&lt;=0.01,0,MAX(ROUND(C235-F235,2),0))</f>
        <v/>
      </c>
      <c r="H235" s="50">
        <f>IFERROR(IF(Calculadora!$C$6&gt;0,1-(G235/Calculadora!$C$6),0),0)</f>
        <v/>
      </c>
    </row>
    <row r="236" ht="18" customHeight="1">
      <c r="A236" s="46" t="n">
        <v>232</v>
      </c>
      <c r="B236" s="47">
        <f>IFERROR(IF(C236&lt;=0.01,"",EDATE(B235,1)),"")</f>
        <v/>
      </c>
      <c r="C236" s="48">
        <f>IF(G235&lt;=0.01,0,G235)</f>
        <v/>
      </c>
      <c r="D236" s="48">
        <f>IF(C236&lt;=0.01,0,IF(A236&lt;Calculadora!$C$8,E236,E236+C236))</f>
        <v/>
      </c>
      <c r="E236" s="49">
        <f>IF(C236&lt;=0.01,0,ROUND(C236*Calculadora!$C$7/12,2))</f>
        <v/>
      </c>
      <c r="F236" s="48">
        <f>IF(C236&lt;=0.01,0,D236-E236)</f>
        <v/>
      </c>
      <c r="G236" s="48">
        <f>IF(C236&lt;=0.01,0,MAX(ROUND(C236-F236,2),0))</f>
        <v/>
      </c>
      <c r="H236" s="50">
        <f>IFERROR(IF(Calculadora!$C$6&gt;0,1-(G236/Calculadora!$C$6),0),0)</f>
        <v/>
      </c>
    </row>
    <row r="237" ht="18" customHeight="1">
      <c r="A237" s="46" t="n">
        <v>233</v>
      </c>
      <c r="B237" s="47">
        <f>IFERROR(IF(C237&lt;=0.01,"",EDATE(B236,1)),"")</f>
        <v/>
      </c>
      <c r="C237" s="48">
        <f>IF(G236&lt;=0.01,0,G236)</f>
        <v/>
      </c>
      <c r="D237" s="48">
        <f>IF(C237&lt;=0.01,0,IF(A237&lt;Calculadora!$C$8,E237,E237+C237))</f>
        <v/>
      </c>
      <c r="E237" s="49">
        <f>IF(C237&lt;=0.01,0,ROUND(C237*Calculadora!$C$7/12,2))</f>
        <v/>
      </c>
      <c r="F237" s="48">
        <f>IF(C237&lt;=0.01,0,D237-E237)</f>
        <v/>
      </c>
      <c r="G237" s="48">
        <f>IF(C237&lt;=0.01,0,MAX(ROUND(C237-F237,2),0))</f>
        <v/>
      </c>
      <c r="H237" s="50">
        <f>IFERROR(IF(Calculadora!$C$6&gt;0,1-(G237/Calculadora!$C$6),0),0)</f>
        <v/>
      </c>
    </row>
    <row r="238" ht="18" customHeight="1">
      <c r="A238" s="46" t="n">
        <v>234</v>
      </c>
      <c r="B238" s="47">
        <f>IFERROR(IF(C238&lt;=0.01,"",EDATE(B237,1)),"")</f>
        <v/>
      </c>
      <c r="C238" s="48">
        <f>IF(G237&lt;=0.01,0,G237)</f>
        <v/>
      </c>
      <c r="D238" s="48">
        <f>IF(C238&lt;=0.01,0,IF(A238&lt;Calculadora!$C$8,E238,E238+C238))</f>
        <v/>
      </c>
      <c r="E238" s="49">
        <f>IF(C238&lt;=0.01,0,ROUND(C238*Calculadora!$C$7/12,2))</f>
        <v/>
      </c>
      <c r="F238" s="48">
        <f>IF(C238&lt;=0.01,0,D238-E238)</f>
        <v/>
      </c>
      <c r="G238" s="48">
        <f>IF(C238&lt;=0.01,0,MAX(ROUND(C238-F238,2),0))</f>
        <v/>
      </c>
      <c r="H238" s="50">
        <f>IFERROR(IF(Calculadora!$C$6&gt;0,1-(G238/Calculadora!$C$6),0),0)</f>
        <v/>
      </c>
    </row>
    <row r="239" ht="18" customHeight="1">
      <c r="A239" s="46" t="n">
        <v>235</v>
      </c>
      <c r="B239" s="47">
        <f>IFERROR(IF(C239&lt;=0.01,"",EDATE(B238,1)),"")</f>
        <v/>
      </c>
      <c r="C239" s="48">
        <f>IF(G238&lt;=0.01,0,G238)</f>
        <v/>
      </c>
      <c r="D239" s="48">
        <f>IF(C239&lt;=0.01,0,IF(A239&lt;Calculadora!$C$8,E239,E239+C239))</f>
        <v/>
      </c>
      <c r="E239" s="49">
        <f>IF(C239&lt;=0.01,0,ROUND(C239*Calculadora!$C$7/12,2))</f>
        <v/>
      </c>
      <c r="F239" s="48">
        <f>IF(C239&lt;=0.01,0,D239-E239)</f>
        <v/>
      </c>
      <c r="G239" s="48">
        <f>IF(C239&lt;=0.01,0,MAX(ROUND(C239-F239,2),0))</f>
        <v/>
      </c>
      <c r="H239" s="50">
        <f>IFERROR(IF(Calculadora!$C$6&gt;0,1-(G239/Calculadora!$C$6),0),0)</f>
        <v/>
      </c>
    </row>
    <row r="240" ht="18" customHeight="1">
      <c r="A240" s="46" t="n">
        <v>236</v>
      </c>
      <c r="B240" s="47">
        <f>IFERROR(IF(C240&lt;=0.01,"",EDATE(B239,1)),"")</f>
        <v/>
      </c>
      <c r="C240" s="48">
        <f>IF(G239&lt;=0.01,0,G239)</f>
        <v/>
      </c>
      <c r="D240" s="48">
        <f>IF(C240&lt;=0.01,0,IF(A240&lt;Calculadora!$C$8,E240,E240+C240))</f>
        <v/>
      </c>
      <c r="E240" s="49">
        <f>IF(C240&lt;=0.01,0,ROUND(C240*Calculadora!$C$7/12,2))</f>
        <v/>
      </c>
      <c r="F240" s="48">
        <f>IF(C240&lt;=0.01,0,D240-E240)</f>
        <v/>
      </c>
      <c r="G240" s="48">
        <f>IF(C240&lt;=0.01,0,MAX(ROUND(C240-F240,2),0))</f>
        <v/>
      </c>
      <c r="H240" s="50">
        <f>IFERROR(IF(Calculadora!$C$6&gt;0,1-(G240/Calculadora!$C$6),0),0)</f>
        <v/>
      </c>
    </row>
    <row r="241" ht="18" customHeight="1">
      <c r="A241" s="46" t="n">
        <v>237</v>
      </c>
      <c r="B241" s="47">
        <f>IFERROR(IF(C241&lt;=0.01,"",EDATE(B240,1)),"")</f>
        <v/>
      </c>
      <c r="C241" s="48">
        <f>IF(G240&lt;=0.01,0,G240)</f>
        <v/>
      </c>
      <c r="D241" s="48">
        <f>IF(C241&lt;=0.01,0,IF(A241&lt;Calculadora!$C$8,E241,E241+C241))</f>
        <v/>
      </c>
      <c r="E241" s="49">
        <f>IF(C241&lt;=0.01,0,ROUND(C241*Calculadora!$C$7/12,2))</f>
        <v/>
      </c>
      <c r="F241" s="48">
        <f>IF(C241&lt;=0.01,0,D241-E241)</f>
        <v/>
      </c>
      <c r="G241" s="48">
        <f>IF(C241&lt;=0.01,0,MAX(ROUND(C241-F241,2),0))</f>
        <v/>
      </c>
      <c r="H241" s="50">
        <f>IFERROR(IF(Calculadora!$C$6&gt;0,1-(G241/Calculadora!$C$6),0),0)</f>
        <v/>
      </c>
    </row>
    <row r="242" ht="18" customHeight="1">
      <c r="A242" s="46" t="n">
        <v>238</v>
      </c>
      <c r="B242" s="47">
        <f>IFERROR(IF(C242&lt;=0.01,"",EDATE(B241,1)),"")</f>
        <v/>
      </c>
      <c r="C242" s="48">
        <f>IF(G241&lt;=0.01,0,G241)</f>
        <v/>
      </c>
      <c r="D242" s="48">
        <f>IF(C242&lt;=0.01,0,IF(A242&lt;Calculadora!$C$8,E242,E242+C242))</f>
        <v/>
      </c>
      <c r="E242" s="49">
        <f>IF(C242&lt;=0.01,0,ROUND(C242*Calculadora!$C$7/12,2))</f>
        <v/>
      </c>
      <c r="F242" s="48">
        <f>IF(C242&lt;=0.01,0,D242-E242)</f>
        <v/>
      </c>
      <c r="G242" s="48">
        <f>IF(C242&lt;=0.01,0,MAX(ROUND(C242-F242,2),0))</f>
        <v/>
      </c>
      <c r="H242" s="50">
        <f>IFERROR(IF(Calculadora!$C$6&gt;0,1-(G242/Calculadora!$C$6),0),0)</f>
        <v/>
      </c>
    </row>
    <row r="243" ht="18" customHeight="1">
      <c r="A243" s="46" t="n">
        <v>239</v>
      </c>
      <c r="B243" s="47">
        <f>IFERROR(IF(C243&lt;=0.01,"",EDATE(B242,1)),"")</f>
        <v/>
      </c>
      <c r="C243" s="48">
        <f>IF(G242&lt;=0.01,0,G242)</f>
        <v/>
      </c>
      <c r="D243" s="48">
        <f>IF(C243&lt;=0.01,0,IF(A243&lt;Calculadora!$C$8,E243,E243+C243))</f>
        <v/>
      </c>
      <c r="E243" s="49">
        <f>IF(C243&lt;=0.01,0,ROUND(C243*Calculadora!$C$7/12,2))</f>
        <v/>
      </c>
      <c r="F243" s="48">
        <f>IF(C243&lt;=0.01,0,D243-E243)</f>
        <v/>
      </c>
      <c r="G243" s="48">
        <f>IF(C243&lt;=0.01,0,MAX(ROUND(C243-F243,2),0))</f>
        <v/>
      </c>
      <c r="H243" s="50">
        <f>IFERROR(IF(Calculadora!$C$6&gt;0,1-(G243/Calculadora!$C$6),0),0)</f>
        <v/>
      </c>
    </row>
    <row r="244" ht="18" customHeight="1">
      <c r="A244" s="46" t="n">
        <v>240</v>
      </c>
      <c r="B244" s="47">
        <f>IFERROR(IF(C244&lt;=0.01,"",EDATE(B243,1)),"")</f>
        <v/>
      </c>
      <c r="C244" s="48">
        <f>IF(G243&lt;=0.01,0,G243)</f>
        <v/>
      </c>
      <c r="D244" s="48">
        <f>IF(C244&lt;=0.01,0,IF(A244&lt;Calculadora!$C$8,E244,E244+C244))</f>
        <v/>
      </c>
      <c r="E244" s="49">
        <f>IF(C244&lt;=0.01,0,ROUND(C244*Calculadora!$C$7/12,2))</f>
        <v/>
      </c>
      <c r="F244" s="48">
        <f>IF(C244&lt;=0.01,0,D244-E244)</f>
        <v/>
      </c>
      <c r="G244" s="48">
        <f>IF(C244&lt;=0.01,0,MAX(ROUND(C244-F244,2),0))</f>
        <v/>
      </c>
      <c r="H244" s="50">
        <f>IFERROR(IF(Calculadora!$C$6&gt;0,1-(G244/Calculadora!$C$6),0),0)</f>
        <v/>
      </c>
    </row>
    <row r="245" ht="18" customHeight="1">
      <c r="A245" s="46" t="n">
        <v>241</v>
      </c>
      <c r="B245" s="47">
        <f>IFERROR(IF(C245&lt;=0.01,"",EDATE(B244,1)),"")</f>
        <v/>
      </c>
      <c r="C245" s="48">
        <f>IF(G244&lt;=0.01,0,G244)</f>
        <v/>
      </c>
      <c r="D245" s="48">
        <f>IF(C245&lt;=0.01,0,IF(A245&lt;Calculadora!$C$8,E245,E245+C245))</f>
        <v/>
      </c>
      <c r="E245" s="49">
        <f>IF(C245&lt;=0.01,0,ROUND(C245*Calculadora!$C$7/12,2))</f>
        <v/>
      </c>
      <c r="F245" s="48">
        <f>IF(C245&lt;=0.01,0,D245-E245)</f>
        <v/>
      </c>
      <c r="G245" s="48">
        <f>IF(C245&lt;=0.01,0,MAX(ROUND(C245-F245,2),0))</f>
        <v/>
      </c>
      <c r="H245" s="50">
        <f>IFERROR(IF(Calculadora!$C$6&gt;0,1-(G245/Calculadora!$C$6),0),0)</f>
        <v/>
      </c>
    </row>
    <row r="246" ht="18" customHeight="1">
      <c r="A246" s="46" t="n">
        <v>242</v>
      </c>
      <c r="B246" s="47">
        <f>IFERROR(IF(C246&lt;=0.01,"",EDATE(B245,1)),"")</f>
        <v/>
      </c>
      <c r="C246" s="48">
        <f>IF(G245&lt;=0.01,0,G245)</f>
        <v/>
      </c>
      <c r="D246" s="48">
        <f>IF(C246&lt;=0.01,0,IF(A246&lt;Calculadora!$C$8,E246,E246+C246))</f>
        <v/>
      </c>
      <c r="E246" s="49">
        <f>IF(C246&lt;=0.01,0,ROUND(C246*Calculadora!$C$7/12,2))</f>
        <v/>
      </c>
      <c r="F246" s="48">
        <f>IF(C246&lt;=0.01,0,D246-E246)</f>
        <v/>
      </c>
      <c r="G246" s="48">
        <f>IF(C246&lt;=0.01,0,MAX(ROUND(C246-F246,2),0))</f>
        <v/>
      </c>
      <c r="H246" s="50">
        <f>IFERROR(IF(Calculadora!$C$6&gt;0,1-(G246/Calculadora!$C$6),0),0)</f>
        <v/>
      </c>
    </row>
    <row r="247" ht="18" customHeight="1">
      <c r="A247" s="46" t="n">
        <v>243</v>
      </c>
      <c r="B247" s="47">
        <f>IFERROR(IF(C247&lt;=0.01,"",EDATE(B246,1)),"")</f>
        <v/>
      </c>
      <c r="C247" s="48">
        <f>IF(G246&lt;=0.01,0,G246)</f>
        <v/>
      </c>
      <c r="D247" s="48">
        <f>IF(C247&lt;=0.01,0,IF(A247&lt;Calculadora!$C$8,E247,E247+C247))</f>
        <v/>
      </c>
      <c r="E247" s="49">
        <f>IF(C247&lt;=0.01,0,ROUND(C247*Calculadora!$C$7/12,2))</f>
        <v/>
      </c>
      <c r="F247" s="48">
        <f>IF(C247&lt;=0.01,0,D247-E247)</f>
        <v/>
      </c>
      <c r="G247" s="48">
        <f>IF(C247&lt;=0.01,0,MAX(ROUND(C247-F247,2),0))</f>
        <v/>
      </c>
      <c r="H247" s="50">
        <f>IFERROR(IF(Calculadora!$C$6&gt;0,1-(G247/Calculadora!$C$6),0),0)</f>
        <v/>
      </c>
    </row>
    <row r="248" ht="18" customHeight="1">
      <c r="A248" s="46" t="n">
        <v>244</v>
      </c>
      <c r="B248" s="47">
        <f>IFERROR(IF(C248&lt;=0.01,"",EDATE(B247,1)),"")</f>
        <v/>
      </c>
      <c r="C248" s="48">
        <f>IF(G247&lt;=0.01,0,G247)</f>
        <v/>
      </c>
      <c r="D248" s="48">
        <f>IF(C248&lt;=0.01,0,IF(A248&lt;Calculadora!$C$8,E248,E248+C248))</f>
        <v/>
      </c>
      <c r="E248" s="49">
        <f>IF(C248&lt;=0.01,0,ROUND(C248*Calculadora!$C$7/12,2))</f>
        <v/>
      </c>
      <c r="F248" s="48">
        <f>IF(C248&lt;=0.01,0,D248-E248)</f>
        <v/>
      </c>
      <c r="G248" s="48">
        <f>IF(C248&lt;=0.01,0,MAX(ROUND(C248-F248,2),0))</f>
        <v/>
      </c>
      <c r="H248" s="50">
        <f>IFERROR(IF(Calculadora!$C$6&gt;0,1-(G248/Calculadora!$C$6),0),0)</f>
        <v/>
      </c>
    </row>
    <row r="249" ht="18" customHeight="1">
      <c r="A249" s="46" t="n">
        <v>245</v>
      </c>
      <c r="B249" s="47">
        <f>IFERROR(IF(C249&lt;=0.01,"",EDATE(B248,1)),"")</f>
        <v/>
      </c>
      <c r="C249" s="48">
        <f>IF(G248&lt;=0.01,0,G248)</f>
        <v/>
      </c>
      <c r="D249" s="48">
        <f>IF(C249&lt;=0.01,0,IF(A249&lt;Calculadora!$C$8,E249,E249+C249))</f>
        <v/>
      </c>
      <c r="E249" s="49">
        <f>IF(C249&lt;=0.01,0,ROUND(C249*Calculadora!$C$7/12,2))</f>
        <v/>
      </c>
      <c r="F249" s="48">
        <f>IF(C249&lt;=0.01,0,D249-E249)</f>
        <v/>
      </c>
      <c r="G249" s="48">
        <f>IF(C249&lt;=0.01,0,MAX(ROUND(C249-F249,2),0))</f>
        <v/>
      </c>
      <c r="H249" s="50">
        <f>IFERROR(IF(Calculadora!$C$6&gt;0,1-(G249/Calculadora!$C$6),0),0)</f>
        <v/>
      </c>
    </row>
    <row r="250" ht="18" customHeight="1">
      <c r="A250" s="46" t="n">
        <v>246</v>
      </c>
      <c r="B250" s="47">
        <f>IFERROR(IF(C250&lt;=0.01,"",EDATE(B249,1)),"")</f>
        <v/>
      </c>
      <c r="C250" s="48">
        <f>IF(G249&lt;=0.01,0,G249)</f>
        <v/>
      </c>
      <c r="D250" s="48">
        <f>IF(C250&lt;=0.01,0,IF(A250&lt;Calculadora!$C$8,E250,E250+C250))</f>
        <v/>
      </c>
      <c r="E250" s="49">
        <f>IF(C250&lt;=0.01,0,ROUND(C250*Calculadora!$C$7/12,2))</f>
        <v/>
      </c>
      <c r="F250" s="48">
        <f>IF(C250&lt;=0.01,0,D250-E250)</f>
        <v/>
      </c>
      <c r="G250" s="48">
        <f>IF(C250&lt;=0.01,0,MAX(ROUND(C250-F250,2),0))</f>
        <v/>
      </c>
      <c r="H250" s="50">
        <f>IFERROR(IF(Calculadora!$C$6&gt;0,1-(G250/Calculadora!$C$6),0),0)</f>
        <v/>
      </c>
    </row>
    <row r="251" ht="18" customHeight="1">
      <c r="A251" s="46" t="n">
        <v>247</v>
      </c>
      <c r="B251" s="47">
        <f>IFERROR(IF(C251&lt;=0.01,"",EDATE(B250,1)),"")</f>
        <v/>
      </c>
      <c r="C251" s="48">
        <f>IF(G250&lt;=0.01,0,G250)</f>
        <v/>
      </c>
      <c r="D251" s="48">
        <f>IF(C251&lt;=0.01,0,IF(A251&lt;Calculadora!$C$8,E251,E251+C251))</f>
        <v/>
      </c>
      <c r="E251" s="49">
        <f>IF(C251&lt;=0.01,0,ROUND(C251*Calculadora!$C$7/12,2))</f>
        <v/>
      </c>
      <c r="F251" s="48">
        <f>IF(C251&lt;=0.01,0,D251-E251)</f>
        <v/>
      </c>
      <c r="G251" s="48">
        <f>IF(C251&lt;=0.01,0,MAX(ROUND(C251-F251,2),0))</f>
        <v/>
      </c>
      <c r="H251" s="50">
        <f>IFERROR(IF(Calculadora!$C$6&gt;0,1-(G251/Calculadora!$C$6),0),0)</f>
        <v/>
      </c>
    </row>
    <row r="252" ht="18" customHeight="1">
      <c r="A252" s="46" t="n">
        <v>248</v>
      </c>
      <c r="B252" s="47">
        <f>IFERROR(IF(C252&lt;=0.01,"",EDATE(B251,1)),"")</f>
        <v/>
      </c>
      <c r="C252" s="48">
        <f>IF(G251&lt;=0.01,0,G251)</f>
        <v/>
      </c>
      <c r="D252" s="48">
        <f>IF(C252&lt;=0.01,0,IF(A252&lt;Calculadora!$C$8,E252,E252+C252))</f>
        <v/>
      </c>
      <c r="E252" s="49">
        <f>IF(C252&lt;=0.01,0,ROUND(C252*Calculadora!$C$7/12,2))</f>
        <v/>
      </c>
      <c r="F252" s="48">
        <f>IF(C252&lt;=0.01,0,D252-E252)</f>
        <v/>
      </c>
      <c r="G252" s="48">
        <f>IF(C252&lt;=0.01,0,MAX(ROUND(C252-F252,2),0))</f>
        <v/>
      </c>
      <c r="H252" s="50">
        <f>IFERROR(IF(Calculadora!$C$6&gt;0,1-(G252/Calculadora!$C$6),0),0)</f>
        <v/>
      </c>
    </row>
    <row r="253" ht="18" customHeight="1">
      <c r="A253" s="46" t="n">
        <v>249</v>
      </c>
      <c r="B253" s="47">
        <f>IFERROR(IF(C253&lt;=0.01,"",EDATE(B252,1)),"")</f>
        <v/>
      </c>
      <c r="C253" s="48">
        <f>IF(G252&lt;=0.01,0,G252)</f>
        <v/>
      </c>
      <c r="D253" s="48">
        <f>IF(C253&lt;=0.01,0,IF(A253&lt;Calculadora!$C$8,E253,E253+C253))</f>
        <v/>
      </c>
      <c r="E253" s="49">
        <f>IF(C253&lt;=0.01,0,ROUND(C253*Calculadora!$C$7/12,2))</f>
        <v/>
      </c>
      <c r="F253" s="48">
        <f>IF(C253&lt;=0.01,0,D253-E253)</f>
        <v/>
      </c>
      <c r="G253" s="48">
        <f>IF(C253&lt;=0.01,0,MAX(ROUND(C253-F253,2),0))</f>
        <v/>
      </c>
      <c r="H253" s="50">
        <f>IFERROR(IF(Calculadora!$C$6&gt;0,1-(G253/Calculadora!$C$6),0),0)</f>
        <v/>
      </c>
    </row>
    <row r="254" ht="18" customHeight="1">
      <c r="A254" s="46" t="n">
        <v>250</v>
      </c>
      <c r="B254" s="47">
        <f>IFERROR(IF(C254&lt;=0.01,"",EDATE(B253,1)),"")</f>
        <v/>
      </c>
      <c r="C254" s="48">
        <f>IF(G253&lt;=0.01,0,G253)</f>
        <v/>
      </c>
      <c r="D254" s="48">
        <f>IF(C254&lt;=0.01,0,IF(A254&lt;Calculadora!$C$8,E254,E254+C254))</f>
        <v/>
      </c>
      <c r="E254" s="49">
        <f>IF(C254&lt;=0.01,0,ROUND(C254*Calculadora!$C$7/12,2))</f>
        <v/>
      </c>
      <c r="F254" s="48">
        <f>IF(C254&lt;=0.01,0,D254-E254)</f>
        <v/>
      </c>
      <c r="G254" s="48">
        <f>IF(C254&lt;=0.01,0,MAX(ROUND(C254-F254,2),0))</f>
        <v/>
      </c>
      <c r="H254" s="50">
        <f>IFERROR(IF(Calculadora!$C$6&gt;0,1-(G254/Calculadora!$C$6),0),0)</f>
        <v/>
      </c>
    </row>
    <row r="255" ht="18" customHeight="1">
      <c r="A255" s="46" t="n">
        <v>251</v>
      </c>
      <c r="B255" s="47">
        <f>IFERROR(IF(C255&lt;=0.01,"",EDATE(B254,1)),"")</f>
        <v/>
      </c>
      <c r="C255" s="48">
        <f>IF(G254&lt;=0.01,0,G254)</f>
        <v/>
      </c>
      <c r="D255" s="48">
        <f>IF(C255&lt;=0.01,0,IF(A255&lt;Calculadora!$C$8,E255,E255+C255))</f>
        <v/>
      </c>
      <c r="E255" s="49">
        <f>IF(C255&lt;=0.01,0,ROUND(C255*Calculadora!$C$7/12,2))</f>
        <v/>
      </c>
      <c r="F255" s="48">
        <f>IF(C255&lt;=0.01,0,D255-E255)</f>
        <v/>
      </c>
      <c r="G255" s="48">
        <f>IF(C255&lt;=0.01,0,MAX(ROUND(C255-F255,2),0))</f>
        <v/>
      </c>
      <c r="H255" s="50">
        <f>IFERROR(IF(Calculadora!$C$6&gt;0,1-(G255/Calculadora!$C$6),0),0)</f>
        <v/>
      </c>
    </row>
    <row r="256" ht="18" customHeight="1">
      <c r="A256" s="46" t="n">
        <v>252</v>
      </c>
      <c r="B256" s="47">
        <f>IFERROR(IF(C256&lt;=0.01,"",EDATE(B255,1)),"")</f>
        <v/>
      </c>
      <c r="C256" s="48">
        <f>IF(G255&lt;=0.01,0,G255)</f>
        <v/>
      </c>
      <c r="D256" s="48">
        <f>IF(C256&lt;=0.01,0,IF(A256&lt;Calculadora!$C$8,E256,E256+C256))</f>
        <v/>
      </c>
      <c r="E256" s="49">
        <f>IF(C256&lt;=0.01,0,ROUND(C256*Calculadora!$C$7/12,2))</f>
        <v/>
      </c>
      <c r="F256" s="48">
        <f>IF(C256&lt;=0.01,0,D256-E256)</f>
        <v/>
      </c>
      <c r="G256" s="48">
        <f>IF(C256&lt;=0.01,0,MAX(ROUND(C256-F256,2),0))</f>
        <v/>
      </c>
      <c r="H256" s="50">
        <f>IFERROR(IF(Calculadora!$C$6&gt;0,1-(G256/Calculadora!$C$6),0),0)</f>
        <v/>
      </c>
    </row>
    <row r="257" ht="18" customHeight="1">
      <c r="A257" s="46" t="n">
        <v>253</v>
      </c>
      <c r="B257" s="47">
        <f>IFERROR(IF(C257&lt;=0.01,"",EDATE(B256,1)),"")</f>
        <v/>
      </c>
      <c r="C257" s="48">
        <f>IF(G256&lt;=0.01,0,G256)</f>
        <v/>
      </c>
      <c r="D257" s="48">
        <f>IF(C257&lt;=0.01,0,IF(A257&lt;Calculadora!$C$8,E257,E257+C257))</f>
        <v/>
      </c>
      <c r="E257" s="49">
        <f>IF(C257&lt;=0.01,0,ROUND(C257*Calculadora!$C$7/12,2))</f>
        <v/>
      </c>
      <c r="F257" s="48">
        <f>IF(C257&lt;=0.01,0,D257-E257)</f>
        <v/>
      </c>
      <c r="G257" s="48">
        <f>IF(C257&lt;=0.01,0,MAX(ROUND(C257-F257,2),0))</f>
        <v/>
      </c>
      <c r="H257" s="50">
        <f>IFERROR(IF(Calculadora!$C$6&gt;0,1-(G257/Calculadora!$C$6),0),0)</f>
        <v/>
      </c>
    </row>
    <row r="258" ht="18" customHeight="1">
      <c r="A258" s="46" t="n">
        <v>254</v>
      </c>
      <c r="B258" s="47">
        <f>IFERROR(IF(C258&lt;=0.01,"",EDATE(B257,1)),"")</f>
        <v/>
      </c>
      <c r="C258" s="48">
        <f>IF(G257&lt;=0.01,0,G257)</f>
        <v/>
      </c>
      <c r="D258" s="48">
        <f>IF(C258&lt;=0.01,0,IF(A258&lt;Calculadora!$C$8,E258,E258+C258))</f>
        <v/>
      </c>
      <c r="E258" s="49">
        <f>IF(C258&lt;=0.01,0,ROUND(C258*Calculadora!$C$7/12,2))</f>
        <v/>
      </c>
      <c r="F258" s="48">
        <f>IF(C258&lt;=0.01,0,D258-E258)</f>
        <v/>
      </c>
      <c r="G258" s="48">
        <f>IF(C258&lt;=0.01,0,MAX(ROUND(C258-F258,2),0))</f>
        <v/>
      </c>
      <c r="H258" s="50">
        <f>IFERROR(IF(Calculadora!$C$6&gt;0,1-(G258/Calculadora!$C$6),0),0)</f>
        <v/>
      </c>
    </row>
    <row r="259" ht="18" customHeight="1">
      <c r="A259" s="46" t="n">
        <v>255</v>
      </c>
      <c r="B259" s="47">
        <f>IFERROR(IF(C259&lt;=0.01,"",EDATE(B258,1)),"")</f>
        <v/>
      </c>
      <c r="C259" s="48">
        <f>IF(G258&lt;=0.01,0,G258)</f>
        <v/>
      </c>
      <c r="D259" s="48">
        <f>IF(C259&lt;=0.01,0,IF(A259&lt;Calculadora!$C$8,E259,E259+C259))</f>
        <v/>
      </c>
      <c r="E259" s="49">
        <f>IF(C259&lt;=0.01,0,ROUND(C259*Calculadora!$C$7/12,2))</f>
        <v/>
      </c>
      <c r="F259" s="48">
        <f>IF(C259&lt;=0.01,0,D259-E259)</f>
        <v/>
      </c>
      <c r="G259" s="48">
        <f>IF(C259&lt;=0.01,0,MAX(ROUND(C259-F259,2),0))</f>
        <v/>
      </c>
      <c r="H259" s="50">
        <f>IFERROR(IF(Calculadora!$C$6&gt;0,1-(G259/Calculadora!$C$6),0),0)</f>
        <v/>
      </c>
    </row>
    <row r="260" ht="18" customHeight="1">
      <c r="A260" s="46" t="n">
        <v>256</v>
      </c>
      <c r="B260" s="47">
        <f>IFERROR(IF(C260&lt;=0.01,"",EDATE(B259,1)),"")</f>
        <v/>
      </c>
      <c r="C260" s="48">
        <f>IF(G259&lt;=0.01,0,G259)</f>
        <v/>
      </c>
      <c r="D260" s="48">
        <f>IF(C260&lt;=0.01,0,IF(A260&lt;Calculadora!$C$8,E260,E260+C260))</f>
        <v/>
      </c>
      <c r="E260" s="49">
        <f>IF(C260&lt;=0.01,0,ROUND(C260*Calculadora!$C$7/12,2))</f>
        <v/>
      </c>
      <c r="F260" s="48">
        <f>IF(C260&lt;=0.01,0,D260-E260)</f>
        <v/>
      </c>
      <c r="G260" s="48">
        <f>IF(C260&lt;=0.01,0,MAX(ROUND(C260-F260,2),0))</f>
        <v/>
      </c>
      <c r="H260" s="50">
        <f>IFERROR(IF(Calculadora!$C$6&gt;0,1-(G260/Calculadora!$C$6),0),0)</f>
        <v/>
      </c>
    </row>
    <row r="261" ht="18" customHeight="1">
      <c r="A261" s="46" t="n">
        <v>257</v>
      </c>
      <c r="B261" s="47">
        <f>IFERROR(IF(C261&lt;=0.01,"",EDATE(B260,1)),"")</f>
        <v/>
      </c>
      <c r="C261" s="48">
        <f>IF(G260&lt;=0.01,0,G260)</f>
        <v/>
      </c>
      <c r="D261" s="48">
        <f>IF(C261&lt;=0.01,0,IF(A261&lt;Calculadora!$C$8,E261,E261+C261))</f>
        <v/>
      </c>
      <c r="E261" s="49">
        <f>IF(C261&lt;=0.01,0,ROUND(C261*Calculadora!$C$7/12,2))</f>
        <v/>
      </c>
      <c r="F261" s="48">
        <f>IF(C261&lt;=0.01,0,D261-E261)</f>
        <v/>
      </c>
      <c r="G261" s="48">
        <f>IF(C261&lt;=0.01,0,MAX(ROUND(C261-F261,2),0))</f>
        <v/>
      </c>
      <c r="H261" s="50">
        <f>IFERROR(IF(Calculadora!$C$6&gt;0,1-(G261/Calculadora!$C$6),0),0)</f>
        <v/>
      </c>
    </row>
    <row r="262" ht="18" customHeight="1">
      <c r="A262" s="46" t="n">
        <v>258</v>
      </c>
      <c r="B262" s="47">
        <f>IFERROR(IF(C262&lt;=0.01,"",EDATE(B261,1)),"")</f>
        <v/>
      </c>
      <c r="C262" s="48">
        <f>IF(G261&lt;=0.01,0,G261)</f>
        <v/>
      </c>
      <c r="D262" s="48">
        <f>IF(C262&lt;=0.01,0,IF(A262&lt;Calculadora!$C$8,E262,E262+C262))</f>
        <v/>
      </c>
      <c r="E262" s="49">
        <f>IF(C262&lt;=0.01,0,ROUND(C262*Calculadora!$C$7/12,2))</f>
        <v/>
      </c>
      <c r="F262" s="48">
        <f>IF(C262&lt;=0.01,0,D262-E262)</f>
        <v/>
      </c>
      <c r="G262" s="48">
        <f>IF(C262&lt;=0.01,0,MAX(ROUND(C262-F262,2),0))</f>
        <v/>
      </c>
      <c r="H262" s="50">
        <f>IFERROR(IF(Calculadora!$C$6&gt;0,1-(G262/Calculadora!$C$6),0),0)</f>
        <v/>
      </c>
    </row>
    <row r="263" ht="18" customHeight="1">
      <c r="A263" s="46" t="n">
        <v>259</v>
      </c>
      <c r="B263" s="47">
        <f>IFERROR(IF(C263&lt;=0.01,"",EDATE(B262,1)),"")</f>
        <v/>
      </c>
      <c r="C263" s="48">
        <f>IF(G262&lt;=0.01,0,G262)</f>
        <v/>
      </c>
      <c r="D263" s="48">
        <f>IF(C263&lt;=0.01,0,IF(A263&lt;Calculadora!$C$8,E263,E263+C263))</f>
        <v/>
      </c>
      <c r="E263" s="49">
        <f>IF(C263&lt;=0.01,0,ROUND(C263*Calculadora!$C$7/12,2))</f>
        <v/>
      </c>
      <c r="F263" s="48">
        <f>IF(C263&lt;=0.01,0,D263-E263)</f>
        <v/>
      </c>
      <c r="G263" s="48">
        <f>IF(C263&lt;=0.01,0,MAX(ROUND(C263-F263,2),0))</f>
        <v/>
      </c>
      <c r="H263" s="50">
        <f>IFERROR(IF(Calculadora!$C$6&gt;0,1-(G263/Calculadora!$C$6),0),0)</f>
        <v/>
      </c>
    </row>
    <row r="264" ht="18" customHeight="1">
      <c r="A264" s="46" t="n">
        <v>260</v>
      </c>
      <c r="B264" s="47">
        <f>IFERROR(IF(C264&lt;=0.01,"",EDATE(B263,1)),"")</f>
        <v/>
      </c>
      <c r="C264" s="48">
        <f>IF(G263&lt;=0.01,0,G263)</f>
        <v/>
      </c>
      <c r="D264" s="48">
        <f>IF(C264&lt;=0.01,0,IF(A264&lt;Calculadora!$C$8,E264,E264+C264))</f>
        <v/>
      </c>
      <c r="E264" s="49">
        <f>IF(C264&lt;=0.01,0,ROUND(C264*Calculadora!$C$7/12,2))</f>
        <v/>
      </c>
      <c r="F264" s="48">
        <f>IF(C264&lt;=0.01,0,D264-E264)</f>
        <v/>
      </c>
      <c r="G264" s="48">
        <f>IF(C264&lt;=0.01,0,MAX(ROUND(C264-F264,2),0))</f>
        <v/>
      </c>
      <c r="H264" s="50">
        <f>IFERROR(IF(Calculadora!$C$6&gt;0,1-(G264/Calculadora!$C$6),0),0)</f>
        <v/>
      </c>
    </row>
    <row r="265" ht="18" customHeight="1">
      <c r="A265" s="46" t="n">
        <v>261</v>
      </c>
      <c r="B265" s="47">
        <f>IFERROR(IF(C265&lt;=0.01,"",EDATE(B264,1)),"")</f>
        <v/>
      </c>
      <c r="C265" s="48">
        <f>IF(G264&lt;=0.01,0,G264)</f>
        <v/>
      </c>
      <c r="D265" s="48">
        <f>IF(C265&lt;=0.01,0,IF(A265&lt;Calculadora!$C$8,E265,E265+C265))</f>
        <v/>
      </c>
      <c r="E265" s="49">
        <f>IF(C265&lt;=0.01,0,ROUND(C265*Calculadora!$C$7/12,2))</f>
        <v/>
      </c>
      <c r="F265" s="48">
        <f>IF(C265&lt;=0.01,0,D265-E265)</f>
        <v/>
      </c>
      <c r="G265" s="48">
        <f>IF(C265&lt;=0.01,0,MAX(ROUND(C265-F265,2),0))</f>
        <v/>
      </c>
      <c r="H265" s="50">
        <f>IFERROR(IF(Calculadora!$C$6&gt;0,1-(G265/Calculadora!$C$6),0),0)</f>
        <v/>
      </c>
    </row>
    <row r="266" ht="18" customHeight="1">
      <c r="A266" s="46" t="n">
        <v>262</v>
      </c>
      <c r="B266" s="47">
        <f>IFERROR(IF(C266&lt;=0.01,"",EDATE(B265,1)),"")</f>
        <v/>
      </c>
      <c r="C266" s="48">
        <f>IF(G265&lt;=0.01,0,G265)</f>
        <v/>
      </c>
      <c r="D266" s="48">
        <f>IF(C266&lt;=0.01,0,IF(A266&lt;Calculadora!$C$8,E266,E266+C266))</f>
        <v/>
      </c>
      <c r="E266" s="49">
        <f>IF(C266&lt;=0.01,0,ROUND(C266*Calculadora!$C$7/12,2))</f>
        <v/>
      </c>
      <c r="F266" s="48">
        <f>IF(C266&lt;=0.01,0,D266-E266)</f>
        <v/>
      </c>
      <c r="G266" s="48">
        <f>IF(C266&lt;=0.01,0,MAX(ROUND(C266-F266,2),0))</f>
        <v/>
      </c>
      <c r="H266" s="50">
        <f>IFERROR(IF(Calculadora!$C$6&gt;0,1-(G266/Calculadora!$C$6),0),0)</f>
        <v/>
      </c>
    </row>
    <row r="267" ht="18" customHeight="1">
      <c r="A267" s="46" t="n">
        <v>263</v>
      </c>
      <c r="B267" s="47">
        <f>IFERROR(IF(C267&lt;=0.01,"",EDATE(B266,1)),"")</f>
        <v/>
      </c>
      <c r="C267" s="48">
        <f>IF(G266&lt;=0.01,0,G266)</f>
        <v/>
      </c>
      <c r="D267" s="48">
        <f>IF(C267&lt;=0.01,0,IF(A267&lt;Calculadora!$C$8,E267,E267+C267))</f>
        <v/>
      </c>
      <c r="E267" s="49">
        <f>IF(C267&lt;=0.01,0,ROUND(C267*Calculadora!$C$7/12,2))</f>
        <v/>
      </c>
      <c r="F267" s="48">
        <f>IF(C267&lt;=0.01,0,D267-E267)</f>
        <v/>
      </c>
      <c r="G267" s="48">
        <f>IF(C267&lt;=0.01,0,MAX(ROUND(C267-F267,2),0))</f>
        <v/>
      </c>
      <c r="H267" s="50">
        <f>IFERROR(IF(Calculadora!$C$6&gt;0,1-(G267/Calculadora!$C$6),0),0)</f>
        <v/>
      </c>
    </row>
    <row r="268" ht="18" customHeight="1">
      <c r="A268" s="46" t="n">
        <v>264</v>
      </c>
      <c r="B268" s="47">
        <f>IFERROR(IF(C268&lt;=0.01,"",EDATE(B267,1)),"")</f>
        <v/>
      </c>
      <c r="C268" s="48">
        <f>IF(G267&lt;=0.01,0,G267)</f>
        <v/>
      </c>
      <c r="D268" s="48">
        <f>IF(C268&lt;=0.01,0,IF(A268&lt;Calculadora!$C$8,E268,E268+C268))</f>
        <v/>
      </c>
      <c r="E268" s="49">
        <f>IF(C268&lt;=0.01,0,ROUND(C268*Calculadora!$C$7/12,2))</f>
        <v/>
      </c>
      <c r="F268" s="48">
        <f>IF(C268&lt;=0.01,0,D268-E268)</f>
        <v/>
      </c>
      <c r="G268" s="48">
        <f>IF(C268&lt;=0.01,0,MAX(ROUND(C268-F268,2),0))</f>
        <v/>
      </c>
      <c r="H268" s="50">
        <f>IFERROR(IF(Calculadora!$C$6&gt;0,1-(G268/Calculadora!$C$6),0),0)</f>
        <v/>
      </c>
    </row>
    <row r="269" ht="18" customHeight="1">
      <c r="A269" s="46" t="n">
        <v>265</v>
      </c>
      <c r="B269" s="47">
        <f>IFERROR(IF(C269&lt;=0.01,"",EDATE(B268,1)),"")</f>
        <v/>
      </c>
      <c r="C269" s="48">
        <f>IF(G268&lt;=0.01,0,G268)</f>
        <v/>
      </c>
      <c r="D269" s="48">
        <f>IF(C269&lt;=0.01,0,IF(A269&lt;Calculadora!$C$8,E269,E269+C269))</f>
        <v/>
      </c>
      <c r="E269" s="49">
        <f>IF(C269&lt;=0.01,0,ROUND(C269*Calculadora!$C$7/12,2))</f>
        <v/>
      </c>
      <c r="F269" s="48">
        <f>IF(C269&lt;=0.01,0,D269-E269)</f>
        <v/>
      </c>
      <c r="G269" s="48">
        <f>IF(C269&lt;=0.01,0,MAX(ROUND(C269-F269,2),0))</f>
        <v/>
      </c>
      <c r="H269" s="50">
        <f>IFERROR(IF(Calculadora!$C$6&gt;0,1-(G269/Calculadora!$C$6),0),0)</f>
        <v/>
      </c>
    </row>
    <row r="270" ht="18" customHeight="1">
      <c r="A270" s="46" t="n">
        <v>266</v>
      </c>
      <c r="B270" s="47">
        <f>IFERROR(IF(C270&lt;=0.01,"",EDATE(B269,1)),"")</f>
        <v/>
      </c>
      <c r="C270" s="48">
        <f>IF(G269&lt;=0.01,0,G269)</f>
        <v/>
      </c>
      <c r="D270" s="48">
        <f>IF(C270&lt;=0.01,0,IF(A270&lt;Calculadora!$C$8,E270,E270+C270))</f>
        <v/>
      </c>
      <c r="E270" s="49">
        <f>IF(C270&lt;=0.01,0,ROUND(C270*Calculadora!$C$7/12,2))</f>
        <v/>
      </c>
      <c r="F270" s="48">
        <f>IF(C270&lt;=0.01,0,D270-E270)</f>
        <v/>
      </c>
      <c r="G270" s="48">
        <f>IF(C270&lt;=0.01,0,MAX(ROUND(C270-F270,2),0))</f>
        <v/>
      </c>
      <c r="H270" s="50">
        <f>IFERROR(IF(Calculadora!$C$6&gt;0,1-(G270/Calculadora!$C$6),0),0)</f>
        <v/>
      </c>
    </row>
    <row r="271" ht="18" customHeight="1">
      <c r="A271" s="46" t="n">
        <v>267</v>
      </c>
      <c r="B271" s="47">
        <f>IFERROR(IF(C271&lt;=0.01,"",EDATE(B270,1)),"")</f>
        <v/>
      </c>
      <c r="C271" s="48">
        <f>IF(G270&lt;=0.01,0,G270)</f>
        <v/>
      </c>
      <c r="D271" s="48">
        <f>IF(C271&lt;=0.01,0,IF(A271&lt;Calculadora!$C$8,E271,E271+C271))</f>
        <v/>
      </c>
      <c r="E271" s="49">
        <f>IF(C271&lt;=0.01,0,ROUND(C271*Calculadora!$C$7/12,2))</f>
        <v/>
      </c>
      <c r="F271" s="48">
        <f>IF(C271&lt;=0.01,0,D271-E271)</f>
        <v/>
      </c>
      <c r="G271" s="48">
        <f>IF(C271&lt;=0.01,0,MAX(ROUND(C271-F271,2),0))</f>
        <v/>
      </c>
      <c r="H271" s="50">
        <f>IFERROR(IF(Calculadora!$C$6&gt;0,1-(G271/Calculadora!$C$6),0),0)</f>
        <v/>
      </c>
    </row>
    <row r="272" ht="18" customHeight="1">
      <c r="A272" s="46" t="n">
        <v>268</v>
      </c>
      <c r="B272" s="47">
        <f>IFERROR(IF(C272&lt;=0.01,"",EDATE(B271,1)),"")</f>
        <v/>
      </c>
      <c r="C272" s="48">
        <f>IF(G271&lt;=0.01,0,G271)</f>
        <v/>
      </c>
      <c r="D272" s="48">
        <f>IF(C272&lt;=0.01,0,IF(A272&lt;Calculadora!$C$8,E272,E272+C272))</f>
        <v/>
      </c>
      <c r="E272" s="49">
        <f>IF(C272&lt;=0.01,0,ROUND(C272*Calculadora!$C$7/12,2))</f>
        <v/>
      </c>
      <c r="F272" s="48">
        <f>IF(C272&lt;=0.01,0,D272-E272)</f>
        <v/>
      </c>
      <c r="G272" s="48">
        <f>IF(C272&lt;=0.01,0,MAX(ROUND(C272-F272,2),0))</f>
        <v/>
      </c>
      <c r="H272" s="50">
        <f>IFERROR(IF(Calculadora!$C$6&gt;0,1-(G272/Calculadora!$C$6),0),0)</f>
        <v/>
      </c>
    </row>
    <row r="273" ht="18" customHeight="1">
      <c r="A273" s="46" t="n">
        <v>269</v>
      </c>
      <c r="B273" s="47">
        <f>IFERROR(IF(C273&lt;=0.01,"",EDATE(B272,1)),"")</f>
        <v/>
      </c>
      <c r="C273" s="48">
        <f>IF(G272&lt;=0.01,0,G272)</f>
        <v/>
      </c>
      <c r="D273" s="48">
        <f>IF(C273&lt;=0.01,0,IF(A273&lt;Calculadora!$C$8,E273,E273+C273))</f>
        <v/>
      </c>
      <c r="E273" s="49">
        <f>IF(C273&lt;=0.01,0,ROUND(C273*Calculadora!$C$7/12,2))</f>
        <v/>
      </c>
      <c r="F273" s="48">
        <f>IF(C273&lt;=0.01,0,D273-E273)</f>
        <v/>
      </c>
      <c r="G273" s="48">
        <f>IF(C273&lt;=0.01,0,MAX(ROUND(C273-F273,2),0))</f>
        <v/>
      </c>
      <c r="H273" s="50">
        <f>IFERROR(IF(Calculadora!$C$6&gt;0,1-(G273/Calculadora!$C$6),0),0)</f>
        <v/>
      </c>
    </row>
    <row r="274" ht="18" customHeight="1">
      <c r="A274" s="46" t="n">
        <v>270</v>
      </c>
      <c r="B274" s="47">
        <f>IFERROR(IF(C274&lt;=0.01,"",EDATE(B273,1)),"")</f>
        <v/>
      </c>
      <c r="C274" s="48">
        <f>IF(G273&lt;=0.01,0,G273)</f>
        <v/>
      </c>
      <c r="D274" s="48">
        <f>IF(C274&lt;=0.01,0,IF(A274&lt;Calculadora!$C$8,E274,E274+C274))</f>
        <v/>
      </c>
      <c r="E274" s="49">
        <f>IF(C274&lt;=0.01,0,ROUND(C274*Calculadora!$C$7/12,2))</f>
        <v/>
      </c>
      <c r="F274" s="48">
        <f>IF(C274&lt;=0.01,0,D274-E274)</f>
        <v/>
      </c>
      <c r="G274" s="48">
        <f>IF(C274&lt;=0.01,0,MAX(ROUND(C274-F274,2),0))</f>
        <v/>
      </c>
      <c r="H274" s="50">
        <f>IFERROR(IF(Calculadora!$C$6&gt;0,1-(G274/Calculadora!$C$6),0),0)</f>
        <v/>
      </c>
    </row>
    <row r="275" ht="18" customHeight="1">
      <c r="A275" s="46" t="n">
        <v>271</v>
      </c>
      <c r="B275" s="47">
        <f>IFERROR(IF(C275&lt;=0.01,"",EDATE(B274,1)),"")</f>
        <v/>
      </c>
      <c r="C275" s="48">
        <f>IF(G274&lt;=0.01,0,G274)</f>
        <v/>
      </c>
      <c r="D275" s="48">
        <f>IF(C275&lt;=0.01,0,IF(A275&lt;Calculadora!$C$8,E275,E275+C275))</f>
        <v/>
      </c>
      <c r="E275" s="49">
        <f>IF(C275&lt;=0.01,0,ROUND(C275*Calculadora!$C$7/12,2))</f>
        <v/>
      </c>
      <c r="F275" s="48">
        <f>IF(C275&lt;=0.01,0,D275-E275)</f>
        <v/>
      </c>
      <c r="G275" s="48">
        <f>IF(C275&lt;=0.01,0,MAX(ROUND(C275-F275,2),0))</f>
        <v/>
      </c>
      <c r="H275" s="50">
        <f>IFERROR(IF(Calculadora!$C$6&gt;0,1-(G275/Calculadora!$C$6),0),0)</f>
        <v/>
      </c>
    </row>
    <row r="276" ht="18" customHeight="1">
      <c r="A276" s="46" t="n">
        <v>272</v>
      </c>
      <c r="B276" s="47">
        <f>IFERROR(IF(C276&lt;=0.01,"",EDATE(B275,1)),"")</f>
        <v/>
      </c>
      <c r="C276" s="48">
        <f>IF(G275&lt;=0.01,0,G275)</f>
        <v/>
      </c>
      <c r="D276" s="48">
        <f>IF(C276&lt;=0.01,0,IF(A276&lt;Calculadora!$C$8,E276,E276+C276))</f>
        <v/>
      </c>
      <c r="E276" s="49">
        <f>IF(C276&lt;=0.01,0,ROUND(C276*Calculadora!$C$7/12,2))</f>
        <v/>
      </c>
      <c r="F276" s="48">
        <f>IF(C276&lt;=0.01,0,D276-E276)</f>
        <v/>
      </c>
      <c r="G276" s="48">
        <f>IF(C276&lt;=0.01,0,MAX(ROUND(C276-F276,2),0))</f>
        <v/>
      </c>
      <c r="H276" s="50">
        <f>IFERROR(IF(Calculadora!$C$6&gt;0,1-(G276/Calculadora!$C$6),0),0)</f>
        <v/>
      </c>
    </row>
    <row r="277" ht="18" customHeight="1">
      <c r="A277" s="46" t="n">
        <v>273</v>
      </c>
      <c r="B277" s="47">
        <f>IFERROR(IF(C277&lt;=0.01,"",EDATE(B276,1)),"")</f>
        <v/>
      </c>
      <c r="C277" s="48">
        <f>IF(G276&lt;=0.01,0,G276)</f>
        <v/>
      </c>
      <c r="D277" s="48">
        <f>IF(C277&lt;=0.01,0,IF(A277&lt;Calculadora!$C$8,E277,E277+C277))</f>
        <v/>
      </c>
      <c r="E277" s="49">
        <f>IF(C277&lt;=0.01,0,ROUND(C277*Calculadora!$C$7/12,2))</f>
        <v/>
      </c>
      <c r="F277" s="48">
        <f>IF(C277&lt;=0.01,0,D277-E277)</f>
        <v/>
      </c>
      <c r="G277" s="48">
        <f>IF(C277&lt;=0.01,0,MAX(ROUND(C277-F277,2),0))</f>
        <v/>
      </c>
      <c r="H277" s="50">
        <f>IFERROR(IF(Calculadora!$C$6&gt;0,1-(G277/Calculadora!$C$6),0),0)</f>
        <v/>
      </c>
    </row>
    <row r="278" ht="18" customHeight="1">
      <c r="A278" s="46" t="n">
        <v>274</v>
      </c>
      <c r="B278" s="47">
        <f>IFERROR(IF(C278&lt;=0.01,"",EDATE(B277,1)),"")</f>
        <v/>
      </c>
      <c r="C278" s="48">
        <f>IF(G277&lt;=0.01,0,G277)</f>
        <v/>
      </c>
      <c r="D278" s="48">
        <f>IF(C278&lt;=0.01,0,IF(A278&lt;Calculadora!$C$8,E278,E278+C278))</f>
        <v/>
      </c>
      <c r="E278" s="49">
        <f>IF(C278&lt;=0.01,0,ROUND(C278*Calculadora!$C$7/12,2))</f>
        <v/>
      </c>
      <c r="F278" s="48">
        <f>IF(C278&lt;=0.01,0,D278-E278)</f>
        <v/>
      </c>
      <c r="G278" s="48">
        <f>IF(C278&lt;=0.01,0,MAX(ROUND(C278-F278,2),0))</f>
        <v/>
      </c>
      <c r="H278" s="50">
        <f>IFERROR(IF(Calculadora!$C$6&gt;0,1-(G278/Calculadora!$C$6),0),0)</f>
        <v/>
      </c>
    </row>
    <row r="279" ht="18" customHeight="1">
      <c r="A279" s="46" t="n">
        <v>275</v>
      </c>
      <c r="B279" s="47">
        <f>IFERROR(IF(C279&lt;=0.01,"",EDATE(B278,1)),"")</f>
        <v/>
      </c>
      <c r="C279" s="48">
        <f>IF(G278&lt;=0.01,0,G278)</f>
        <v/>
      </c>
      <c r="D279" s="48">
        <f>IF(C279&lt;=0.01,0,IF(A279&lt;Calculadora!$C$8,E279,E279+C279))</f>
        <v/>
      </c>
      <c r="E279" s="49">
        <f>IF(C279&lt;=0.01,0,ROUND(C279*Calculadora!$C$7/12,2))</f>
        <v/>
      </c>
      <c r="F279" s="48">
        <f>IF(C279&lt;=0.01,0,D279-E279)</f>
        <v/>
      </c>
      <c r="G279" s="48">
        <f>IF(C279&lt;=0.01,0,MAX(ROUND(C279-F279,2),0))</f>
        <v/>
      </c>
      <c r="H279" s="50">
        <f>IFERROR(IF(Calculadora!$C$6&gt;0,1-(G279/Calculadora!$C$6),0),0)</f>
        <v/>
      </c>
    </row>
    <row r="280" ht="18" customHeight="1">
      <c r="A280" s="46" t="n">
        <v>276</v>
      </c>
      <c r="B280" s="47">
        <f>IFERROR(IF(C280&lt;=0.01,"",EDATE(B279,1)),"")</f>
        <v/>
      </c>
      <c r="C280" s="48">
        <f>IF(G279&lt;=0.01,0,G279)</f>
        <v/>
      </c>
      <c r="D280" s="48">
        <f>IF(C280&lt;=0.01,0,IF(A280&lt;Calculadora!$C$8,E280,E280+C280))</f>
        <v/>
      </c>
      <c r="E280" s="49">
        <f>IF(C280&lt;=0.01,0,ROUND(C280*Calculadora!$C$7/12,2))</f>
        <v/>
      </c>
      <c r="F280" s="48">
        <f>IF(C280&lt;=0.01,0,D280-E280)</f>
        <v/>
      </c>
      <c r="G280" s="48">
        <f>IF(C280&lt;=0.01,0,MAX(ROUND(C280-F280,2),0))</f>
        <v/>
      </c>
      <c r="H280" s="50">
        <f>IFERROR(IF(Calculadora!$C$6&gt;0,1-(G280/Calculadora!$C$6),0),0)</f>
        <v/>
      </c>
    </row>
    <row r="281" ht="18" customHeight="1">
      <c r="A281" s="46" t="n">
        <v>277</v>
      </c>
      <c r="B281" s="47">
        <f>IFERROR(IF(C281&lt;=0.01,"",EDATE(B280,1)),"")</f>
        <v/>
      </c>
      <c r="C281" s="48">
        <f>IF(G280&lt;=0.01,0,G280)</f>
        <v/>
      </c>
      <c r="D281" s="48">
        <f>IF(C281&lt;=0.01,0,IF(A281&lt;Calculadora!$C$8,E281,E281+C281))</f>
        <v/>
      </c>
      <c r="E281" s="49">
        <f>IF(C281&lt;=0.01,0,ROUND(C281*Calculadora!$C$7/12,2))</f>
        <v/>
      </c>
      <c r="F281" s="48">
        <f>IF(C281&lt;=0.01,0,D281-E281)</f>
        <v/>
      </c>
      <c r="G281" s="48">
        <f>IF(C281&lt;=0.01,0,MAX(ROUND(C281-F281,2),0))</f>
        <v/>
      </c>
      <c r="H281" s="50">
        <f>IFERROR(IF(Calculadora!$C$6&gt;0,1-(G281/Calculadora!$C$6),0),0)</f>
        <v/>
      </c>
    </row>
    <row r="282" ht="18" customHeight="1">
      <c r="A282" s="46" t="n">
        <v>278</v>
      </c>
      <c r="B282" s="47">
        <f>IFERROR(IF(C282&lt;=0.01,"",EDATE(B281,1)),"")</f>
        <v/>
      </c>
      <c r="C282" s="48">
        <f>IF(G281&lt;=0.01,0,G281)</f>
        <v/>
      </c>
      <c r="D282" s="48">
        <f>IF(C282&lt;=0.01,0,IF(A282&lt;Calculadora!$C$8,E282,E282+C282))</f>
        <v/>
      </c>
      <c r="E282" s="49">
        <f>IF(C282&lt;=0.01,0,ROUND(C282*Calculadora!$C$7/12,2))</f>
        <v/>
      </c>
      <c r="F282" s="48">
        <f>IF(C282&lt;=0.01,0,D282-E282)</f>
        <v/>
      </c>
      <c r="G282" s="48">
        <f>IF(C282&lt;=0.01,0,MAX(ROUND(C282-F282,2),0))</f>
        <v/>
      </c>
      <c r="H282" s="50">
        <f>IFERROR(IF(Calculadora!$C$6&gt;0,1-(G282/Calculadora!$C$6),0),0)</f>
        <v/>
      </c>
    </row>
    <row r="283" ht="18" customHeight="1">
      <c r="A283" s="46" t="n">
        <v>279</v>
      </c>
      <c r="B283" s="47">
        <f>IFERROR(IF(C283&lt;=0.01,"",EDATE(B282,1)),"")</f>
        <v/>
      </c>
      <c r="C283" s="48">
        <f>IF(G282&lt;=0.01,0,G282)</f>
        <v/>
      </c>
      <c r="D283" s="48">
        <f>IF(C283&lt;=0.01,0,IF(A283&lt;Calculadora!$C$8,E283,E283+C283))</f>
        <v/>
      </c>
      <c r="E283" s="49">
        <f>IF(C283&lt;=0.01,0,ROUND(C283*Calculadora!$C$7/12,2))</f>
        <v/>
      </c>
      <c r="F283" s="48">
        <f>IF(C283&lt;=0.01,0,D283-E283)</f>
        <v/>
      </c>
      <c r="G283" s="48">
        <f>IF(C283&lt;=0.01,0,MAX(ROUND(C283-F283,2),0))</f>
        <v/>
      </c>
      <c r="H283" s="50">
        <f>IFERROR(IF(Calculadora!$C$6&gt;0,1-(G283/Calculadora!$C$6),0),0)</f>
        <v/>
      </c>
    </row>
    <row r="284" ht="18" customHeight="1">
      <c r="A284" s="46" t="n">
        <v>280</v>
      </c>
      <c r="B284" s="47">
        <f>IFERROR(IF(C284&lt;=0.01,"",EDATE(B283,1)),"")</f>
        <v/>
      </c>
      <c r="C284" s="48">
        <f>IF(G283&lt;=0.01,0,G283)</f>
        <v/>
      </c>
      <c r="D284" s="48">
        <f>IF(C284&lt;=0.01,0,IF(A284&lt;Calculadora!$C$8,E284,E284+C284))</f>
        <v/>
      </c>
      <c r="E284" s="49">
        <f>IF(C284&lt;=0.01,0,ROUND(C284*Calculadora!$C$7/12,2))</f>
        <v/>
      </c>
      <c r="F284" s="48">
        <f>IF(C284&lt;=0.01,0,D284-E284)</f>
        <v/>
      </c>
      <c r="G284" s="48">
        <f>IF(C284&lt;=0.01,0,MAX(ROUND(C284-F284,2),0))</f>
        <v/>
      </c>
      <c r="H284" s="50">
        <f>IFERROR(IF(Calculadora!$C$6&gt;0,1-(G284/Calculadora!$C$6),0),0)</f>
        <v/>
      </c>
    </row>
    <row r="285" ht="18" customHeight="1">
      <c r="A285" s="46" t="n">
        <v>281</v>
      </c>
      <c r="B285" s="47">
        <f>IFERROR(IF(C285&lt;=0.01,"",EDATE(B284,1)),"")</f>
        <v/>
      </c>
      <c r="C285" s="48">
        <f>IF(G284&lt;=0.01,0,G284)</f>
        <v/>
      </c>
      <c r="D285" s="48">
        <f>IF(C285&lt;=0.01,0,IF(A285&lt;Calculadora!$C$8,E285,E285+C285))</f>
        <v/>
      </c>
      <c r="E285" s="49">
        <f>IF(C285&lt;=0.01,0,ROUND(C285*Calculadora!$C$7/12,2))</f>
        <v/>
      </c>
      <c r="F285" s="48">
        <f>IF(C285&lt;=0.01,0,D285-E285)</f>
        <v/>
      </c>
      <c r="G285" s="48">
        <f>IF(C285&lt;=0.01,0,MAX(ROUND(C285-F285,2),0))</f>
        <v/>
      </c>
      <c r="H285" s="50">
        <f>IFERROR(IF(Calculadora!$C$6&gt;0,1-(G285/Calculadora!$C$6),0),0)</f>
        <v/>
      </c>
    </row>
    <row r="286" ht="18" customHeight="1">
      <c r="A286" s="46" t="n">
        <v>282</v>
      </c>
      <c r="B286" s="47">
        <f>IFERROR(IF(C286&lt;=0.01,"",EDATE(B285,1)),"")</f>
        <v/>
      </c>
      <c r="C286" s="48">
        <f>IF(G285&lt;=0.01,0,G285)</f>
        <v/>
      </c>
      <c r="D286" s="48">
        <f>IF(C286&lt;=0.01,0,IF(A286&lt;Calculadora!$C$8,E286,E286+C286))</f>
        <v/>
      </c>
      <c r="E286" s="49">
        <f>IF(C286&lt;=0.01,0,ROUND(C286*Calculadora!$C$7/12,2))</f>
        <v/>
      </c>
      <c r="F286" s="48">
        <f>IF(C286&lt;=0.01,0,D286-E286)</f>
        <v/>
      </c>
      <c r="G286" s="48">
        <f>IF(C286&lt;=0.01,0,MAX(ROUND(C286-F286,2),0))</f>
        <v/>
      </c>
      <c r="H286" s="50">
        <f>IFERROR(IF(Calculadora!$C$6&gt;0,1-(G286/Calculadora!$C$6),0),0)</f>
        <v/>
      </c>
    </row>
    <row r="287" ht="18" customHeight="1">
      <c r="A287" s="46" t="n">
        <v>283</v>
      </c>
      <c r="B287" s="47">
        <f>IFERROR(IF(C287&lt;=0.01,"",EDATE(B286,1)),"")</f>
        <v/>
      </c>
      <c r="C287" s="48">
        <f>IF(G286&lt;=0.01,0,G286)</f>
        <v/>
      </c>
      <c r="D287" s="48">
        <f>IF(C287&lt;=0.01,0,IF(A287&lt;Calculadora!$C$8,E287,E287+C287))</f>
        <v/>
      </c>
      <c r="E287" s="49">
        <f>IF(C287&lt;=0.01,0,ROUND(C287*Calculadora!$C$7/12,2))</f>
        <v/>
      </c>
      <c r="F287" s="48">
        <f>IF(C287&lt;=0.01,0,D287-E287)</f>
        <v/>
      </c>
      <c r="G287" s="48">
        <f>IF(C287&lt;=0.01,0,MAX(ROUND(C287-F287,2),0))</f>
        <v/>
      </c>
      <c r="H287" s="50">
        <f>IFERROR(IF(Calculadora!$C$6&gt;0,1-(G287/Calculadora!$C$6),0),0)</f>
        <v/>
      </c>
    </row>
    <row r="288" ht="18" customHeight="1">
      <c r="A288" s="46" t="n">
        <v>284</v>
      </c>
      <c r="B288" s="47">
        <f>IFERROR(IF(C288&lt;=0.01,"",EDATE(B287,1)),"")</f>
        <v/>
      </c>
      <c r="C288" s="48">
        <f>IF(G287&lt;=0.01,0,G287)</f>
        <v/>
      </c>
      <c r="D288" s="48">
        <f>IF(C288&lt;=0.01,0,IF(A288&lt;Calculadora!$C$8,E288,E288+C288))</f>
        <v/>
      </c>
      <c r="E288" s="49">
        <f>IF(C288&lt;=0.01,0,ROUND(C288*Calculadora!$C$7/12,2))</f>
        <v/>
      </c>
      <c r="F288" s="48">
        <f>IF(C288&lt;=0.01,0,D288-E288)</f>
        <v/>
      </c>
      <c r="G288" s="48">
        <f>IF(C288&lt;=0.01,0,MAX(ROUND(C288-F288,2),0))</f>
        <v/>
      </c>
      <c r="H288" s="50">
        <f>IFERROR(IF(Calculadora!$C$6&gt;0,1-(G288/Calculadora!$C$6),0),0)</f>
        <v/>
      </c>
    </row>
    <row r="289" ht="18" customHeight="1">
      <c r="A289" s="46" t="n">
        <v>285</v>
      </c>
      <c r="B289" s="47">
        <f>IFERROR(IF(C289&lt;=0.01,"",EDATE(B288,1)),"")</f>
        <v/>
      </c>
      <c r="C289" s="48">
        <f>IF(G288&lt;=0.01,0,G288)</f>
        <v/>
      </c>
      <c r="D289" s="48">
        <f>IF(C289&lt;=0.01,0,IF(A289&lt;Calculadora!$C$8,E289,E289+C289))</f>
        <v/>
      </c>
      <c r="E289" s="49">
        <f>IF(C289&lt;=0.01,0,ROUND(C289*Calculadora!$C$7/12,2))</f>
        <v/>
      </c>
      <c r="F289" s="48">
        <f>IF(C289&lt;=0.01,0,D289-E289)</f>
        <v/>
      </c>
      <c r="G289" s="48">
        <f>IF(C289&lt;=0.01,0,MAX(ROUND(C289-F289,2),0))</f>
        <v/>
      </c>
      <c r="H289" s="50">
        <f>IFERROR(IF(Calculadora!$C$6&gt;0,1-(G289/Calculadora!$C$6),0),0)</f>
        <v/>
      </c>
    </row>
    <row r="290" ht="18" customHeight="1">
      <c r="A290" s="46" t="n">
        <v>286</v>
      </c>
      <c r="B290" s="47">
        <f>IFERROR(IF(C290&lt;=0.01,"",EDATE(B289,1)),"")</f>
        <v/>
      </c>
      <c r="C290" s="48">
        <f>IF(G289&lt;=0.01,0,G289)</f>
        <v/>
      </c>
      <c r="D290" s="48">
        <f>IF(C290&lt;=0.01,0,IF(A290&lt;Calculadora!$C$8,E290,E290+C290))</f>
        <v/>
      </c>
      <c r="E290" s="49">
        <f>IF(C290&lt;=0.01,0,ROUND(C290*Calculadora!$C$7/12,2))</f>
        <v/>
      </c>
      <c r="F290" s="48">
        <f>IF(C290&lt;=0.01,0,D290-E290)</f>
        <v/>
      </c>
      <c r="G290" s="48">
        <f>IF(C290&lt;=0.01,0,MAX(ROUND(C290-F290,2),0))</f>
        <v/>
      </c>
      <c r="H290" s="50">
        <f>IFERROR(IF(Calculadora!$C$6&gt;0,1-(G290/Calculadora!$C$6),0),0)</f>
        <v/>
      </c>
    </row>
    <row r="291" ht="18" customHeight="1">
      <c r="A291" s="46" t="n">
        <v>287</v>
      </c>
      <c r="B291" s="47">
        <f>IFERROR(IF(C291&lt;=0.01,"",EDATE(B290,1)),"")</f>
        <v/>
      </c>
      <c r="C291" s="48">
        <f>IF(G290&lt;=0.01,0,G290)</f>
        <v/>
      </c>
      <c r="D291" s="48">
        <f>IF(C291&lt;=0.01,0,IF(A291&lt;Calculadora!$C$8,E291,E291+C291))</f>
        <v/>
      </c>
      <c r="E291" s="49">
        <f>IF(C291&lt;=0.01,0,ROUND(C291*Calculadora!$C$7/12,2))</f>
        <v/>
      </c>
      <c r="F291" s="48">
        <f>IF(C291&lt;=0.01,0,D291-E291)</f>
        <v/>
      </c>
      <c r="G291" s="48">
        <f>IF(C291&lt;=0.01,0,MAX(ROUND(C291-F291,2),0))</f>
        <v/>
      </c>
      <c r="H291" s="50">
        <f>IFERROR(IF(Calculadora!$C$6&gt;0,1-(G291/Calculadora!$C$6),0),0)</f>
        <v/>
      </c>
    </row>
    <row r="292" ht="18" customHeight="1">
      <c r="A292" s="46" t="n">
        <v>288</v>
      </c>
      <c r="B292" s="47">
        <f>IFERROR(IF(C292&lt;=0.01,"",EDATE(B291,1)),"")</f>
        <v/>
      </c>
      <c r="C292" s="48">
        <f>IF(G291&lt;=0.01,0,G291)</f>
        <v/>
      </c>
      <c r="D292" s="48">
        <f>IF(C292&lt;=0.01,0,IF(A292&lt;Calculadora!$C$8,E292,E292+C292))</f>
        <v/>
      </c>
      <c r="E292" s="49">
        <f>IF(C292&lt;=0.01,0,ROUND(C292*Calculadora!$C$7/12,2))</f>
        <v/>
      </c>
      <c r="F292" s="48">
        <f>IF(C292&lt;=0.01,0,D292-E292)</f>
        <v/>
      </c>
      <c r="G292" s="48">
        <f>IF(C292&lt;=0.01,0,MAX(ROUND(C292-F292,2),0))</f>
        <v/>
      </c>
      <c r="H292" s="50">
        <f>IFERROR(IF(Calculadora!$C$6&gt;0,1-(G292/Calculadora!$C$6),0),0)</f>
        <v/>
      </c>
    </row>
    <row r="293" ht="18" customHeight="1">
      <c r="A293" s="46" t="n">
        <v>289</v>
      </c>
      <c r="B293" s="47">
        <f>IFERROR(IF(C293&lt;=0.01,"",EDATE(B292,1)),"")</f>
        <v/>
      </c>
      <c r="C293" s="48">
        <f>IF(G292&lt;=0.01,0,G292)</f>
        <v/>
      </c>
      <c r="D293" s="48">
        <f>IF(C293&lt;=0.01,0,IF(A293&lt;Calculadora!$C$8,E293,E293+C293))</f>
        <v/>
      </c>
      <c r="E293" s="49">
        <f>IF(C293&lt;=0.01,0,ROUND(C293*Calculadora!$C$7/12,2))</f>
        <v/>
      </c>
      <c r="F293" s="48">
        <f>IF(C293&lt;=0.01,0,D293-E293)</f>
        <v/>
      </c>
      <c r="G293" s="48">
        <f>IF(C293&lt;=0.01,0,MAX(ROUND(C293-F293,2),0))</f>
        <v/>
      </c>
      <c r="H293" s="50">
        <f>IFERROR(IF(Calculadora!$C$6&gt;0,1-(G293/Calculadora!$C$6),0),0)</f>
        <v/>
      </c>
    </row>
    <row r="294" ht="18" customHeight="1">
      <c r="A294" s="46" t="n">
        <v>290</v>
      </c>
      <c r="B294" s="47">
        <f>IFERROR(IF(C294&lt;=0.01,"",EDATE(B293,1)),"")</f>
        <v/>
      </c>
      <c r="C294" s="48">
        <f>IF(G293&lt;=0.01,0,G293)</f>
        <v/>
      </c>
      <c r="D294" s="48">
        <f>IF(C294&lt;=0.01,0,IF(A294&lt;Calculadora!$C$8,E294,E294+C294))</f>
        <v/>
      </c>
      <c r="E294" s="49">
        <f>IF(C294&lt;=0.01,0,ROUND(C294*Calculadora!$C$7/12,2))</f>
        <v/>
      </c>
      <c r="F294" s="48">
        <f>IF(C294&lt;=0.01,0,D294-E294)</f>
        <v/>
      </c>
      <c r="G294" s="48">
        <f>IF(C294&lt;=0.01,0,MAX(ROUND(C294-F294,2),0))</f>
        <v/>
      </c>
      <c r="H294" s="50">
        <f>IFERROR(IF(Calculadora!$C$6&gt;0,1-(G294/Calculadora!$C$6),0),0)</f>
        <v/>
      </c>
    </row>
    <row r="295" ht="18" customHeight="1">
      <c r="A295" s="46" t="n">
        <v>291</v>
      </c>
      <c r="B295" s="47">
        <f>IFERROR(IF(C295&lt;=0.01,"",EDATE(B294,1)),"")</f>
        <v/>
      </c>
      <c r="C295" s="48">
        <f>IF(G294&lt;=0.01,0,G294)</f>
        <v/>
      </c>
      <c r="D295" s="48">
        <f>IF(C295&lt;=0.01,0,IF(A295&lt;Calculadora!$C$8,E295,E295+C295))</f>
        <v/>
      </c>
      <c r="E295" s="49">
        <f>IF(C295&lt;=0.01,0,ROUND(C295*Calculadora!$C$7/12,2))</f>
        <v/>
      </c>
      <c r="F295" s="48">
        <f>IF(C295&lt;=0.01,0,D295-E295)</f>
        <v/>
      </c>
      <c r="G295" s="48">
        <f>IF(C295&lt;=0.01,0,MAX(ROUND(C295-F295,2),0))</f>
        <v/>
      </c>
      <c r="H295" s="50">
        <f>IFERROR(IF(Calculadora!$C$6&gt;0,1-(G295/Calculadora!$C$6),0),0)</f>
        <v/>
      </c>
    </row>
    <row r="296" ht="18" customHeight="1">
      <c r="A296" s="46" t="n">
        <v>292</v>
      </c>
      <c r="B296" s="47">
        <f>IFERROR(IF(C296&lt;=0.01,"",EDATE(B295,1)),"")</f>
        <v/>
      </c>
      <c r="C296" s="48">
        <f>IF(G295&lt;=0.01,0,G295)</f>
        <v/>
      </c>
      <c r="D296" s="48">
        <f>IF(C296&lt;=0.01,0,IF(A296&lt;Calculadora!$C$8,E296,E296+C296))</f>
        <v/>
      </c>
      <c r="E296" s="49">
        <f>IF(C296&lt;=0.01,0,ROUND(C296*Calculadora!$C$7/12,2))</f>
        <v/>
      </c>
      <c r="F296" s="48">
        <f>IF(C296&lt;=0.01,0,D296-E296)</f>
        <v/>
      </c>
      <c r="G296" s="48">
        <f>IF(C296&lt;=0.01,0,MAX(ROUND(C296-F296,2),0))</f>
        <v/>
      </c>
      <c r="H296" s="50">
        <f>IFERROR(IF(Calculadora!$C$6&gt;0,1-(G296/Calculadora!$C$6),0),0)</f>
        <v/>
      </c>
    </row>
    <row r="297" ht="18" customHeight="1">
      <c r="A297" s="46" t="n">
        <v>293</v>
      </c>
      <c r="B297" s="47">
        <f>IFERROR(IF(C297&lt;=0.01,"",EDATE(B296,1)),"")</f>
        <v/>
      </c>
      <c r="C297" s="48">
        <f>IF(G296&lt;=0.01,0,G296)</f>
        <v/>
      </c>
      <c r="D297" s="48">
        <f>IF(C297&lt;=0.01,0,IF(A297&lt;Calculadora!$C$8,E297,E297+C297))</f>
        <v/>
      </c>
      <c r="E297" s="49">
        <f>IF(C297&lt;=0.01,0,ROUND(C297*Calculadora!$C$7/12,2))</f>
        <v/>
      </c>
      <c r="F297" s="48">
        <f>IF(C297&lt;=0.01,0,D297-E297)</f>
        <v/>
      </c>
      <c r="G297" s="48">
        <f>IF(C297&lt;=0.01,0,MAX(ROUND(C297-F297,2),0))</f>
        <v/>
      </c>
      <c r="H297" s="50">
        <f>IFERROR(IF(Calculadora!$C$6&gt;0,1-(G297/Calculadora!$C$6),0),0)</f>
        <v/>
      </c>
    </row>
    <row r="298" ht="18" customHeight="1">
      <c r="A298" s="46" t="n">
        <v>294</v>
      </c>
      <c r="B298" s="47">
        <f>IFERROR(IF(C298&lt;=0.01,"",EDATE(B297,1)),"")</f>
        <v/>
      </c>
      <c r="C298" s="48">
        <f>IF(G297&lt;=0.01,0,G297)</f>
        <v/>
      </c>
      <c r="D298" s="48">
        <f>IF(C298&lt;=0.01,0,IF(A298&lt;Calculadora!$C$8,E298,E298+C298))</f>
        <v/>
      </c>
      <c r="E298" s="49">
        <f>IF(C298&lt;=0.01,0,ROUND(C298*Calculadora!$C$7/12,2))</f>
        <v/>
      </c>
      <c r="F298" s="48">
        <f>IF(C298&lt;=0.01,0,D298-E298)</f>
        <v/>
      </c>
      <c r="G298" s="48">
        <f>IF(C298&lt;=0.01,0,MAX(ROUND(C298-F298,2),0))</f>
        <v/>
      </c>
      <c r="H298" s="50">
        <f>IFERROR(IF(Calculadora!$C$6&gt;0,1-(G298/Calculadora!$C$6),0),0)</f>
        <v/>
      </c>
    </row>
    <row r="299" ht="18" customHeight="1">
      <c r="A299" s="46" t="n">
        <v>295</v>
      </c>
      <c r="B299" s="47">
        <f>IFERROR(IF(C299&lt;=0.01,"",EDATE(B298,1)),"")</f>
        <v/>
      </c>
      <c r="C299" s="48">
        <f>IF(G298&lt;=0.01,0,G298)</f>
        <v/>
      </c>
      <c r="D299" s="48">
        <f>IF(C299&lt;=0.01,0,IF(A299&lt;Calculadora!$C$8,E299,E299+C299))</f>
        <v/>
      </c>
      <c r="E299" s="49">
        <f>IF(C299&lt;=0.01,0,ROUND(C299*Calculadora!$C$7/12,2))</f>
        <v/>
      </c>
      <c r="F299" s="48">
        <f>IF(C299&lt;=0.01,0,D299-E299)</f>
        <v/>
      </c>
      <c r="G299" s="48">
        <f>IF(C299&lt;=0.01,0,MAX(ROUND(C299-F299,2),0))</f>
        <v/>
      </c>
      <c r="H299" s="50">
        <f>IFERROR(IF(Calculadora!$C$6&gt;0,1-(G299/Calculadora!$C$6),0),0)</f>
        <v/>
      </c>
    </row>
    <row r="300" ht="18" customHeight="1">
      <c r="A300" s="46" t="n">
        <v>296</v>
      </c>
      <c r="B300" s="47">
        <f>IFERROR(IF(C300&lt;=0.01,"",EDATE(B299,1)),"")</f>
        <v/>
      </c>
      <c r="C300" s="48">
        <f>IF(G299&lt;=0.01,0,G299)</f>
        <v/>
      </c>
      <c r="D300" s="48">
        <f>IF(C300&lt;=0.01,0,IF(A300&lt;Calculadora!$C$8,E300,E300+C300))</f>
        <v/>
      </c>
      <c r="E300" s="49">
        <f>IF(C300&lt;=0.01,0,ROUND(C300*Calculadora!$C$7/12,2))</f>
        <v/>
      </c>
      <c r="F300" s="48">
        <f>IF(C300&lt;=0.01,0,D300-E300)</f>
        <v/>
      </c>
      <c r="G300" s="48">
        <f>IF(C300&lt;=0.01,0,MAX(ROUND(C300-F300,2),0))</f>
        <v/>
      </c>
      <c r="H300" s="50">
        <f>IFERROR(IF(Calculadora!$C$6&gt;0,1-(G300/Calculadora!$C$6),0),0)</f>
        <v/>
      </c>
    </row>
    <row r="301" ht="18" customHeight="1">
      <c r="A301" s="46" t="n">
        <v>297</v>
      </c>
      <c r="B301" s="47">
        <f>IFERROR(IF(C301&lt;=0.01,"",EDATE(B300,1)),"")</f>
        <v/>
      </c>
      <c r="C301" s="48">
        <f>IF(G300&lt;=0.01,0,G300)</f>
        <v/>
      </c>
      <c r="D301" s="48">
        <f>IF(C301&lt;=0.01,0,IF(A301&lt;Calculadora!$C$8,E301,E301+C301))</f>
        <v/>
      </c>
      <c r="E301" s="49">
        <f>IF(C301&lt;=0.01,0,ROUND(C301*Calculadora!$C$7/12,2))</f>
        <v/>
      </c>
      <c r="F301" s="48">
        <f>IF(C301&lt;=0.01,0,D301-E301)</f>
        <v/>
      </c>
      <c r="G301" s="48">
        <f>IF(C301&lt;=0.01,0,MAX(ROUND(C301-F301,2),0))</f>
        <v/>
      </c>
      <c r="H301" s="50">
        <f>IFERROR(IF(Calculadora!$C$6&gt;0,1-(G301/Calculadora!$C$6),0),0)</f>
        <v/>
      </c>
    </row>
    <row r="302" ht="18" customHeight="1">
      <c r="A302" s="46" t="n">
        <v>298</v>
      </c>
      <c r="B302" s="47">
        <f>IFERROR(IF(C302&lt;=0.01,"",EDATE(B301,1)),"")</f>
        <v/>
      </c>
      <c r="C302" s="48">
        <f>IF(G301&lt;=0.01,0,G301)</f>
        <v/>
      </c>
      <c r="D302" s="48">
        <f>IF(C302&lt;=0.01,0,IF(A302&lt;Calculadora!$C$8,E302,E302+C302))</f>
        <v/>
      </c>
      <c r="E302" s="49">
        <f>IF(C302&lt;=0.01,0,ROUND(C302*Calculadora!$C$7/12,2))</f>
        <v/>
      </c>
      <c r="F302" s="48">
        <f>IF(C302&lt;=0.01,0,D302-E302)</f>
        <v/>
      </c>
      <c r="G302" s="48">
        <f>IF(C302&lt;=0.01,0,MAX(ROUND(C302-F302,2),0))</f>
        <v/>
      </c>
      <c r="H302" s="50">
        <f>IFERROR(IF(Calculadora!$C$6&gt;0,1-(G302/Calculadora!$C$6),0),0)</f>
        <v/>
      </c>
    </row>
    <row r="303" ht="18" customHeight="1">
      <c r="A303" s="46" t="n">
        <v>299</v>
      </c>
      <c r="B303" s="47">
        <f>IFERROR(IF(C303&lt;=0.01,"",EDATE(B302,1)),"")</f>
        <v/>
      </c>
      <c r="C303" s="48">
        <f>IF(G302&lt;=0.01,0,G302)</f>
        <v/>
      </c>
      <c r="D303" s="48">
        <f>IF(C303&lt;=0.01,0,IF(A303&lt;Calculadora!$C$8,E303,E303+C303))</f>
        <v/>
      </c>
      <c r="E303" s="49">
        <f>IF(C303&lt;=0.01,0,ROUND(C303*Calculadora!$C$7/12,2))</f>
        <v/>
      </c>
      <c r="F303" s="48">
        <f>IF(C303&lt;=0.01,0,D303-E303)</f>
        <v/>
      </c>
      <c r="G303" s="48">
        <f>IF(C303&lt;=0.01,0,MAX(ROUND(C303-F303,2),0))</f>
        <v/>
      </c>
      <c r="H303" s="50">
        <f>IFERROR(IF(Calculadora!$C$6&gt;0,1-(G303/Calculadora!$C$6),0),0)</f>
        <v/>
      </c>
    </row>
    <row r="304" ht="18" customHeight="1">
      <c r="A304" s="46" t="n">
        <v>300</v>
      </c>
      <c r="B304" s="47">
        <f>IFERROR(IF(C304&lt;=0.01,"",EDATE(B303,1)),"")</f>
        <v/>
      </c>
      <c r="C304" s="48">
        <f>IF(G303&lt;=0.01,0,G303)</f>
        <v/>
      </c>
      <c r="D304" s="48">
        <f>IF(C304&lt;=0.01,0,IF(A304&lt;Calculadora!$C$8,E304,E304+C304))</f>
        <v/>
      </c>
      <c r="E304" s="49">
        <f>IF(C304&lt;=0.01,0,ROUND(C304*Calculadora!$C$7/12,2))</f>
        <v/>
      </c>
      <c r="F304" s="48">
        <f>IF(C304&lt;=0.01,0,D304-E304)</f>
        <v/>
      </c>
      <c r="G304" s="48">
        <f>IF(C304&lt;=0.01,0,MAX(ROUND(C304-F304,2),0))</f>
        <v/>
      </c>
      <c r="H304" s="50">
        <f>IFERROR(IF(Calculadora!$C$6&gt;0,1-(G304/Calculadora!$C$6),0),0)</f>
        <v/>
      </c>
    </row>
    <row r="305" ht="18" customHeight="1">
      <c r="A305" s="46" t="n">
        <v>301</v>
      </c>
      <c r="B305" s="47">
        <f>IFERROR(IF(C305&lt;=0.01,"",EDATE(B304,1)),"")</f>
        <v/>
      </c>
      <c r="C305" s="48">
        <f>IF(G304&lt;=0.01,0,G304)</f>
        <v/>
      </c>
      <c r="D305" s="48">
        <f>IF(C305&lt;=0.01,0,IF(A305&lt;Calculadora!$C$8,E305,E305+C305))</f>
        <v/>
      </c>
      <c r="E305" s="49">
        <f>IF(C305&lt;=0.01,0,ROUND(C305*Calculadora!$C$7/12,2))</f>
        <v/>
      </c>
      <c r="F305" s="48">
        <f>IF(C305&lt;=0.01,0,D305-E305)</f>
        <v/>
      </c>
      <c r="G305" s="48">
        <f>IF(C305&lt;=0.01,0,MAX(ROUND(C305-F305,2),0))</f>
        <v/>
      </c>
      <c r="H305" s="50">
        <f>IFERROR(IF(Calculadora!$C$6&gt;0,1-(G305/Calculadora!$C$6),0),0)</f>
        <v/>
      </c>
    </row>
    <row r="306" ht="18" customHeight="1">
      <c r="A306" s="46" t="n">
        <v>302</v>
      </c>
      <c r="B306" s="47">
        <f>IFERROR(IF(C306&lt;=0.01,"",EDATE(B305,1)),"")</f>
        <v/>
      </c>
      <c r="C306" s="48">
        <f>IF(G305&lt;=0.01,0,G305)</f>
        <v/>
      </c>
      <c r="D306" s="48">
        <f>IF(C306&lt;=0.01,0,IF(A306&lt;Calculadora!$C$8,E306,E306+C306))</f>
        <v/>
      </c>
      <c r="E306" s="49">
        <f>IF(C306&lt;=0.01,0,ROUND(C306*Calculadora!$C$7/12,2))</f>
        <v/>
      </c>
      <c r="F306" s="48">
        <f>IF(C306&lt;=0.01,0,D306-E306)</f>
        <v/>
      </c>
      <c r="G306" s="48">
        <f>IF(C306&lt;=0.01,0,MAX(ROUND(C306-F306,2),0))</f>
        <v/>
      </c>
      <c r="H306" s="50">
        <f>IFERROR(IF(Calculadora!$C$6&gt;0,1-(G306/Calculadora!$C$6),0),0)</f>
        <v/>
      </c>
    </row>
    <row r="307" ht="18" customHeight="1">
      <c r="A307" s="46" t="n">
        <v>303</v>
      </c>
      <c r="B307" s="47">
        <f>IFERROR(IF(C307&lt;=0.01,"",EDATE(B306,1)),"")</f>
        <v/>
      </c>
      <c r="C307" s="48">
        <f>IF(G306&lt;=0.01,0,G306)</f>
        <v/>
      </c>
      <c r="D307" s="48">
        <f>IF(C307&lt;=0.01,0,IF(A307&lt;Calculadora!$C$8,E307,E307+C307))</f>
        <v/>
      </c>
      <c r="E307" s="49">
        <f>IF(C307&lt;=0.01,0,ROUND(C307*Calculadora!$C$7/12,2))</f>
        <v/>
      </c>
      <c r="F307" s="48">
        <f>IF(C307&lt;=0.01,0,D307-E307)</f>
        <v/>
      </c>
      <c r="G307" s="48">
        <f>IF(C307&lt;=0.01,0,MAX(ROUND(C307-F307,2),0))</f>
        <v/>
      </c>
      <c r="H307" s="50">
        <f>IFERROR(IF(Calculadora!$C$6&gt;0,1-(G307/Calculadora!$C$6),0),0)</f>
        <v/>
      </c>
    </row>
    <row r="308" ht="18" customHeight="1">
      <c r="A308" s="46" t="n">
        <v>304</v>
      </c>
      <c r="B308" s="47">
        <f>IFERROR(IF(C308&lt;=0.01,"",EDATE(B307,1)),"")</f>
        <v/>
      </c>
      <c r="C308" s="48">
        <f>IF(G307&lt;=0.01,0,G307)</f>
        <v/>
      </c>
      <c r="D308" s="48">
        <f>IF(C308&lt;=0.01,0,IF(A308&lt;Calculadora!$C$8,E308,E308+C308))</f>
        <v/>
      </c>
      <c r="E308" s="49">
        <f>IF(C308&lt;=0.01,0,ROUND(C308*Calculadora!$C$7/12,2))</f>
        <v/>
      </c>
      <c r="F308" s="48">
        <f>IF(C308&lt;=0.01,0,D308-E308)</f>
        <v/>
      </c>
      <c r="G308" s="48">
        <f>IF(C308&lt;=0.01,0,MAX(ROUND(C308-F308,2),0))</f>
        <v/>
      </c>
      <c r="H308" s="50">
        <f>IFERROR(IF(Calculadora!$C$6&gt;0,1-(G308/Calculadora!$C$6),0),0)</f>
        <v/>
      </c>
    </row>
    <row r="309" ht="18" customHeight="1">
      <c r="A309" s="46" t="n">
        <v>305</v>
      </c>
      <c r="B309" s="47">
        <f>IFERROR(IF(C309&lt;=0.01,"",EDATE(B308,1)),"")</f>
        <v/>
      </c>
      <c r="C309" s="48">
        <f>IF(G308&lt;=0.01,0,G308)</f>
        <v/>
      </c>
      <c r="D309" s="48">
        <f>IF(C309&lt;=0.01,0,IF(A309&lt;Calculadora!$C$8,E309,E309+C309))</f>
        <v/>
      </c>
      <c r="E309" s="49">
        <f>IF(C309&lt;=0.01,0,ROUND(C309*Calculadora!$C$7/12,2))</f>
        <v/>
      </c>
      <c r="F309" s="48">
        <f>IF(C309&lt;=0.01,0,D309-E309)</f>
        <v/>
      </c>
      <c r="G309" s="48">
        <f>IF(C309&lt;=0.01,0,MAX(ROUND(C309-F309,2),0))</f>
        <v/>
      </c>
      <c r="H309" s="50">
        <f>IFERROR(IF(Calculadora!$C$6&gt;0,1-(G309/Calculadora!$C$6),0),0)</f>
        <v/>
      </c>
    </row>
    <row r="310" ht="18" customHeight="1">
      <c r="A310" s="46" t="n">
        <v>306</v>
      </c>
      <c r="B310" s="47">
        <f>IFERROR(IF(C310&lt;=0.01,"",EDATE(B309,1)),"")</f>
        <v/>
      </c>
      <c r="C310" s="48">
        <f>IF(G309&lt;=0.01,0,G309)</f>
        <v/>
      </c>
      <c r="D310" s="48">
        <f>IF(C310&lt;=0.01,0,IF(A310&lt;Calculadora!$C$8,E310,E310+C310))</f>
        <v/>
      </c>
      <c r="E310" s="49">
        <f>IF(C310&lt;=0.01,0,ROUND(C310*Calculadora!$C$7/12,2))</f>
        <v/>
      </c>
      <c r="F310" s="48">
        <f>IF(C310&lt;=0.01,0,D310-E310)</f>
        <v/>
      </c>
      <c r="G310" s="48">
        <f>IF(C310&lt;=0.01,0,MAX(ROUND(C310-F310,2),0))</f>
        <v/>
      </c>
      <c r="H310" s="50">
        <f>IFERROR(IF(Calculadora!$C$6&gt;0,1-(G310/Calculadora!$C$6),0),0)</f>
        <v/>
      </c>
    </row>
    <row r="311" ht="18" customHeight="1">
      <c r="A311" s="46" t="n">
        <v>307</v>
      </c>
      <c r="B311" s="47">
        <f>IFERROR(IF(C311&lt;=0.01,"",EDATE(B310,1)),"")</f>
        <v/>
      </c>
      <c r="C311" s="48">
        <f>IF(G310&lt;=0.01,0,G310)</f>
        <v/>
      </c>
      <c r="D311" s="48">
        <f>IF(C311&lt;=0.01,0,IF(A311&lt;Calculadora!$C$8,E311,E311+C311))</f>
        <v/>
      </c>
      <c r="E311" s="49">
        <f>IF(C311&lt;=0.01,0,ROUND(C311*Calculadora!$C$7/12,2))</f>
        <v/>
      </c>
      <c r="F311" s="48">
        <f>IF(C311&lt;=0.01,0,D311-E311)</f>
        <v/>
      </c>
      <c r="G311" s="48">
        <f>IF(C311&lt;=0.01,0,MAX(ROUND(C311-F311,2),0))</f>
        <v/>
      </c>
      <c r="H311" s="50">
        <f>IFERROR(IF(Calculadora!$C$6&gt;0,1-(G311/Calculadora!$C$6),0),0)</f>
        <v/>
      </c>
    </row>
    <row r="312" ht="18" customHeight="1">
      <c r="A312" s="46" t="n">
        <v>308</v>
      </c>
      <c r="B312" s="47">
        <f>IFERROR(IF(C312&lt;=0.01,"",EDATE(B311,1)),"")</f>
        <v/>
      </c>
      <c r="C312" s="48">
        <f>IF(G311&lt;=0.01,0,G311)</f>
        <v/>
      </c>
      <c r="D312" s="48">
        <f>IF(C312&lt;=0.01,0,IF(A312&lt;Calculadora!$C$8,E312,E312+C312))</f>
        <v/>
      </c>
      <c r="E312" s="49">
        <f>IF(C312&lt;=0.01,0,ROUND(C312*Calculadora!$C$7/12,2))</f>
        <v/>
      </c>
      <c r="F312" s="48">
        <f>IF(C312&lt;=0.01,0,D312-E312)</f>
        <v/>
      </c>
      <c r="G312" s="48">
        <f>IF(C312&lt;=0.01,0,MAX(ROUND(C312-F312,2),0))</f>
        <v/>
      </c>
      <c r="H312" s="50">
        <f>IFERROR(IF(Calculadora!$C$6&gt;0,1-(G312/Calculadora!$C$6),0),0)</f>
        <v/>
      </c>
    </row>
    <row r="313" ht="18" customHeight="1">
      <c r="A313" s="46" t="n">
        <v>309</v>
      </c>
      <c r="B313" s="47">
        <f>IFERROR(IF(C313&lt;=0.01,"",EDATE(B312,1)),"")</f>
        <v/>
      </c>
      <c r="C313" s="48">
        <f>IF(G312&lt;=0.01,0,G312)</f>
        <v/>
      </c>
      <c r="D313" s="48">
        <f>IF(C313&lt;=0.01,0,IF(A313&lt;Calculadora!$C$8,E313,E313+C313))</f>
        <v/>
      </c>
      <c r="E313" s="49">
        <f>IF(C313&lt;=0.01,0,ROUND(C313*Calculadora!$C$7/12,2))</f>
        <v/>
      </c>
      <c r="F313" s="48">
        <f>IF(C313&lt;=0.01,0,D313-E313)</f>
        <v/>
      </c>
      <c r="G313" s="48">
        <f>IF(C313&lt;=0.01,0,MAX(ROUND(C313-F313,2),0))</f>
        <v/>
      </c>
      <c r="H313" s="50">
        <f>IFERROR(IF(Calculadora!$C$6&gt;0,1-(G313/Calculadora!$C$6),0),0)</f>
        <v/>
      </c>
    </row>
    <row r="314" ht="18" customHeight="1">
      <c r="A314" s="46" t="n">
        <v>310</v>
      </c>
      <c r="B314" s="47">
        <f>IFERROR(IF(C314&lt;=0.01,"",EDATE(B313,1)),"")</f>
        <v/>
      </c>
      <c r="C314" s="48">
        <f>IF(G313&lt;=0.01,0,G313)</f>
        <v/>
      </c>
      <c r="D314" s="48">
        <f>IF(C314&lt;=0.01,0,IF(A314&lt;Calculadora!$C$8,E314,E314+C314))</f>
        <v/>
      </c>
      <c r="E314" s="49">
        <f>IF(C314&lt;=0.01,0,ROUND(C314*Calculadora!$C$7/12,2))</f>
        <v/>
      </c>
      <c r="F314" s="48">
        <f>IF(C314&lt;=0.01,0,D314-E314)</f>
        <v/>
      </c>
      <c r="G314" s="48">
        <f>IF(C314&lt;=0.01,0,MAX(ROUND(C314-F314,2),0))</f>
        <v/>
      </c>
      <c r="H314" s="50">
        <f>IFERROR(IF(Calculadora!$C$6&gt;0,1-(G314/Calculadora!$C$6),0),0)</f>
        <v/>
      </c>
    </row>
    <row r="315" ht="18" customHeight="1">
      <c r="A315" s="46" t="n">
        <v>311</v>
      </c>
      <c r="B315" s="47">
        <f>IFERROR(IF(C315&lt;=0.01,"",EDATE(B314,1)),"")</f>
        <v/>
      </c>
      <c r="C315" s="48">
        <f>IF(G314&lt;=0.01,0,G314)</f>
        <v/>
      </c>
      <c r="D315" s="48">
        <f>IF(C315&lt;=0.01,0,IF(A315&lt;Calculadora!$C$8,E315,E315+C315))</f>
        <v/>
      </c>
      <c r="E315" s="49">
        <f>IF(C315&lt;=0.01,0,ROUND(C315*Calculadora!$C$7/12,2))</f>
        <v/>
      </c>
      <c r="F315" s="48">
        <f>IF(C315&lt;=0.01,0,D315-E315)</f>
        <v/>
      </c>
      <c r="G315" s="48">
        <f>IF(C315&lt;=0.01,0,MAX(ROUND(C315-F315,2),0))</f>
        <v/>
      </c>
      <c r="H315" s="50">
        <f>IFERROR(IF(Calculadora!$C$6&gt;0,1-(G315/Calculadora!$C$6),0),0)</f>
        <v/>
      </c>
    </row>
    <row r="316" ht="18" customHeight="1">
      <c r="A316" s="46" t="n">
        <v>312</v>
      </c>
      <c r="B316" s="47">
        <f>IFERROR(IF(C316&lt;=0.01,"",EDATE(B315,1)),"")</f>
        <v/>
      </c>
      <c r="C316" s="48">
        <f>IF(G315&lt;=0.01,0,G315)</f>
        <v/>
      </c>
      <c r="D316" s="48">
        <f>IF(C316&lt;=0.01,0,IF(A316&lt;Calculadora!$C$8,E316,E316+C316))</f>
        <v/>
      </c>
      <c r="E316" s="49">
        <f>IF(C316&lt;=0.01,0,ROUND(C316*Calculadora!$C$7/12,2))</f>
        <v/>
      </c>
      <c r="F316" s="48">
        <f>IF(C316&lt;=0.01,0,D316-E316)</f>
        <v/>
      </c>
      <c r="G316" s="48">
        <f>IF(C316&lt;=0.01,0,MAX(ROUND(C316-F316,2),0))</f>
        <v/>
      </c>
      <c r="H316" s="50">
        <f>IFERROR(IF(Calculadora!$C$6&gt;0,1-(G316/Calculadora!$C$6),0),0)</f>
        <v/>
      </c>
    </row>
    <row r="317" ht="18" customHeight="1">
      <c r="A317" s="46" t="n">
        <v>313</v>
      </c>
      <c r="B317" s="47">
        <f>IFERROR(IF(C317&lt;=0.01,"",EDATE(B316,1)),"")</f>
        <v/>
      </c>
      <c r="C317" s="48">
        <f>IF(G316&lt;=0.01,0,G316)</f>
        <v/>
      </c>
      <c r="D317" s="48">
        <f>IF(C317&lt;=0.01,0,IF(A317&lt;Calculadora!$C$8,E317,E317+C317))</f>
        <v/>
      </c>
      <c r="E317" s="49">
        <f>IF(C317&lt;=0.01,0,ROUND(C317*Calculadora!$C$7/12,2))</f>
        <v/>
      </c>
      <c r="F317" s="48">
        <f>IF(C317&lt;=0.01,0,D317-E317)</f>
        <v/>
      </c>
      <c r="G317" s="48">
        <f>IF(C317&lt;=0.01,0,MAX(ROUND(C317-F317,2),0))</f>
        <v/>
      </c>
      <c r="H317" s="50">
        <f>IFERROR(IF(Calculadora!$C$6&gt;0,1-(G317/Calculadora!$C$6),0),0)</f>
        <v/>
      </c>
    </row>
    <row r="318" ht="18" customHeight="1">
      <c r="A318" s="46" t="n">
        <v>314</v>
      </c>
      <c r="B318" s="47">
        <f>IFERROR(IF(C318&lt;=0.01,"",EDATE(B317,1)),"")</f>
        <v/>
      </c>
      <c r="C318" s="48">
        <f>IF(G317&lt;=0.01,0,G317)</f>
        <v/>
      </c>
      <c r="D318" s="48">
        <f>IF(C318&lt;=0.01,0,IF(A318&lt;Calculadora!$C$8,E318,E318+C318))</f>
        <v/>
      </c>
      <c r="E318" s="49">
        <f>IF(C318&lt;=0.01,0,ROUND(C318*Calculadora!$C$7/12,2))</f>
        <v/>
      </c>
      <c r="F318" s="48">
        <f>IF(C318&lt;=0.01,0,D318-E318)</f>
        <v/>
      </c>
      <c r="G318" s="48">
        <f>IF(C318&lt;=0.01,0,MAX(ROUND(C318-F318,2),0))</f>
        <v/>
      </c>
      <c r="H318" s="50">
        <f>IFERROR(IF(Calculadora!$C$6&gt;0,1-(G318/Calculadora!$C$6),0),0)</f>
        <v/>
      </c>
    </row>
    <row r="319" ht="18" customHeight="1">
      <c r="A319" s="46" t="n">
        <v>315</v>
      </c>
      <c r="B319" s="47">
        <f>IFERROR(IF(C319&lt;=0.01,"",EDATE(B318,1)),"")</f>
        <v/>
      </c>
      <c r="C319" s="48">
        <f>IF(G318&lt;=0.01,0,G318)</f>
        <v/>
      </c>
      <c r="D319" s="48">
        <f>IF(C319&lt;=0.01,0,IF(A319&lt;Calculadora!$C$8,E319,E319+C319))</f>
        <v/>
      </c>
      <c r="E319" s="49">
        <f>IF(C319&lt;=0.01,0,ROUND(C319*Calculadora!$C$7/12,2))</f>
        <v/>
      </c>
      <c r="F319" s="48">
        <f>IF(C319&lt;=0.01,0,D319-E319)</f>
        <v/>
      </c>
      <c r="G319" s="48">
        <f>IF(C319&lt;=0.01,0,MAX(ROUND(C319-F319,2),0))</f>
        <v/>
      </c>
      <c r="H319" s="50">
        <f>IFERROR(IF(Calculadora!$C$6&gt;0,1-(G319/Calculadora!$C$6),0),0)</f>
        <v/>
      </c>
    </row>
    <row r="320" ht="18" customHeight="1">
      <c r="A320" s="46" t="n">
        <v>316</v>
      </c>
      <c r="B320" s="47">
        <f>IFERROR(IF(C320&lt;=0.01,"",EDATE(B319,1)),"")</f>
        <v/>
      </c>
      <c r="C320" s="48">
        <f>IF(G319&lt;=0.01,0,G319)</f>
        <v/>
      </c>
      <c r="D320" s="48">
        <f>IF(C320&lt;=0.01,0,IF(A320&lt;Calculadora!$C$8,E320,E320+C320))</f>
        <v/>
      </c>
      <c r="E320" s="49">
        <f>IF(C320&lt;=0.01,0,ROUND(C320*Calculadora!$C$7/12,2))</f>
        <v/>
      </c>
      <c r="F320" s="48">
        <f>IF(C320&lt;=0.01,0,D320-E320)</f>
        <v/>
      </c>
      <c r="G320" s="48">
        <f>IF(C320&lt;=0.01,0,MAX(ROUND(C320-F320,2),0))</f>
        <v/>
      </c>
      <c r="H320" s="50">
        <f>IFERROR(IF(Calculadora!$C$6&gt;0,1-(G320/Calculadora!$C$6),0),0)</f>
        <v/>
      </c>
    </row>
    <row r="321" ht="18" customHeight="1">
      <c r="A321" s="46" t="n">
        <v>317</v>
      </c>
      <c r="B321" s="47">
        <f>IFERROR(IF(C321&lt;=0.01,"",EDATE(B320,1)),"")</f>
        <v/>
      </c>
      <c r="C321" s="48">
        <f>IF(G320&lt;=0.01,0,G320)</f>
        <v/>
      </c>
      <c r="D321" s="48">
        <f>IF(C321&lt;=0.01,0,IF(A321&lt;Calculadora!$C$8,E321,E321+C321))</f>
        <v/>
      </c>
      <c r="E321" s="49">
        <f>IF(C321&lt;=0.01,0,ROUND(C321*Calculadora!$C$7/12,2))</f>
        <v/>
      </c>
      <c r="F321" s="48">
        <f>IF(C321&lt;=0.01,0,D321-E321)</f>
        <v/>
      </c>
      <c r="G321" s="48">
        <f>IF(C321&lt;=0.01,0,MAX(ROUND(C321-F321,2),0))</f>
        <v/>
      </c>
      <c r="H321" s="50">
        <f>IFERROR(IF(Calculadora!$C$6&gt;0,1-(G321/Calculadora!$C$6),0),0)</f>
        <v/>
      </c>
    </row>
    <row r="322" ht="18" customHeight="1">
      <c r="A322" s="46" t="n">
        <v>318</v>
      </c>
      <c r="B322" s="47">
        <f>IFERROR(IF(C322&lt;=0.01,"",EDATE(B321,1)),"")</f>
        <v/>
      </c>
      <c r="C322" s="48">
        <f>IF(G321&lt;=0.01,0,G321)</f>
        <v/>
      </c>
      <c r="D322" s="48">
        <f>IF(C322&lt;=0.01,0,IF(A322&lt;Calculadora!$C$8,E322,E322+C322))</f>
        <v/>
      </c>
      <c r="E322" s="49">
        <f>IF(C322&lt;=0.01,0,ROUND(C322*Calculadora!$C$7/12,2))</f>
        <v/>
      </c>
      <c r="F322" s="48">
        <f>IF(C322&lt;=0.01,0,D322-E322)</f>
        <v/>
      </c>
      <c r="G322" s="48">
        <f>IF(C322&lt;=0.01,0,MAX(ROUND(C322-F322,2),0))</f>
        <v/>
      </c>
      <c r="H322" s="50">
        <f>IFERROR(IF(Calculadora!$C$6&gt;0,1-(G322/Calculadora!$C$6),0),0)</f>
        <v/>
      </c>
    </row>
    <row r="323" ht="18" customHeight="1">
      <c r="A323" s="46" t="n">
        <v>319</v>
      </c>
      <c r="B323" s="47">
        <f>IFERROR(IF(C323&lt;=0.01,"",EDATE(B322,1)),"")</f>
        <v/>
      </c>
      <c r="C323" s="48">
        <f>IF(G322&lt;=0.01,0,G322)</f>
        <v/>
      </c>
      <c r="D323" s="48">
        <f>IF(C323&lt;=0.01,0,IF(A323&lt;Calculadora!$C$8,E323,E323+C323))</f>
        <v/>
      </c>
      <c r="E323" s="49">
        <f>IF(C323&lt;=0.01,0,ROUND(C323*Calculadora!$C$7/12,2))</f>
        <v/>
      </c>
      <c r="F323" s="48">
        <f>IF(C323&lt;=0.01,0,D323-E323)</f>
        <v/>
      </c>
      <c r="G323" s="48">
        <f>IF(C323&lt;=0.01,0,MAX(ROUND(C323-F323,2),0))</f>
        <v/>
      </c>
      <c r="H323" s="50">
        <f>IFERROR(IF(Calculadora!$C$6&gt;0,1-(G323/Calculadora!$C$6),0),0)</f>
        <v/>
      </c>
    </row>
    <row r="324" ht="18" customHeight="1">
      <c r="A324" s="46" t="n">
        <v>320</v>
      </c>
      <c r="B324" s="47">
        <f>IFERROR(IF(C324&lt;=0.01,"",EDATE(B323,1)),"")</f>
        <v/>
      </c>
      <c r="C324" s="48">
        <f>IF(G323&lt;=0.01,0,G323)</f>
        <v/>
      </c>
      <c r="D324" s="48">
        <f>IF(C324&lt;=0.01,0,IF(A324&lt;Calculadora!$C$8,E324,E324+C324))</f>
        <v/>
      </c>
      <c r="E324" s="49">
        <f>IF(C324&lt;=0.01,0,ROUND(C324*Calculadora!$C$7/12,2))</f>
        <v/>
      </c>
      <c r="F324" s="48">
        <f>IF(C324&lt;=0.01,0,D324-E324)</f>
        <v/>
      </c>
      <c r="G324" s="48">
        <f>IF(C324&lt;=0.01,0,MAX(ROUND(C324-F324,2),0))</f>
        <v/>
      </c>
      <c r="H324" s="50">
        <f>IFERROR(IF(Calculadora!$C$6&gt;0,1-(G324/Calculadora!$C$6),0),0)</f>
        <v/>
      </c>
    </row>
    <row r="325" ht="18" customHeight="1">
      <c r="A325" s="46" t="n">
        <v>321</v>
      </c>
      <c r="B325" s="47">
        <f>IFERROR(IF(C325&lt;=0.01,"",EDATE(B324,1)),"")</f>
        <v/>
      </c>
      <c r="C325" s="48">
        <f>IF(G324&lt;=0.01,0,G324)</f>
        <v/>
      </c>
      <c r="D325" s="48">
        <f>IF(C325&lt;=0.01,0,IF(A325&lt;Calculadora!$C$8,E325,E325+C325))</f>
        <v/>
      </c>
      <c r="E325" s="49">
        <f>IF(C325&lt;=0.01,0,ROUND(C325*Calculadora!$C$7/12,2))</f>
        <v/>
      </c>
      <c r="F325" s="48">
        <f>IF(C325&lt;=0.01,0,D325-E325)</f>
        <v/>
      </c>
      <c r="G325" s="48">
        <f>IF(C325&lt;=0.01,0,MAX(ROUND(C325-F325,2),0))</f>
        <v/>
      </c>
      <c r="H325" s="50">
        <f>IFERROR(IF(Calculadora!$C$6&gt;0,1-(G325/Calculadora!$C$6),0),0)</f>
        <v/>
      </c>
    </row>
    <row r="326" ht="18" customHeight="1">
      <c r="A326" s="46" t="n">
        <v>322</v>
      </c>
      <c r="B326" s="47">
        <f>IFERROR(IF(C326&lt;=0.01,"",EDATE(B325,1)),"")</f>
        <v/>
      </c>
      <c r="C326" s="48">
        <f>IF(G325&lt;=0.01,0,G325)</f>
        <v/>
      </c>
      <c r="D326" s="48">
        <f>IF(C326&lt;=0.01,0,IF(A326&lt;Calculadora!$C$8,E326,E326+C326))</f>
        <v/>
      </c>
      <c r="E326" s="49">
        <f>IF(C326&lt;=0.01,0,ROUND(C326*Calculadora!$C$7/12,2))</f>
        <v/>
      </c>
      <c r="F326" s="48">
        <f>IF(C326&lt;=0.01,0,D326-E326)</f>
        <v/>
      </c>
      <c r="G326" s="48">
        <f>IF(C326&lt;=0.01,0,MAX(ROUND(C326-F326,2),0))</f>
        <v/>
      </c>
      <c r="H326" s="50">
        <f>IFERROR(IF(Calculadora!$C$6&gt;0,1-(G326/Calculadora!$C$6),0),0)</f>
        <v/>
      </c>
    </row>
    <row r="327" ht="18" customHeight="1">
      <c r="A327" s="46" t="n">
        <v>323</v>
      </c>
      <c r="B327" s="47">
        <f>IFERROR(IF(C327&lt;=0.01,"",EDATE(B326,1)),"")</f>
        <v/>
      </c>
      <c r="C327" s="48">
        <f>IF(G326&lt;=0.01,0,G326)</f>
        <v/>
      </c>
      <c r="D327" s="48">
        <f>IF(C327&lt;=0.01,0,IF(A327&lt;Calculadora!$C$8,E327,E327+C327))</f>
        <v/>
      </c>
      <c r="E327" s="49">
        <f>IF(C327&lt;=0.01,0,ROUND(C327*Calculadora!$C$7/12,2))</f>
        <v/>
      </c>
      <c r="F327" s="48">
        <f>IF(C327&lt;=0.01,0,D327-E327)</f>
        <v/>
      </c>
      <c r="G327" s="48">
        <f>IF(C327&lt;=0.01,0,MAX(ROUND(C327-F327,2),0))</f>
        <v/>
      </c>
      <c r="H327" s="50">
        <f>IFERROR(IF(Calculadora!$C$6&gt;0,1-(G327/Calculadora!$C$6),0),0)</f>
        <v/>
      </c>
    </row>
    <row r="328" ht="18" customHeight="1">
      <c r="A328" s="46" t="n">
        <v>324</v>
      </c>
      <c r="B328" s="47">
        <f>IFERROR(IF(C328&lt;=0.01,"",EDATE(B327,1)),"")</f>
        <v/>
      </c>
      <c r="C328" s="48">
        <f>IF(G327&lt;=0.01,0,G327)</f>
        <v/>
      </c>
      <c r="D328" s="48">
        <f>IF(C328&lt;=0.01,0,IF(A328&lt;Calculadora!$C$8,E328,E328+C328))</f>
        <v/>
      </c>
      <c r="E328" s="49">
        <f>IF(C328&lt;=0.01,0,ROUND(C328*Calculadora!$C$7/12,2))</f>
        <v/>
      </c>
      <c r="F328" s="48">
        <f>IF(C328&lt;=0.01,0,D328-E328)</f>
        <v/>
      </c>
      <c r="G328" s="48">
        <f>IF(C328&lt;=0.01,0,MAX(ROUND(C328-F328,2),0))</f>
        <v/>
      </c>
      <c r="H328" s="50">
        <f>IFERROR(IF(Calculadora!$C$6&gt;0,1-(G328/Calculadora!$C$6),0),0)</f>
        <v/>
      </c>
    </row>
    <row r="329" ht="18" customHeight="1">
      <c r="A329" s="46" t="n">
        <v>325</v>
      </c>
      <c r="B329" s="47">
        <f>IFERROR(IF(C329&lt;=0.01,"",EDATE(B328,1)),"")</f>
        <v/>
      </c>
      <c r="C329" s="48">
        <f>IF(G328&lt;=0.01,0,G328)</f>
        <v/>
      </c>
      <c r="D329" s="48">
        <f>IF(C329&lt;=0.01,0,IF(A329&lt;Calculadora!$C$8,E329,E329+C329))</f>
        <v/>
      </c>
      <c r="E329" s="49">
        <f>IF(C329&lt;=0.01,0,ROUND(C329*Calculadora!$C$7/12,2))</f>
        <v/>
      </c>
      <c r="F329" s="48">
        <f>IF(C329&lt;=0.01,0,D329-E329)</f>
        <v/>
      </c>
      <c r="G329" s="48">
        <f>IF(C329&lt;=0.01,0,MAX(ROUND(C329-F329,2),0))</f>
        <v/>
      </c>
      <c r="H329" s="50">
        <f>IFERROR(IF(Calculadora!$C$6&gt;0,1-(G329/Calculadora!$C$6),0),0)</f>
        <v/>
      </c>
    </row>
    <row r="330" ht="18" customHeight="1">
      <c r="A330" s="46" t="n">
        <v>326</v>
      </c>
      <c r="B330" s="47">
        <f>IFERROR(IF(C330&lt;=0.01,"",EDATE(B329,1)),"")</f>
        <v/>
      </c>
      <c r="C330" s="48">
        <f>IF(G329&lt;=0.01,0,G329)</f>
        <v/>
      </c>
      <c r="D330" s="48">
        <f>IF(C330&lt;=0.01,0,IF(A330&lt;Calculadora!$C$8,E330,E330+C330))</f>
        <v/>
      </c>
      <c r="E330" s="49">
        <f>IF(C330&lt;=0.01,0,ROUND(C330*Calculadora!$C$7/12,2))</f>
        <v/>
      </c>
      <c r="F330" s="48">
        <f>IF(C330&lt;=0.01,0,D330-E330)</f>
        <v/>
      </c>
      <c r="G330" s="48">
        <f>IF(C330&lt;=0.01,0,MAX(ROUND(C330-F330,2),0))</f>
        <v/>
      </c>
      <c r="H330" s="50">
        <f>IFERROR(IF(Calculadora!$C$6&gt;0,1-(G330/Calculadora!$C$6),0),0)</f>
        <v/>
      </c>
    </row>
    <row r="331" ht="18" customHeight="1">
      <c r="A331" s="46" t="n">
        <v>327</v>
      </c>
      <c r="B331" s="47">
        <f>IFERROR(IF(C331&lt;=0.01,"",EDATE(B330,1)),"")</f>
        <v/>
      </c>
      <c r="C331" s="48">
        <f>IF(G330&lt;=0.01,0,G330)</f>
        <v/>
      </c>
      <c r="D331" s="48">
        <f>IF(C331&lt;=0.01,0,IF(A331&lt;Calculadora!$C$8,E331,E331+C331))</f>
        <v/>
      </c>
      <c r="E331" s="49">
        <f>IF(C331&lt;=0.01,0,ROUND(C331*Calculadora!$C$7/12,2))</f>
        <v/>
      </c>
      <c r="F331" s="48">
        <f>IF(C331&lt;=0.01,0,D331-E331)</f>
        <v/>
      </c>
      <c r="G331" s="48">
        <f>IF(C331&lt;=0.01,0,MAX(ROUND(C331-F331,2),0))</f>
        <v/>
      </c>
      <c r="H331" s="50">
        <f>IFERROR(IF(Calculadora!$C$6&gt;0,1-(G331/Calculadora!$C$6),0),0)</f>
        <v/>
      </c>
    </row>
    <row r="332" ht="18" customHeight="1">
      <c r="A332" s="46" t="n">
        <v>328</v>
      </c>
      <c r="B332" s="47">
        <f>IFERROR(IF(C332&lt;=0.01,"",EDATE(B331,1)),"")</f>
        <v/>
      </c>
      <c r="C332" s="48">
        <f>IF(G331&lt;=0.01,0,G331)</f>
        <v/>
      </c>
      <c r="D332" s="48">
        <f>IF(C332&lt;=0.01,0,IF(A332&lt;Calculadora!$C$8,E332,E332+C332))</f>
        <v/>
      </c>
      <c r="E332" s="49">
        <f>IF(C332&lt;=0.01,0,ROUND(C332*Calculadora!$C$7/12,2))</f>
        <v/>
      </c>
      <c r="F332" s="48">
        <f>IF(C332&lt;=0.01,0,D332-E332)</f>
        <v/>
      </c>
      <c r="G332" s="48">
        <f>IF(C332&lt;=0.01,0,MAX(ROUND(C332-F332,2),0))</f>
        <v/>
      </c>
      <c r="H332" s="50">
        <f>IFERROR(IF(Calculadora!$C$6&gt;0,1-(G332/Calculadora!$C$6),0),0)</f>
        <v/>
      </c>
    </row>
    <row r="333" ht="18" customHeight="1">
      <c r="A333" s="46" t="n">
        <v>329</v>
      </c>
      <c r="B333" s="47">
        <f>IFERROR(IF(C333&lt;=0.01,"",EDATE(B332,1)),"")</f>
        <v/>
      </c>
      <c r="C333" s="48">
        <f>IF(G332&lt;=0.01,0,G332)</f>
        <v/>
      </c>
      <c r="D333" s="48">
        <f>IF(C333&lt;=0.01,0,IF(A333&lt;Calculadora!$C$8,E333,E333+C333))</f>
        <v/>
      </c>
      <c r="E333" s="49">
        <f>IF(C333&lt;=0.01,0,ROUND(C333*Calculadora!$C$7/12,2))</f>
        <v/>
      </c>
      <c r="F333" s="48">
        <f>IF(C333&lt;=0.01,0,D333-E333)</f>
        <v/>
      </c>
      <c r="G333" s="48">
        <f>IF(C333&lt;=0.01,0,MAX(ROUND(C333-F333,2),0))</f>
        <v/>
      </c>
      <c r="H333" s="50">
        <f>IFERROR(IF(Calculadora!$C$6&gt;0,1-(G333/Calculadora!$C$6),0),0)</f>
        <v/>
      </c>
    </row>
    <row r="334" ht="18" customHeight="1">
      <c r="A334" s="46" t="n">
        <v>330</v>
      </c>
      <c r="B334" s="47">
        <f>IFERROR(IF(C334&lt;=0.01,"",EDATE(B333,1)),"")</f>
        <v/>
      </c>
      <c r="C334" s="48">
        <f>IF(G333&lt;=0.01,0,G333)</f>
        <v/>
      </c>
      <c r="D334" s="48">
        <f>IF(C334&lt;=0.01,0,IF(A334&lt;Calculadora!$C$8,E334,E334+C334))</f>
        <v/>
      </c>
      <c r="E334" s="49">
        <f>IF(C334&lt;=0.01,0,ROUND(C334*Calculadora!$C$7/12,2))</f>
        <v/>
      </c>
      <c r="F334" s="48">
        <f>IF(C334&lt;=0.01,0,D334-E334)</f>
        <v/>
      </c>
      <c r="G334" s="48">
        <f>IF(C334&lt;=0.01,0,MAX(ROUND(C334-F334,2),0))</f>
        <v/>
      </c>
      <c r="H334" s="50">
        <f>IFERROR(IF(Calculadora!$C$6&gt;0,1-(G334/Calculadora!$C$6),0),0)</f>
        <v/>
      </c>
    </row>
    <row r="335" ht="18" customHeight="1">
      <c r="A335" s="46" t="n">
        <v>331</v>
      </c>
      <c r="B335" s="47">
        <f>IFERROR(IF(C335&lt;=0.01,"",EDATE(B334,1)),"")</f>
        <v/>
      </c>
      <c r="C335" s="48">
        <f>IF(G334&lt;=0.01,0,G334)</f>
        <v/>
      </c>
      <c r="D335" s="48">
        <f>IF(C335&lt;=0.01,0,IF(A335&lt;Calculadora!$C$8,E335,E335+C335))</f>
        <v/>
      </c>
      <c r="E335" s="49">
        <f>IF(C335&lt;=0.01,0,ROUND(C335*Calculadora!$C$7/12,2))</f>
        <v/>
      </c>
      <c r="F335" s="48">
        <f>IF(C335&lt;=0.01,0,D335-E335)</f>
        <v/>
      </c>
      <c r="G335" s="48">
        <f>IF(C335&lt;=0.01,0,MAX(ROUND(C335-F335,2),0))</f>
        <v/>
      </c>
      <c r="H335" s="50">
        <f>IFERROR(IF(Calculadora!$C$6&gt;0,1-(G335/Calculadora!$C$6),0),0)</f>
        <v/>
      </c>
    </row>
    <row r="336" ht="18" customHeight="1">
      <c r="A336" s="46" t="n">
        <v>332</v>
      </c>
      <c r="B336" s="47">
        <f>IFERROR(IF(C336&lt;=0.01,"",EDATE(B335,1)),"")</f>
        <v/>
      </c>
      <c r="C336" s="48">
        <f>IF(G335&lt;=0.01,0,G335)</f>
        <v/>
      </c>
      <c r="D336" s="48">
        <f>IF(C336&lt;=0.01,0,IF(A336&lt;Calculadora!$C$8,E336,E336+C336))</f>
        <v/>
      </c>
      <c r="E336" s="49">
        <f>IF(C336&lt;=0.01,0,ROUND(C336*Calculadora!$C$7/12,2))</f>
        <v/>
      </c>
      <c r="F336" s="48">
        <f>IF(C336&lt;=0.01,0,D336-E336)</f>
        <v/>
      </c>
      <c r="G336" s="48">
        <f>IF(C336&lt;=0.01,0,MAX(ROUND(C336-F336,2),0))</f>
        <v/>
      </c>
      <c r="H336" s="50">
        <f>IFERROR(IF(Calculadora!$C$6&gt;0,1-(G336/Calculadora!$C$6),0),0)</f>
        <v/>
      </c>
    </row>
    <row r="337" ht="18" customHeight="1">
      <c r="A337" s="46" t="n">
        <v>333</v>
      </c>
      <c r="B337" s="47">
        <f>IFERROR(IF(C337&lt;=0.01,"",EDATE(B336,1)),"")</f>
        <v/>
      </c>
      <c r="C337" s="48">
        <f>IF(G336&lt;=0.01,0,G336)</f>
        <v/>
      </c>
      <c r="D337" s="48">
        <f>IF(C337&lt;=0.01,0,IF(A337&lt;Calculadora!$C$8,E337,E337+C337))</f>
        <v/>
      </c>
      <c r="E337" s="49">
        <f>IF(C337&lt;=0.01,0,ROUND(C337*Calculadora!$C$7/12,2))</f>
        <v/>
      </c>
      <c r="F337" s="48">
        <f>IF(C337&lt;=0.01,0,D337-E337)</f>
        <v/>
      </c>
      <c r="G337" s="48">
        <f>IF(C337&lt;=0.01,0,MAX(ROUND(C337-F337,2),0))</f>
        <v/>
      </c>
      <c r="H337" s="50">
        <f>IFERROR(IF(Calculadora!$C$6&gt;0,1-(G337/Calculadora!$C$6),0),0)</f>
        <v/>
      </c>
    </row>
    <row r="338" ht="18" customHeight="1">
      <c r="A338" s="46" t="n">
        <v>334</v>
      </c>
      <c r="B338" s="47">
        <f>IFERROR(IF(C338&lt;=0.01,"",EDATE(B337,1)),"")</f>
        <v/>
      </c>
      <c r="C338" s="48">
        <f>IF(G337&lt;=0.01,0,G337)</f>
        <v/>
      </c>
      <c r="D338" s="48">
        <f>IF(C338&lt;=0.01,0,IF(A338&lt;Calculadora!$C$8,E338,E338+C338))</f>
        <v/>
      </c>
      <c r="E338" s="49">
        <f>IF(C338&lt;=0.01,0,ROUND(C338*Calculadora!$C$7/12,2))</f>
        <v/>
      </c>
      <c r="F338" s="48">
        <f>IF(C338&lt;=0.01,0,D338-E338)</f>
        <v/>
      </c>
      <c r="G338" s="48">
        <f>IF(C338&lt;=0.01,0,MAX(ROUND(C338-F338,2),0))</f>
        <v/>
      </c>
      <c r="H338" s="50">
        <f>IFERROR(IF(Calculadora!$C$6&gt;0,1-(G338/Calculadora!$C$6),0),0)</f>
        <v/>
      </c>
    </row>
    <row r="339" ht="18" customHeight="1">
      <c r="A339" s="46" t="n">
        <v>335</v>
      </c>
      <c r="B339" s="47">
        <f>IFERROR(IF(C339&lt;=0.01,"",EDATE(B338,1)),"")</f>
        <v/>
      </c>
      <c r="C339" s="48">
        <f>IF(G338&lt;=0.01,0,G338)</f>
        <v/>
      </c>
      <c r="D339" s="48">
        <f>IF(C339&lt;=0.01,0,IF(A339&lt;Calculadora!$C$8,E339,E339+C339))</f>
        <v/>
      </c>
      <c r="E339" s="49">
        <f>IF(C339&lt;=0.01,0,ROUND(C339*Calculadora!$C$7/12,2))</f>
        <v/>
      </c>
      <c r="F339" s="48">
        <f>IF(C339&lt;=0.01,0,D339-E339)</f>
        <v/>
      </c>
      <c r="G339" s="48">
        <f>IF(C339&lt;=0.01,0,MAX(ROUND(C339-F339,2),0))</f>
        <v/>
      </c>
      <c r="H339" s="50">
        <f>IFERROR(IF(Calculadora!$C$6&gt;0,1-(G339/Calculadora!$C$6),0),0)</f>
        <v/>
      </c>
    </row>
    <row r="340" ht="18" customHeight="1">
      <c r="A340" s="46" t="n">
        <v>336</v>
      </c>
      <c r="B340" s="47">
        <f>IFERROR(IF(C340&lt;=0.01,"",EDATE(B339,1)),"")</f>
        <v/>
      </c>
      <c r="C340" s="48">
        <f>IF(G339&lt;=0.01,0,G339)</f>
        <v/>
      </c>
      <c r="D340" s="48">
        <f>IF(C340&lt;=0.01,0,IF(A340&lt;Calculadora!$C$8,E340,E340+C340))</f>
        <v/>
      </c>
      <c r="E340" s="49">
        <f>IF(C340&lt;=0.01,0,ROUND(C340*Calculadora!$C$7/12,2))</f>
        <v/>
      </c>
      <c r="F340" s="48">
        <f>IF(C340&lt;=0.01,0,D340-E340)</f>
        <v/>
      </c>
      <c r="G340" s="48">
        <f>IF(C340&lt;=0.01,0,MAX(ROUND(C340-F340,2),0))</f>
        <v/>
      </c>
      <c r="H340" s="50">
        <f>IFERROR(IF(Calculadora!$C$6&gt;0,1-(G340/Calculadora!$C$6),0),0)</f>
        <v/>
      </c>
    </row>
    <row r="341" ht="18" customHeight="1">
      <c r="A341" s="46" t="n">
        <v>337</v>
      </c>
      <c r="B341" s="47">
        <f>IFERROR(IF(C341&lt;=0.01,"",EDATE(B340,1)),"")</f>
        <v/>
      </c>
      <c r="C341" s="48">
        <f>IF(G340&lt;=0.01,0,G340)</f>
        <v/>
      </c>
      <c r="D341" s="48">
        <f>IF(C341&lt;=0.01,0,IF(A341&lt;Calculadora!$C$8,E341,E341+C341))</f>
        <v/>
      </c>
      <c r="E341" s="49">
        <f>IF(C341&lt;=0.01,0,ROUND(C341*Calculadora!$C$7/12,2))</f>
        <v/>
      </c>
      <c r="F341" s="48">
        <f>IF(C341&lt;=0.01,0,D341-E341)</f>
        <v/>
      </c>
      <c r="G341" s="48">
        <f>IF(C341&lt;=0.01,0,MAX(ROUND(C341-F341,2),0))</f>
        <v/>
      </c>
      <c r="H341" s="50">
        <f>IFERROR(IF(Calculadora!$C$6&gt;0,1-(G341/Calculadora!$C$6),0),0)</f>
        <v/>
      </c>
    </row>
    <row r="342" ht="18" customHeight="1">
      <c r="A342" s="46" t="n">
        <v>338</v>
      </c>
      <c r="B342" s="47">
        <f>IFERROR(IF(C342&lt;=0.01,"",EDATE(B341,1)),"")</f>
        <v/>
      </c>
      <c r="C342" s="48">
        <f>IF(G341&lt;=0.01,0,G341)</f>
        <v/>
      </c>
      <c r="D342" s="48">
        <f>IF(C342&lt;=0.01,0,IF(A342&lt;Calculadora!$C$8,E342,E342+C342))</f>
        <v/>
      </c>
      <c r="E342" s="49">
        <f>IF(C342&lt;=0.01,0,ROUND(C342*Calculadora!$C$7/12,2))</f>
        <v/>
      </c>
      <c r="F342" s="48">
        <f>IF(C342&lt;=0.01,0,D342-E342)</f>
        <v/>
      </c>
      <c r="G342" s="48">
        <f>IF(C342&lt;=0.01,0,MAX(ROUND(C342-F342,2),0))</f>
        <v/>
      </c>
      <c r="H342" s="50">
        <f>IFERROR(IF(Calculadora!$C$6&gt;0,1-(G342/Calculadora!$C$6),0),0)</f>
        <v/>
      </c>
    </row>
    <row r="343" ht="18" customHeight="1">
      <c r="A343" s="46" t="n">
        <v>339</v>
      </c>
      <c r="B343" s="47">
        <f>IFERROR(IF(C343&lt;=0.01,"",EDATE(B342,1)),"")</f>
        <v/>
      </c>
      <c r="C343" s="48">
        <f>IF(G342&lt;=0.01,0,G342)</f>
        <v/>
      </c>
      <c r="D343" s="48">
        <f>IF(C343&lt;=0.01,0,IF(A343&lt;Calculadora!$C$8,E343,E343+C343))</f>
        <v/>
      </c>
      <c r="E343" s="49">
        <f>IF(C343&lt;=0.01,0,ROUND(C343*Calculadora!$C$7/12,2))</f>
        <v/>
      </c>
      <c r="F343" s="48">
        <f>IF(C343&lt;=0.01,0,D343-E343)</f>
        <v/>
      </c>
      <c r="G343" s="48">
        <f>IF(C343&lt;=0.01,0,MAX(ROUND(C343-F343,2),0))</f>
        <v/>
      </c>
      <c r="H343" s="50">
        <f>IFERROR(IF(Calculadora!$C$6&gt;0,1-(G343/Calculadora!$C$6),0),0)</f>
        <v/>
      </c>
    </row>
    <row r="344" ht="18" customHeight="1">
      <c r="A344" s="46" t="n">
        <v>340</v>
      </c>
      <c r="B344" s="47">
        <f>IFERROR(IF(C344&lt;=0.01,"",EDATE(B343,1)),"")</f>
        <v/>
      </c>
      <c r="C344" s="48">
        <f>IF(G343&lt;=0.01,0,G343)</f>
        <v/>
      </c>
      <c r="D344" s="48">
        <f>IF(C344&lt;=0.01,0,IF(A344&lt;Calculadora!$C$8,E344,E344+C344))</f>
        <v/>
      </c>
      <c r="E344" s="49">
        <f>IF(C344&lt;=0.01,0,ROUND(C344*Calculadora!$C$7/12,2))</f>
        <v/>
      </c>
      <c r="F344" s="48">
        <f>IF(C344&lt;=0.01,0,D344-E344)</f>
        <v/>
      </c>
      <c r="G344" s="48">
        <f>IF(C344&lt;=0.01,0,MAX(ROUND(C344-F344,2),0))</f>
        <v/>
      </c>
      <c r="H344" s="50">
        <f>IFERROR(IF(Calculadora!$C$6&gt;0,1-(G344/Calculadora!$C$6),0),0)</f>
        <v/>
      </c>
    </row>
    <row r="345" ht="18" customHeight="1">
      <c r="A345" s="46" t="n">
        <v>341</v>
      </c>
      <c r="B345" s="47">
        <f>IFERROR(IF(C345&lt;=0.01,"",EDATE(B344,1)),"")</f>
        <v/>
      </c>
      <c r="C345" s="48">
        <f>IF(G344&lt;=0.01,0,G344)</f>
        <v/>
      </c>
      <c r="D345" s="48">
        <f>IF(C345&lt;=0.01,0,IF(A345&lt;Calculadora!$C$8,E345,E345+C345))</f>
        <v/>
      </c>
      <c r="E345" s="49">
        <f>IF(C345&lt;=0.01,0,ROUND(C345*Calculadora!$C$7/12,2))</f>
        <v/>
      </c>
      <c r="F345" s="48">
        <f>IF(C345&lt;=0.01,0,D345-E345)</f>
        <v/>
      </c>
      <c r="G345" s="48">
        <f>IF(C345&lt;=0.01,0,MAX(ROUND(C345-F345,2),0))</f>
        <v/>
      </c>
      <c r="H345" s="50">
        <f>IFERROR(IF(Calculadora!$C$6&gt;0,1-(G345/Calculadora!$C$6),0),0)</f>
        <v/>
      </c>
    </row>
    <row r="346" ht="18" customHeight="1">
      <c r="A346" s="46" t="n">
        <v>342</v>
      </c>
      <c r="B346" s="47">
        <f>IFERROR(IF(C346&lt;=0.01,"",EDATE(B345,1)),"")</f>
        <v/>
      </c>
      <c r="C346" s="48">
        <f>IF(G345&lt;=0.01,0,G345)</f>
        <v/>
      </c>
      <c r="D346" s="48">
        <f>IF(C346&lt;=0.01,0,IF(A346&lt;Calculadora!$C$8,E346,E346+C346))</f>
        <v/>
      </c>
      <c r="E346" s="49">
        <f>IF(C346&lt;=0.01,0,ROUND(C346*Calculadora!$C$7/12,2))</f>
        <v/>
      </c>
      <c r="F346" s="48">
        <f>IF(C346&lt;=0.01,0,D346-E346)</f>
        <v/>
      </c>
      <c r="G346" s="48">
        <f>IF(C346&lt;=0.01,0,MAX(ROUND(C346-F346,2),0))</f>
        <v/>
      </c>
      <c r="H346" s="50">
        <f>IFERROR(IF(Calculadora!$C$6&gt;0,1-(G346/Calculadora!$C$6),0),0)</f>
        <v/>
      </c>
    </row>
    <row r="347" ht="18" customHeight="1">
      <c r="A347" s="46" t="n">
        <v>343</v>
      </c>
      <c r="B347" s="47">
        <f>IFERROR(IF(C347&lt;=0.01,"",EDATE(B346,1)),"")</f>
        <v/>
      </c>
      <c r="C347" s="48">
        <f>IF(G346&lt;=0.01,0,G346)</f>
        <v/>
      </c>
      <c r="D347" s="48">
        <f>IF(C347&lt;=0.01,0,IF(A347&lt;Calculadora!$C$8,E347,E347+C347))</f>
        <v/>
      </c>
      <c r="E347" s="49">
        <f>IF(C347&lt;=0.01,0,ROUND(C347*Calculadora!$C$7/12,2))</f>
        <v/>
      </c>
      <c r="F347" s="48">
        <f>IF(C347&lt;=0.01,0,D347-E347)</f>
        <v/>
      </c>
      <c r="G347" s="48">
        <f>IF(C347&lt;=0.01,0,MAX(ROUND(C347-F347,2),0))</f>
        <v/>
      </c>
      <c r="H347" s="50">
        <f>IFERROR(IF(Calculadora!$C$6&gt;0,1-(G347/Calculadora!$C$6),0),0)</f>
        <v/>
      </c>
    </row>
    <row r="348" ht="18" customHeight="1">
      <c r="A348" s="46" t="n">
        <v>344</v>
      </c>
      <c r="B348" s="47">
        <f>IFERROR(IF(C348&lt;=0.01,"",EDATE(B347,1)),"")</f>
        <v/>
      </c>
      <c r="C348" s="48">
        <f>IF(G347&lt;=0.01,0,G347)</f>
        <v/>
      </c>
      <c r="D348" s="48">
        <f>IF(C348&lt;=0.01,0,IF(A348&lt;Calculadora!$C$8,E348,E348+C348))</f>
        <v/>
      </c>
      <c r="E348" s="49">
        <f>IF(C348&lt;=0.01,0,ROUND(C348*Calculadora!$C$7/12,2))</f>
        <v/>
      </c>
      <c r="F348" s="48">
        <f>IF(C348&lt;=0.01,0,D348-E348)</f>
        <v/>
      </c>
      <c r="G348" s="48">
        <f>IF(C348&lt;=0.01,0,MAX(ROUND(C348-F348,2),0))</f>
        <v/>
      </c>
      <c r="H348" s="50">
        <f>IFERROR(IF(Calculadora!$C$6&gt;0,1-(G348/Calculadora!$C$6),0),0)</f>
        <v/>
      </c>
    </row>
    <row r="349" ht="18" customHeight="1">
      <c r="A349" s="46" t="n">
        <v>345</v>
      </c>
      <c r="B349" s="47">
        <f>IFERROR(IF(C349&lt;=0.01,"",EDATE(B348,1)),"")</f>
        <v/>
      </c>
      <c r="C349" s="48">
        <f>IF(G348&lt;=0.01,0,G348)</f>
        <v/>
      </c>
      <c r="D349" s="48">
        <f>IF(C349&lt;=0.01,0,IF(A349&lt;Calculadora!$C$8,E349,E349+C349))</f>
        <v/>
      </c>
      <c r="E349" s="49">
        <f>IF(C349&lt;=0.01,0,ROUND(C349*Calculadora!$C$7/12,2))</f>
        <v/>
      </c>
      <c r="F349" s="48">
        <f>IF(C349&lt;=0.01,0,D349-E349)</f>
        <v/>
      </c>
      <c r="G349" s="48">
        <f>IF(C349&lt;=0.01,0,MAX(ROUND(C349-F349,2),0))</f>
        <v/>
      </c>
      <c r="H349" s="50">
        <f>IFERROR(IF(Calculadora!$C$6&gt;0,1-(G349/Calculadora!$C$6),0),0)</f>
        <v/>
      </c>
    </row>
    <row r="350" ht="18" customHeight="1">
      <c r="A350" s="46" t="n">
        <v>346</v>
      </c>
      <c r="B350" s="47">
        <f>IFERROR(IF(C350&lt;=0.01,"",EDATE(B349,1)),"")</f>
        <v/>
      </c>
      <c r="C350" s="48">
        <f>IF(G349&lt;=0.01,0,G349)</f>
        <v/>
      </c>
      <c r="D350" s="48">
        <f>IF(C350&lt;=0.01,0,IF(A350&lt;Calculadora!$C$8,E350,E350+C350))</f>
        <v/>
      </c>
      <c r="E350" s="49">
        <f>IF(C350&lt;=0.01,0,ROUND(C350*Calculadora!$C$7/12,2))</f>
        <v/>
      </c>
      <c r="F350" s="48">
        <f>IF(C350&lt;=0.01,0,D350-E350)</f>
        <v/>
      </c>
      <c r="G350" s="48">
        <f>IF(C350&lt;=0.01,0,MAX(ROUND(C350-F350,2),0))</f>
        <v/>
      </c>
      <c r="H350" s="50">
        <f>IFERROR(IF(Calculadora!$C$6&gt;0,1-(G350/Calculadora!$C$6),0),0)</f>
        <v/>
      </c>
    </row>
    <row r="351" ht="18" customHeight="1">
      <c r="A351" s="46" t="n">
        <v>347</v>
      </c>
      <c r="B351" s="47">
        <f>IFERROR(IF(C351&lt;=0.01,"",EDATE(B350,1)),"")</f>
        <v/>
      </c>
      <c r="C351" s="48">
        <f>IF(G350&lt;=0.01,0,G350)</f>
        <v/>
      </c>
      <c r="D351" s="48">
        <f>IF(C351&lt;=0.01,0,IF(A351&lt;Calculadora!$C$8,E351,E351+C351))</f>
        <v/>
      </c>
      <c r="E351" s="49">
        <f>IF(C351&lt;=0.01,0,ROUND(C351*Calculadora!$C$7/12,2))</f>
        <v/>
      </c>
      <c r="F351" s="48">
        <f>IF(C351&lt;=0.01,0,D351-E351)</f>
        <v/>
      </c>
      <c r="G351" s="48">
        <f>IF(C351&lt;=0.01,0,MAX(ROUND(C351-F351,2),0))</f>
        <v/>
      </c>
      <c r="H351" s="50">
        <f>IFERROR(IF(Calculadora!$C$6&gt;0,1-(G351/Calculadora!$C$6),0),0)</f>
        <v/>
      </c>
    </row>
    <row r="352" ht="18" customHeight="1">
      <c r="A352" s="46" t="n">
        <v>348</v>
      </c>
      <c r="B352" s="47">
        <f>IFERROR(IF(C352&lt;=0.01,"",EDATE(B351,1)),"")</f>
        <v/>
      </c>
      <c r="C352" s="48">
        <f>IF(G351&lt;=0.01,0,G351)</f>
        <v/>
      </c>
      <c r="D352" s="48">
        <f>IF(C352&lt;=0.01,0,IF(A352&lt;Calculadora!$C$8,E352,E352+C352))</f>
        <v/>
      </c>
      <c r="E352" s="49">
        <f>IF(C352&lt;=0.01,0,ROUND(C352*Calculadora!$C$7/12,2))</f>
        <v/>
      </c>
      <c r="F352" s="48">
        <f>IF(C352&lt;=0.01,0,D352-E352)</f>
        <v/>
      </c>
      <c r="G352" s="48">
        <f>IF(C352&lt;=0.01,0,MAX(ROUND(C352-F352,2),0))</f>
        <v/>
      </c>
      <c r="H352" s="50">
        <f>IFERROR(IF(Calculadora!$C$6&gt;0,1-(G352/Calculadora!$C$6),0),0)</f>
        <v/>
      </c>
    </row>
    <row r="353" ht="18" customHeight="1">
      <c r="A353" s="46" t="n">
        <v>349</v>
      </c>
      <c r="B353" s="47">
        <f>IFERROR(IF(C353&lt;=0.01,"",EDATE(B352,1)),"")</f>
        <v/>
      </c>
      <c r="C353" s="48">
        <f>IF(G352&lt;=0.01,0,G352)</f>
        <v/>
      </c>
      <c r="D353" s="48">
        <f>IF(C353&lt;=0.01,0,IF(A353&lt;Calculadora!$C$8,E353,E353+C353))</f>
        <v/>
      </c>
      <c r="E353" s="49">
        <f>IF(C353&lt;=0.01,0,ROUND(C353*Calculadora!$C$7/12,2))</f>
        <v/>
      </c>
      <c r="F353" s="48">
        <f>IF(C353&lt;=0.01,0,D353-E353)</f>
        <v/>
      </c>
      <c r="G353" s="48">
        <f>IF(C353&lt;=0.01,0,MAX(ROUND(C353-F353,2),0))</f>
        <v/>
      </c>
      <c r="H353" s="50">
        <f>IFERROR(IF(Calculadora!$C$6&gt;0,1-(G353/Calculadora!$C$6),0),0)</f>
        <v/>
      </c>
    </row>
    <row r="354" ht="18" customHeight="1">
      <c r="A354" s="46" t="n">
        <v>350</v>
      </c>
      <c r="B354" s="47">
        <f>IFERROR(IF(C354&lt;=0.01,"",EDATE(B353,1)),"")</f>
        <v/>
      </c>
      <c r="C354" s="48">
        <f>IF(G353&lt;=0.01,0,G353)</f>
        <v/>
      </c>
      <c r="D354" s="48">
        <f>IF(C354&lt;=0.01,0,IF(A354&lt;Calculadora!$C$8,E354,E354+C354))</f>
        <v/>
      </c>
      <c r="E354" s="49">
        <f>IF(C354&lt;=0.01,0,ROUND(C354*Calculadora!$C$7/12,2))</f>
        <v/>
      </c>
      <c r="F354" s="48">
        <f>IF(C354&lt;=0.01,0,D354-E354)</f>
        <v/>
      </c>
      <c r="G354" s="48">
        <f>IF(C354&lt;=0.01,0,MAX(ROUND(C354-F354,2),0))</f>
        <v/>
      </c>
      <c r="H354" s="50">
        <f>IFERROR(IF(Calculadora!$C$6&gt;0,1-(G354/Calculadora!$C$6),0),0)</f>
        <v/>
      </c>
    </row>
    <row r="355" ht="18" customHeight="1">
      <c r="A355" s="46" t="n">
        <v>351</v>
      </c>
      <c r="B355" s="47">
        <f>IFERROR(IF(C355&lt;=0.01,"",EDATE(B354,1)),"")</f>
        <v/>
      </c>
      <c r="C355" s="48">
        <f>IF(G354&lt;=0.01,0,G354)</f>
        <v/>
      </c>
      <c r="D355" s="48">
        <f>IF(C355&lt;=0.01,0,IF(A355&lt;Calculadora!$C$8,E355,E355+C355))</f>
        <v/>
      </c>
      <c r="E355" s="49">
        <f>IF(C355&lt;=0.01,0,ROUND(C355*Calculadora!$C$7/12,2))</f>
        <v/>
      </c>
      <c r="F355" s="48">
        <f>IF(C355&lt;=0.01,0,D355-E355)</f>
        <v/>
      </c>
      <c r="G355" s="48">
        <f>IF(C355&lt;=0.01,0,MAX(ROUND(C355-F355,2),0))</f>
        <v/>
      </c>
      <c r="H355" s="50">
        <f>IFERROR(IF(Calculadora!$C$6&gt;0,1-(G355/Calculadora!$C$6),0),0)</f>
        <v/>
      </c>
    </row>
    <row r="356" ht="18" customHeight="1">
      <c r="A356" s="46" t="n">
        <v>352</v>
      </c>
      <c r="B356" s="47">
        <f>IFERROR(IF(C356&lt;=0.01,"",EDATE(B355,1)),"")</f>
        <v/>
      </c>
      <c r="C356" s="48">
        <f>IF(G355&lt;=0.01,0,G355)</f>
        <v/>
      </c>
      <c r="D356" s="48">
        <f>IF(C356&lt;=0.01,0,IF(A356&lt;Calculadora!$C$8,E356,E356+C356))</f>
        <v/>
      </c>
      <c r="E356" s="49">
        <f>IF(C356&lt;=0.01,0,ROUND(C356*Calculadora!$C$7/12,2))</f>
        <v/>
      </c>
      <c r="F356" s="48">
        <f>IF(C356&lt;=0.01,0,D356-E356)</f>
        <v/>
      </c>
      <c r="G356" s="48">
        <f>IF(C356&lt;=0.01,0,MAX(ROUND(C356-F356,2),0))</f>
        <v/>
      </c>
      <c r="H356" s="50">
        <f>IFERROR(IF(Calculadora!$C$6&gt;0,1-(G356/Calculadora!$C$6),0),0)</f>
        <v/>
      </c>
    </row>
    <row r="357" ht="18" customHeight="1">
      <c r="A357" s="46" t="n">
        <v>353</v>
      </c>
      <c r="B357" s="47">
        <f>IFERROR(IF(C357&lt;=0.01,"",EDATE(B356,1)),"")</f>
        <v/>
      </c>
      <c r="C357" s="48">
        <f>IF(G356&lt;=0.01,0,G356)</f>
        <v/>
      </c>
      <c r="D357" s="48">
        <f>IF(C357&lt;=0.01,0,IF(A357&lt;Calculadora!$C$8,E357,E357+C357))</f>
        <v/>
      </c>
      <c r="E357" s="49">
        <f>IF(C357&lt;=0.01,0,ROUND(C357*Calculadora!$C$7/12,2))</f>
        <v/>
      </c>
      <c r="F357" s="48">
        <f>IF(C357&lt;=0.01,0,D357-E357)</f>
        <v/>
      </c>
      <c r="G357" s="48">
        <f>IF(C357&lt;=0.01,0,MAX(ROUND(C357-F357,2),0))</f>
        <v/>
      </c>
      <c r="H357" s="50">
        <f>IFERROR(IF(Calculadora!$C$6&gt;0,1-(G357/Calculadora!$C$6),0),0)</f>
        <v/>
      </c>
    </row>
    <row r="358" ht="18" customHeight="1">
      <c r="A358" s="46" t="n">
        <v>354</v>
      </c>
      <c r="B358" s="47">
        <f>IFERROR(IF(C358&lt;=0.01,"",EDATE(B357,1)),"")</f>
        <v/>
      </c>
      <c r="C358" s="48">
        <f>IF(G357&lt;=0.01,0,G357)</f>
        <v/>
      </c>
      <c r="D358" s="48">
        <f>IF(C358&lt;=0.01,0,IF(A358&lt;Calculadora!$C$8,E358,E358+C358))</f>
        <v/>
      </c>
      <c r="E358" s="49">
        <f>IF(C358&lt;=0.01,0,ROUND(C358*Calculadora!$C$7/12,2))</f>
        <v/>
      </c>
      <c r="F358" s="48">
        <f>IF(C358&lt;=0.01,0,D358-E358)</f>
        <v/>
      </c>
      <c r="G358" s="48">
        <f>IF(C358&lt;=0.01,0,MAX(ROUND(C358-F358,2),0))</f>
        <v/>
      </c>
      <c r="H358" s="50">
        <f>IFERROR(IF(Calculadora!$C$6&gt;0,1-(G358/Calculadora!$C$6),0),0)</f>
        <v/>
      </c>
    </row>
    <row r="359" ht="18" customHeight="1">
      <c r="A359" s="46" t="n">
        <v>355</v>
      </c>
      <c r="B359" s="47">
        <f>IFERROR(IF(C359&lt;=0.01,"",EDATE(B358,1)),"")</f>
        <v/>
      </c>
      <c r="C359" s="48">
        <f>IF(G358&lt;=0.01,0,G358)</f>
        <v/>
      </c>
      <c r="D359" s="48">
        <f>IF(C359&lt;=0.01,0,IF(A359&lt;Calculadora!$C$8,E359,E359+C359))</f>
        <v/>
      </c>
      <c r="E359" s="49">
        <f>IF(C359&lt;=0.01,0,ROUND(C359*Calculadora!$C$7/12,2))</f>
        <v/>
      </c>
      <c r="F359" s="48">
        <f>IF(C359&lt;=0.01,0,D359-E359)</f>
        <v/>
      </c>
      <c r="G359" s="48">
        <f>IF(C359&lt;=0.01,0,MAX(ROUND(C359-F359,2),0))</f>
        <v/>
      </c>
      <c r="H359" s="50">
        <f>IFERROR(IF(Calculadora!$C$6&gt;0,1-(G359/Calculadora!$C$6),0),0)</f>
        <v/>
      </c>
    </row>
    <row r="360" ht="18" customHeight="1">
      <c r="A360" s="46" t="n">
        <v>356</v>
      </c>
      <c r="B360" s="47">
        <f>IFERROR(IF(C360&lt;=0.01,"",EDATE(B359,1)),"")</f>
        <v/>
      </c>
      <c r="C360" s="48">
        <f>IF(G359&lt;=0.01,0,G359)</f>
        <v/>
      </c>
      <c r="D360" s="48">
        <f>IF(C360&lt;=0.01,0,IF(A360&lt;Calculadora!$C$8,E360,E360+C360))</f>
        <v/>
      </c>
      <c r="E360" s="49">
        <f>IF(C360&lt;=0.01,0,ROUND(C360*Calculadora!$C$7/12,2))</f>
        <v/>
      </c>
      <c r="F360" s="48">
        <f>IF(C360&lt;=0.01,0,D360-E360)</f>
        <v/>
      </c>
      <c r="G360" s="48">
        <f>IF(C360&lt;=0.01,0,MAX(ROUND(C360-F360,2),0))</f>
        <v/>
      </c>
      <c r="H360" s="50">
        <f>IFERROR(IF(Calculadora!$C$6&gt;0,1-(G360/Calculadora!$C$6),0),0)</f>
        <v/>
      </c>
    </row>
    <row r="361" ht="18" customHeight="1">
      <c r="A361" s="46" t="n">
        <v>357</v>
      </c>
      <c r="B361" s="47">
        <f>IFERROR(IF(C361&lt;=0.01,"",EDATE(B360,1)),"")</f>
        <v/>
      </c>
      <c r="C361" s="48">
        <f>IF(G360&lt;=0.01,0,G360)</f>
        <v/>
      </c>
      <c r="D361" s="48">
        <f>IF(C361&lt;=0.01,0,IF(A361&lt;Calculadora!$C$8,E361,E361+C361))</f>
        <v/>
      </c>
      <c r="E361" s="49">
        <f>IF(C361&lt;=0.01,0,ROUND(C361*Calculadora!$C$7/12,2))</f>
        <v/>
      </c>
      <c r="F361" s="48">
        <f>IF(C361&lt;=0.01,0,D361-E361)</f>
        <v/>
      </c>
      <c r="G361" s="48">
        <f>IF(C361&lt;=0.01,0,MAX(ROUND(C361-F361,2),0))</f>
        <v/>
      </c>
      <c r="H361" s="50">
        <f>IFERROR(IF(Calculadora!$C$6&gt;0,1-(G361/Calculadora!$C$6),0),0)</f>
        <v/>
      </c>
    </row>
    <row r="362" ht="18" customHeight="1">
      <c r="A362" s="46" t="n">
        <v>358</v>
      </c>
      <c r="B362" s="47">
        <f>IFERROR(IF(C362&lt;=0.01,"",EDATE(B361,1)),"")</f>
        <v/>
      </c>
      <c r="C362" s="48">
        <f>IF(G361&lt;=0.01,0,G361)</f>
        <v/>
      </c>
      <c r="D362" s="48">
        <f>IF(C362&lt;=0.01,0,IF(A362&lt;Calculadora!$C$8,E362,E362+C362))</f>
        <v/>
      </c>
      <c r="E362" s="49">
        <f>IF(C362&lt;=0.01,0,ROUND(C362*Calculadora!$C$7/12,2))</f>
        <v/>
      </c>
      <c r="F362" s="48">
        <f>IF(C362&lt;=0.01,0,D362-E362)</f>
        <v/>
      </c>
      <c r="G362" s="48">
        <f>IF(C362&lt;=0.01,0,MAX(ROUND(C362-F362,2),0))</f>
        <v/>
      </c>
      <c r="H362" s="50">
        <f>IFERROR(IF(Calculadora!$C$6&gt;0,1-(G362/Calculadora!$C$6),0),0)</f>
        <v/>
      </c>
    </row>
    <row r="363" ht="18" customHeight="1">
      <c r="A363" s="46" t="n">
        <v>359</v>
      </c>
      <c r="B363" s="47">
        <f>IFERROR(IF(C363&lt;=0.01,"",EDATE(B362,1)),"")</f>
        <v/>
      </c>
      <c r="C363" s="48">
        <f>IF(G362&lt;=0.01,0,G362)</f>
        <v/>
      </c>
      <c r="D363" s="48">
        <f>IF(C363&lt;=0.01,0,IF(A363&lt;Calculadora!$C$8,E363,E363+C363))</f>
        <v/>
      </c>
      <c r="E363" s="49">
        <f>IF(C363&lt;=0.01,0,ROUND(C363*Calculadora!$C$7/12,2))</f>
        <v/>
      </c>
      <c r="F363" s="48">
        <f>IF(C363&lt;=0.01,0,D363-E363)</f>
        <v/>
      </c>
      <c r="G363" s="48">
        <f>IF(C363&lt;=0.01,0,MAX(ROUND(C363-F363,2),0))</f>
        <v/>
      </c>
      <c r="H363" s="50">
        <f>IFERROR(IF(Calculadora!$C$6&gt;0,1-(G363/Calculadora!$C$6),0),0)</f>
        <v/>
      </c>
    </row>
    <row r="364" ht="18" customHeight="1">
      <c r="A364" s="46" t="n">
        <v>360</v>
      </c>
      <c r="B364" s="47">
        <f>IFERROR(IF(C364&lt;=0.01,"",EDATE(B363,1)),"")</f>
        <v/>
      </c>
      <c r="C364" s="48">
        <f>IF(G363&lt;=0.01,0,G363)</f>
        <v/>
      </c>
      <c r="D364" s="48">
        <f>IF(C364&lt;=0.01,0,IF(A364&lt;Calculadora!$C$8,E364,E364+C364))</f>
        <v/>
      </c>
      <c r="E364" s="49">
        <f>IF(C364&lt;=0.01,0,ROUND(C364*Calculadora!$C$7/12,2))</f>
        <v/>
      </c>
      <c r="F364" s="48">
        <f>IF(C364&lt;=0.01,0,D364-E364)</f>
        <v/>
      </c>
      <c r="G364" s="48">
        <f>IF(C364&lt;=0.01,0,MAX(ROUND(C364-F364,2),0))</f>
        <v/>
      </c>
      <c r="H364" s="50">
        <f>IFERROR(IF(Calculadora!$C$6&gt;0,1-(G364/Calculadora!$C$6),0),0)</f>
        <v/>
      </c>
    </row>
    <row r="365" ht="26" customHeight="1">
      <c r="A365" s="57" t="inlineStr">
        <is>
          <t>TOTAL</t>
        </is>
      </c>
      <c r="B365" s="17" t="n"/>
      <c r="C365" s="17" t="n"/>
      <c r="D365" s="58">
        <f>SUM(D5:D364)</f>
        <v/>
      </c>
      <c r="E365" s="58">
        <f>SUM(E5:E364)</f>
        <v/>
      </c>
      <c r="F365" s="58">
        <f>SUM(F5:F364)</f>
        <v/>
      </c>
      <c r="G365" s="17" t="n"/>
      <c r="H365" s="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">
    <mergeCell ref="A1:H1"/>
  </mergeCells>
  <conditionalFormatting sqref="G5:G364">
    <cfRule type="cellIs" priority="1" operator="lessThanOrEqual" dxfId="0">
      <formula>0.01</formula>
    </cfRule>
  </conditionalFormatting>
  <conditionalFormatting sqref="H5:H364">
    <cfRule type="dataBar" priority="2">
      <dataBar>
        <cfvo type="num" val="0"/>
        <cfvo type="num" val="1"/>
        <color rgb="00D97706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D9488"/>
    <outlinePr summaryBelow="1" summaryRight="1"/>
    <pageSetUpPr/>
  </sheetPr>
  <dimension ref="A1:E8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8" customWidth="1" min="4" max="4"/>
    <col width="18" customWidth="1" min="5" max="5"/>
    <col width="2" customWidth="1" min="6" max="6"/>
  </cols>
  <sheetData>
    <row r="1" ht="8" customHeight="1">
      <c r="B1" s="1" t="n"/>
      <c r="C1" s="1" t="n"/>
      <c r="D1" s="1" t="n"/>
      <c r="E1" s="1" t="n"/>
    </row>
    <row r="2" ht="40" customHeight="1">
      <c r="B2" s="59" t="inlineStr">
        <is>
          <t>COMPARACION VISUAL DE METODOS</t>
        </is>
      </c>
      <c r="C2" s="1" t="n"/>
      <c r="D2" s="1" t="n"/>
      <c r="E2" s="1" t="n"/>
    </row>
    <row r="3" ht="24" customHeight="1">
      <c r="B3" s="3" t="inlineStr">
        <is>
          <t>Evolucion de cuotas y saldos en los 3 metodos</t>
        </is>
      </c>
      <c r="C3" s="1" t="n"/>
      <c r="D3" s="1" t="n"/>
      <c r="E3" s="1" t="n"/>
    </row>
    <row r="4" ht="8" customHeight="1"/>
    <row r="5" ht="28" customHeight="1">
      <c r="B5" s="12" t="inlineStr">
        <is>
          <t>CUOTA POR ANIO (Bs.)</t>
        </is>
      </c>
      <c r="C5" s="13" t="n"/>
      <c r="D5" s="13" t="n"/>
      <c r="E5" s="13" t="n"/>
    </row>
    <row r="6" ht="24" customHeight="1">
      <c r="A6" t="inlineStr"/>
      <c r="B6" s="45" t="inlineStr">
        <is>
          <t>ANIO</t>
        </is>
      </c>
      <c r="C6" s="45" t="inlineStr">
        <is>
          <t>FRANCES</t>
        </is>
      </c>
      <c r="D6" s="45" t="inlineStr">
        <is>
          <t>ALEMAN</t>
        </is>
      </c>
      <c r="E6" s="45" t="inlineStr">
        <is>
          <t>AMERICANO</t>
        </is>
      </c>
    </row>
    <row r="7" ht="20" customHeight="1">
      <c r="B7" s="60" t="n">
        <v>1</v>
      </c>
      <c r="C7" s="61">
        <f>IFERROR(IF(Tabla_Frances!C5&gt;0.01,Tabla_Frances!D5,""),"")</f>
        <v/>
      </c>
      <c r="D7" s="62">
        <f>IFERROR(IF(Tabla_Aleman!C5&gt;0.01,Tabla_Aleman!D5,""),"")</f>
        <v/>
      </c>
      <c r="E7" s="63">
        <f>IFERROR(IF(Tabla_Americano!C5&gt;0.01,Tabla_Americano!D5,""),"")</f>
        <v/>
      </c>
    </row>
    <row r="8" ht="20" customHeight="1">
      <c r="B8" s="60" t="n">
        <v>2</v>
      </c>
      <c r="C8" s="61">
        <f>IFERROR(IF(Tabla_Frances!C17&gt;0.01,Tabla_Frances!D17,""),"")</f>
        <v/>
      </c>
      <c r="D8" s="62">
        <f>IFERROR(IF(Tabla_Aleman!C17&gt;0.01,Tabla_Aleman!D17,""),"")</f>
        <v/>
      </c>
      <c r="E8" s="63">
        <f>IFERROR(IF(Tabla_Americano!C17&gt;0.01,Tabla_Americano!D17,""),"")</f>
        <v/>
      </c>
    </row>
    <row r="9" ht="20" customHeight="1">
      <c r="B9" s="60" t="n">
        <v>3</v>
      </c>
      <c r="C9" s="61">
        <f>IFERROR(IF(Tabla_Frances!C29&gt;0.01,Tabla_Frances!D29,""),"")</f>
        <v/>
      </c>
      <c r="D9" s="62">
        <f>IFERROR(IF(Tabla_Aleman!C29&gt;0.01,Tabla_Aleman!D29,""),"")</f>
        <v/>
      </c>
      <c r="E9" s="63">
        <f>IFERROR(IF(Tabla_Americano!C29&gt;0.01,Tabla_Americano!D29,""),"")</f>
        <v/>
      </c>
    </row>
    <row r="10" ht="20" customHeight="1">
      <c r="B10" s="60" t="n">
        <v>4</v>
      </c>
      <c r="C10" s="61">
        <f>IFERROR(IF(Tabla_Frances!C41&gt;0.01,Tabla_Frances!D41,""),"")</f>
        <v/>
      </c>
      <c r="D10" s="62">
        <f>IFERROR(IF(Tabla_Aleman!C41&gt;0.01,Tabla_Aleman!D41,""),"")</f>
        <v/>
      </c>
      <c r="E10" s="63">
        <f>IFERROR(IF(Tabla_Americano!C41&gt;0.01,Tabla_Americano!D41,""),"")</f>
        <v/>
      </c>
    </row>
    <row r="11" ht="20" customHeight="1">
      <c r="B11" s="60" t="n">
        <v>5</v>
      </c>
      <c r="C11" s="61">
        <f>IFERROR(IF(Tabla_Frances!C53&gt;0.01,Tabla_Frances!D53,""),"")</f>
        <v/>
      </c>
      <c r="D11" s="62">
        <f>IFERROR(IF(Tabla_Aleman!C53&gt;0.01,Tabla_Aleman!D53,""),"")</f>
        <v/>
      </c>
      <c r="E11" s="63">
        <f>IFERROR(IF(Tabla_Americano!C53&gt;0.01,Tabla_Americano!D53,""),"")</f>
        <v/>
      </c>
    </row>
    <row r="12" ht="20" customHeight="1">
      <c r="B12" s="60" t="n">
        <v>6</v>
      </c>
      <c r="C12" s="61">
        <f>IFERROR(IF(Tabla_Frances!C65&gt;0.01,Tabla_Frances!D65,""),"")</f>
        <v/>
      </c>
      <c r="D12" s="62">
        <f>IFERROR(IF(Tabla_Aleman!C65&gt;0.01,Tabla_Aleman!D65,""),"")</f>
        <v/>
      </c>
      <c r="E12" s="63">
        <f>IFERROR(IF(Tabla_Americano!C65&gt;0.01,Tabla_Americano!D65,""),"")</f>
        <v/>
      </c>
    </row>
    <row r="13" ht="20" customHeight="1">
      <c r="B13" s="60" t="n">
        <v>7</v>
      </c>
      <c r="C13" s="61">
        <f>IFERROR(IF(Tabla_Frances!C77&gt;0.01,Tabla_Frances!D77,""),"")</f>
        <v/>
      </c>
      <c r="D13" s="62">
        <f>IFERROR(IF(Tabla_Aleman!C77&gt;0.01,Tabla_Aleman!D77,""),"")</f>
        <v/>
      </c>
      <c r="E13" s="63">
        <f>IFERROR(IF(Tabla_Americano!C77&gt;0.01,Tabla_Americano!D77,""),"")</f>
        <v/>
      </c>
    </row>
    <row r="14" ht="20" customHeight="1">
      <c r="B14" s="60" t="n">
        <v>8</v>
      </c>
      <c r="C14" s="61">
        <f>IFERROR(IF(Tabla_Frances!C89&gt;0.01,Tabla_Frances!D89,""),"")</f>
        <v/>
      </c>
      <c r="D14" s="62">
        <f>IFERROR(IF(Tabla_Aleman!C89&gt;0.01,Tabla_Aleman!D89,""),"")</f>
        <v/>
      </c>
      <c r="E14" s="63">
        <f>IFERROR(IF(Tabla_Americano!C89&gt;0.01,Tabla_Americano!D89,""),"")</f>
        <v/>
      </c>
    </row>
    <row r="15" ht="20" customHeight="1">
      <c r="B15" s="60" t="n">
        <v>9</v>
      </c>
      <c r="C15" s="61">
        <f>IFERROR(IF(Tabla_Frances!C101&gt;0.01,Tabla_Frances!D101,""),"")</f>
        <v/>
      </c>
      <c r="D15" s="62">
        <f>IFERROR(IF(Tabla_Aleman!C101&gt;0.01,Tabla_Aleman!D101,""),"")</f>
        <v/>
      </c>
      <c r="E15" s="63">
        <f>IFERROR(IF(Tabla_Americano!C101&gt;0.01,Tabla_Americano!D101,""),"")</f>
        <v/>
      </c>
    </row>
    <row r="16" ht="20" customHeight="1">
      <c r="B16" s="60" t="n">
        <v>10</v>
      </c>
      <c r="C16" s="61">
        <f>IFERROR(IF(Tabla_Frances!C113&gt;0.01,Tabla_Frances!D113,""),"")</f>
        <v/>
      </c>
      <c r="D16" s="62">
        <f>IFERROR(IF(Tabla_Aleman!C113&gt;0.01,Tabla_Aleman!D113,""),"")</f>
        <v/>
      </c>
      <c r="E16" s="63">
        <f>IFERROR(IF(Tabla_Americano!C113&gt;0.01,Tabla_Americano!D113,""),"")</f>
        <v/>
      </c>
    </row>
    <row r="17" ht="20" customHeight="1">
      <c r="B17" s="60" t="n">
        <v>11</v>
      </c>
      <c r="C17" s="61">
        <f>IFERROR(IF(Tabla_Frances!C125&gt;0.01,Tabla_Frances!D125,""),"")</f>
        <v/>
      </c>
      <c r="D17" s="62">
        <f>IFERROR(IF(Tabla_Aleman!C125&gt;0.01,Tabla_Aleman!D125,""),"")</f>
        <v/>
      </c>
      <c r="E17" s="63">
        <f>IFERROR(IF(Tabla_Americano!C125&gt;0.01,Tabla_Americano!D125,""),"")</f>
        <v/>
      </c>
    </row>
    <row r="18" ht="20" customHeight="1">
      <c r="B18" s="60" t="n">
        <v>12</v>
      </c>
      <c r="C18" s="61">
        <f>IFERROR(IF(Tabla_Frances!C137&gt;0.01,Tabla_Frances!D137,""),"")</f>
        <v/>
      </c>
      <c r="D18" s="62">
        <f>IFERROR(IF(Tabla_Aleman!C137&gt;0.01,Tabla_Aleman!D137,""),"")</f>
        <v/>
      </c>
      <c r="E18" s="63">
        <f>IFERROR(IF(Tabla_Americano!C137&gt;0.01,Tabla_Americano!D137,""),"")</f>
        <v/>
      </c>
    </row>
    <row r="19" ht="20" customHeight="1">
      <c r="B19" s="60" t="n">
        <v>13</v>
      </c>
      <c r="C19" s="61">
        <f>IFERROR(IF(Tabla_Frances!C149&gt;0.01,Tabla_Frances!D149,""),"")</f>
        <v/>
      </c>
      <c r="D19" s="62">
        <f>IFERROR(IF(Tabla_Aleman!C149&gt;0.01,Tabla_Aleman!D149,""),"")</f>
        <v/>
      </c>
      <c r="E19" s="63">
        <f>IFERROR(IF(Tabla_Americano!C149&gt;0.01,Tabla_Americano!D149,""),"")</f>
        <v/>
      </c>
    </row>
    <row r="20" ht="20" customHeight="1">
      <c r="B20" s="60" t="n">
        <v>14</v>
      </c>
      <c r="C20" s="61">
        <f>IFERROR(IF(Tabla_Frances!C161&gt;0.01,Tabla_Frances!D161,""),"")</f>
        <v/>
      </c>
      <c r="D20" s="62">
        <f>IFERROR(IF(Tabla_Aleman!C161&gt;0.01,Tabla_Aleman!D161,""),"")</f>
        <v/>
      </c>
      <c r="E20" s="63">
        <f>IFERROR(IF(Tabla_Americano!C161&gt;0.01,Tabla_Americano!D161,""),"")</f>
        <v/>
      </c>
    </row>
    <row r="21" ht="20" customHeight="1">
      <c r="B21" s="60" t="n">
        <v>15</v>
      </c>
      <c r="C21" s="61">
        <f>IFERROR(IF(Tabla_Frances!C173&gt;0.01,Tabla_Frances!D173,""),"")</f>
        <v/>
      </c>
      <c r="D21" s="62">
        <f>IFERROR(IF(Tabla_Aleman!C173&gt;0.01,Tabla_Aleman!D173,""),"")</f>
        <v/>
      </c>
      <c r="E21" s="63">
        <f>IFERROR(IF(Tabla_Americano!C173&gt;0.01,Tabla_Americano!D173,""),"")</f>
        <v/>
      </c>
    </row>
    <row r="22" ht="20" customHeight="1">
      <c r="B22" s="60" t="n">
        <v>16</v>
      </c>
      <c r="C22" s="61">
        <f>IFERROR(IF(Tabla_Frances!C185&gt;0.01,Tabla_Frances!D185,""),"")</f>
        <v/>
      </c>
      <c r="D22" s="62">
        <f>IFERROR(IF(Tabla_Aleman!C185&gt;0.01,Tabla_Aleman!D185,""),"")</f>
        <v/>
      </c>
      <c r="E22" s="63">
        <f>IFERROR(IF(Tabla_Americano!C185&gt;0.01,Tabla_Americano!D185,""),"")</f>
        <v/>
      </c>
    </row>
    <row r="23" ht="20" customHeight="1">
      <c r="B23" s="60" t="n">
        <v>17</v>
      </c>
      <c r="C23" s="61">
        <f>IFERROR(IF(Tabla_Frances!C197&gt;0.01,Tabla_Frances!D197,""),"")</f>
        <v/>
      </c>
      <c r="D23" s="62">
        <f>IFERROR(IF(Tabla_Aleman!C197&gt;0.01,Tabla_Aleman!D197,""),"")</f>
        <v/>
      </c>
      <c r="E23" s="63">
        <f>IFERROR(IF(Tabla_Americano!C197&gt;0.01,Tabla_Americano!D197,""),"")</f>
        <v/>
      </c>
    </row>
    <row r="24" ht="20" customHeight="1">
      <c r="B24" s="60" t="n">
        <v>18</v>
      </c>
      <c r="C24" s="61">
        <f>IFERROR(IF(Tabla_Frances!C209&gt;0.01,Tabla_Frances!D209,""),"")</f>
        <v/>
      </c>
      <c r="D24" s="62">
        <f>IFERROR(IF(Tabla_Aleman!C209&gt;0.01,Tabla_Aleman!D209,""),"")</f>
        <v/>
      </c>
      <c r="E24" s="63">
        <f>IFERROR(IF(Tabla_Americano!C209&gt;0.01,Tabla_Americano!D209,""),"")</f>
        <v/>
      </c>
    </row>
    <row r="25" ht="20" customHeight="1">
      <c r="B25" s="60" t="n">
        <v>19</v>
      </c>
      <c r="C25" s="61">
        <f>IFERROR(IF(Tabla_Frances!C221&gt;0.01,Tabla_Frances!D221,""),"")</f>
        <v/>
      </c>
      <c r="D25" s="62">
        <f>IFERROR(IF(Tabla_Aleman!C221&gt;0.01,Tabla_Aleman!D221,""),"")</f>
        <v/>
      </c>
      <c r="E25" s="63">
        <f>IFERROR(IF(Tabla_Americano!C221&gt;0.01,Tabla_Americano!D221,""),"")</f>
        <v/>
      </c>
    </row>
    <row r="26" ht="20" customHeight="1">
      <c r="B26" s="60" t="n">
        <v>20</v>
      </c>
      <c r="C26" s="61">
        <f>IFERROR(IF(Tabla_Frances!C233&gt;0.01,Tabla_Frances!D233,""),"")</f>
        <v/>
      </c>
      <c r="D26" s="62">
        <f>IFERROR(IF(Tabla_Aleman!C233&gt;0.01,Tabla_Aleman!D233,""),"")</f>
        <v/>
      </c>
      <c r="E26" s="63">
        <f>IFERROR(IF(Tabla_Americano!C233&gt;0.01,Tabla_Americano!D233,""),"")</f>
        <v/>
      </c>
    </row>
    <row r="27" ht="20" customHeight="1">
      <c r="B27" s="60" t="n">
        <v>21</v>
      </c>
      <c r="C27" s="61">
        <f>IFERROR(IF(Tabla_Frances!C245&gt;0.01,Tabla_Frances!D245,""),"")</f>
        <v/>
      </c>
      <c r="D27" s="62">
        <f>IFERROR(IF(Tabla_Aleman!C245&gt;0.01,Tabla_Aleman!D245,""),"")</f>
        <v/>
      </c>
      <c r="E27" s="63">
        <f>IFERROR(IF(Tabla_Americano!C245&gt;0.01,Tabla_Americano!D245,""),"")</f>
        <v/>
      </c>
    </row>
    <row r="28" ht="20" customHeight="1">
      <c r="B28" s="60" t="n">
        <v>22</v>
      </c>
      <c r="C28" s="61">
        <f>IFERROR(IF(Tabla_Frances!C257&gt;0.01,Tabla_Frances!D257,""),"")</f>
        <v/>
      </c>
      <c r="D28" s="62">
        <f>IFERROR(IF(Tabla_Aleman!C257&gt;0.01,Tabla_Aleman!D257,""),"")</f>
        <v/>
      </c>
      <c r="E28" s="63">
        <f>IFERROR(IF(Tabla_Americano!C257&gt;0.01,Tabla_Americano!D257,""),"")</f>
        <v/>
      </c>
    </row>
    <row r="29" ht="20" customHeight="1">
      <c r="B29" s="60" t="n">
        <v>23</v>
      </c>
      <c r="C29" s="61">
        <f>IFERROR(IF(Tabla_Frances!C269&gt;0.01,Tabla_Frances!D269,""),"")</f>
        <v/>
      </c>
      <c r="D29" s="62">
        <f>IFERROR(IF(Tabla_Aleman!C269&gt;0.01,Tabla_Aleman!D269,""),"")</f>
        <v/>
      </c>
      <c r="E29" s="63">
        <f>IFERROR(IF(Tabla_Americano!C269&gt;0.01,Tabla_Americano!D269,""),"")</f>
        <v/>
      </c>
    </row>
    <row r="30" ht="20" customHeight="1">
      <c r="B30" s="60" t="n">
        <v>24</v>
      </c>
      <c r="C30" s="61">
        <f>IFERROR(IF(Tabla_Frances!C281&gt;0.01,Tabla_Frances!D281,""),"")</f>
        <v/>
      </c>
      <c r="D30" s="62">
        <f>IFERROR(IF(Tabla_Aleman!C281&gt;0.01,Tabla_Aleman!D281,""),"")</f>
        <v/>
      </c>
      <c r="E30" s="63">
        <f>IFERROR(IF(Tabla_Americano!C281&gt;0.01,Tabla_Americano!D281,""),"")</f>
        <v/>
      </c>
    </row>
    <row r="31" ht="20" customHeight="1">
      <c r="B31" s="60" t="n">
        <v>25</v>
      </c>
      <c r="C31" s="61">
        <f>IFERROR(IF(Tabla_Frances!C293&gt;0.01,Tabla_Frances!D293,""),"")</f>
        <v/>
      </c>
      <c r="D31" s="62">
        <f>IFERROR(IF(Tabla_Aleman!C293&gt;0.01,Tabla_Aleman!D293,""),"")</f>
        <v/>
      </c>
      <c r="E31" s="63">
        <f>IFERROR(IF(Tabla_Americano!C293&gt;0.01,Tabla_Americano!D293,""),"")</f>
        <v/>
      </c>
    </row>
    <row r="32" ht="20" customHeight="1">
      <c r="B32" s="60" t="n">
        <v>26</v>
      </c>
      <c r="C32" s="61">
        <f>IFERROR(IF(Tabla_Frances!C305&gt;0.01,Tabla_Frances!D305,""),"")</f>
        <v/>
      </c>
      <c r="D32" s="62">
        <f>IFERROR(IF(Tabla_Aleman!C305&gt;0.01,Tabla_Aleman!D305,""),"")</f>
        <v/>
      </c>
      <c r="E32" s="63">
        <f>IFERROR(IF(Tabla_Americano!C305&gt;0.01,Tabla_Americano!D305,""),"")</f>
        <v/>
      </c>
    </row>
    <row r="33" ht="20" customHeight="1">
      <c r="B33" s="60" t="n">
        <v>27</v>
      </c>
      <c r="C33" s="61">
        <f>IFERROR(IF(Tabla_Frances!C317&gt;0.01,Tabla_Frances!D317,""),"")</f>
        <v/>
      </c>
      <c r="D33" s="62">
        <f>IFERROR(IF(Tabla_Aleman!C317&gt;0.01,Tabla_Aleman!D317,""),"")</f>
        <v/>
      </c>
      <c r="E33" s="63">
        <f>IFERROR(IF(Tabla_Americano!C317&gt;0.01,Tabla_Americano!D317,""),"")</f>
        <v/>
      </c>
    </row>
    <row r="34" ht="20" customHeight="1">
      <c r="B34" s="60" t="n">
        <v>28</v>
      </c>
      <c r="C34" s="61">
        <f>IFERROR(IF(Tabla_Frances!C329&gt;0.01,Tabla_Frances!D329,""),"")</f>
        <v/>
      </c>
      <c r="D34" s="62">
        <f>IFERROR(IF(Tabla_Aleman!C329&gt;0.01,Tabla_Aleman!D329,""),"")</f>
        <v/>
      </c>
      <c r="E34" s="63">
        <f>IFERROR(IF(Tabla_Americano!C329&gt;0.01,Tabla_Americano!D329,""),"")</f>
        <v/>
      </c>
    </row>
    <row r="35" ht="20" customHeight="1">
      <c r="B35" s="60" t="n">
        <v>29</v>
      </c>
      <c r="C35" s="61">
        <f>IFERROR(IF(Tabla_Frances!C341&gt;0.01,Tabla_Frances!D341,""),"")</f>
        <v/>
      </c>
      <c r="D35" s="62">
        <f>IFERROR(IF(Tabla_Aleman!C341&gt;0.01,Tabla_Aleman!D341,""),"")</f>
        <v/>
      </c>
      <c r="E35" s="63">
        <f>IFERROR(IF(Tabla_Americano!C341&gt;0.01,Tabla_Americano!D341,""),"")</f>
        <v/>
      </c>
    </row>
    <row r="36" ht="20" customHeight="1">
      <c r="B36" s="60" t="n">
        <v>30</v>
      </c>
      <c r="C36" s="61">
        <f>IFERROR(IF(Tabla_Frances!C353&gt;0.01,Tabla_Frances!D353,""),"")</f>
        <v/>
      </c>
      <c r="D36" s="62">
        <f>IFERROR(IF(Tabla_Aleman!C353&gt;0.01,Tabla_Aleman!D353,""),"")</f>
        <v/>
      </c>
      <c r="E36" s="63">
        <f>IFERROR(IF(Tabla_Americano!C353&gt;0.01,Tabla_Americano!D353,""),"")</f>
        <v/>
      </c>
    </row>
    <row r="55" ht="28" customHeight="1">
      <c r="B55" s="12" t="inlineStr">
        <is>
          <t>SALDO PENDIENTE POR ANIO (Bs.)</t>
        </is>
      </c>
      <c r="C55" s="13" t="n"/>
      <c r="D55" s="13" t="n"/>
      <c r="E55" s="13" t="n"/>
    </row>
    <row r="56" ht="24" customHeight="1">
      <c r="A56" t="inlineStr"/>
      <c r="B56" s="45" t="inlineStr">
        <is>
          <t>ANIO</t>
        </is>
      </c>
      <c r="C56" s="45" t="inlineStr">
        <is>
          <t>FRANCES</t>
        </is>
      </c>
      <c r="D56" s="45" t="inlineStr">
        <is>
          <t>ALEMAN</t>
        </is>
      </c>
      <c r="E56" s="45" t="inlineStr">
        <is>
          <t>AMERICANO</t>
        </is>
      </c>
    </row>
    <row r="57" ht="20" customHeight="1">
      <c r="B57" s="60" t="n">
        <v>1</v>
      </c>
      <c r="C57" s="61">
        <f>IFERROR(Tabla_Frances!G16,"")</f>
        <v/>
      </c>
      <c r="D57" s="62">
        <f>IFERROR(Tabla_Aleman!G16,"")</f>
        <v/>
      </c>
      <c r="E57" s="63">
        <f>IFERROR(Tabla_Americano!G16,"")</f>
        <v/>
      </c>
    </row>
    <row r="58" ht="20" customHeight="1">
      <c r="B58" s="60" t="n">
        <v>2</v>
      </c>
      <c r="C58" s="61">
        <f>IFERROR(Tabla_Frances!G28,"")</f>
        <v/>
      </c>
      <c r="D58" s="62">
        <f>IFERROR(Tabla_Aleman!G28,"")</f>
        <v/>
      </c>
      <c r="E58" s="63">
        <f>IFERROR(Tabla_Americano!G28,"")</f>
        <v/>
      </c>
    </row>
    <row r="59" ht="20" customHeight="1">
      <c r="B59" s="60" t="n">
        <v>3</v>
      </c>
      <c r="C59" s="61">
        <f>IFERROR(Tabla_Frances!G40,"")</f>
        <v/>
      </c>
      <c r="D59" s="62">
        <f>IFERROR(Tabla_Aleman!G40,"")</f>
        <v/>
      </c>
      <c r="E59" s="63">
        <f>IFERROR(Tabla_Americano!G40,"")</f>
        <v/>
      </c>
    </row>
    <row r="60" ht="20" customHeight="1">
      <c r="B60" s="60" t="n">
        <v>4</v>
      </c>
      <c r="C60" s="61">
        <f>IFERROR(Tabla_Frances!G52,"")</f>
        <v/>
      </c>
      <c r="D60" s="62">
        <f>IFERROR(Tabla_Aleman!G52,"")</f>
        <v/>
      </c>
      <c r="E60" s="63">
        <f>IFERROR(Tabla_Americano!G52,"")</f>
        <v/>
      </c>
    </row>
    <row r="61" ht="20" customHeight="1">
      <c r="B61" s="60" t="n">
        <v>5</v>
      </c>
      <c r="C61" s="61">
        <f>IFERROR(Tabla_Frances!G64,"")</f>
        <v/>
      </c>
      <c r="D61" s="62">
        <f>IFERROR(Tabla_Aleman!G64,"")</f>
        <v/>
      </c>
      <c r="E61" s="63">
        <f>IFERROR(Tabla_Americano!G64,"")</f>
        <v/>
      </c>
    </row>
    <row r="62" ht="20" customHeight="1">
      <c r="B62" s="60" t="n">
        <v>6</v>
      </c>
      <c r="C62" s="61">
        <f>IFERROR(Tabla_Frances!G76,"")</f>
        <v/>
      </c>
      <c r="D62" s="62">
        <f>IFERROR(Tabla_Aleman!G76,"")</f>
        <v/>
      </c>
      <c r="E62" s="63">
        <f>IFERROR(Tabla_Americano!G76,"")</f>
        <v/>
      </c>
    </row>
    <row r="63" ht="20" customHeight="1">
      <c r="B63" s="60" t="n">
        <v>7</v>
      </c>
      <c r="C63" s="61">
        <f>IFERROR(Tabla_Frances!G88,"")</f>
        <v/>
      </c>
      <c r="D63" s="62">
        <f>IFERROR(Tabla_Aleman!G88,"")</f>
        <v/>
      </c>
      <c r="E63" s="63">
        <f>IFERROR(Tabla_Americano!G88,"")</f>
        <v/>
      </c>
    </row>
    <row r="64" ht="20" customHeight="1">
      <c r="B64" s="60" t="n">
        <v>8</v>
      </c>
      <c r="C64" s="61">
        <f>IFERROR(Tabla_Frances!G100,"")</f>
        <v/>
      </c>
      <c r="D64" s="62">
        <f>IFERROR(Tabla_Aleman!G100,"")</f>
        <v/>
      </c>
      <c r="E64" s="63">
        <f>IFERROR(Tabla_Americano!G100,"")</f>
        <v/>
      </c>
    </row>
    <row r="65" ht="20" customHeight="1">
      <c r="B65" s="60" t="n">
        <v>9</v>
      </c>
      <c r="C65" s="61">
        <f>IFERROR(Tabla_Frances!G112,"")</f>
        <v/>
      </c>
      <c r="D65" s="62">
        <f>IFERROR(Tabla_Aleman!G112,"")</f>
        <v/>
      </c>
      <c r="E65" s="63">
        <f>IFERROR(Tabla_Americano!G112,"")</f>
        <v/>
      </c>
    </row>
    <row r="66" ht="20" customHeight="1">
      <c r="B66" s="60" t="n">
        <v>10</v>
      </c>
      <c r="C66" s="61">
        <f>IFERROR(Tabla_Frances!G124,"")</f>
        <v/>
      </c>
      <c r="D66" s="62">
        <f>IFERROR(Tabla_Aleman!G124,"")</f>
        <v/>
      </c>
      <c r="E66" s="63">
        <f>IFERROR(Tabla_Americano!G124,"")</f>
        <v/>
      </c>
    </row>
    <row r="67" ht="20" customHeight="1">
      <c r="B67" s="60" t="n">
        <v>11</v>
      </c>
      <c r="C67" s="61">
        <f>IFERROR(Tabla_Frances!G136,"")</f>
        <v/>
      </c>
      <c r="D67" s="62">
        <f>IFERROR(Tabla_Aleman!G136,"")</f>
        <v/>
      </c>
      <c r="E67" s="63">
        <f>IFERROR(Tabla_Americano!G136,"")</f>
        <v/>
      </c>
    </row>
    <row r="68" ht="20" customHeight="1">
      <c r="B68" s="60" t="n">
        <v>12</v>
      </c>
      <c r="C68" s="61">
        <f>IFERROR(Tabla_Frances!G148,"")</f>
        <v/>
      </c>
      <c r="D68" s="62">
        <f>IFERROR(Tabla_Aleman!G148,"")</f>
        <v/>
      </c>
      <c r="E68" s="63">
        <f>IFERROR(Tabla_Americano!G148,"")</f>
        <v/>
      </c>
    </row>
    <row r="69" ht="20" customHeight="1">
      <c r="B69" s="60" t="n">
        <v>13</v>
      </c>
      <c r="C69" s="61">
        <f>IFERROR(Tabla_Frances!G160,"")</f>
        <v/>
      </c>
      <c r="D69" s="62">
        <f>IFERROR(Tabla_Aleman!G160,"")</f>
        <v/>
      </c>
      <c r="E69" s="63">
        <f>IFERROR(Tabla_Americano!G160,"")</f>
        <v/>
      </c>
    </row>
    <row r="70" ht="20" customHeight="1">
      <c r="B70" s="60" t="n">
        <v>14</v>
      </c>
      <c r="C70" s="61">
        <f>IFERROR(Tabla_Frances!G172,"")</f>
        <v/>
      </c>
      <c r="D70" s="62">
        <f>IFERROR(Tabla_Aleman!G172,"")</f>
        <v/>
      </c>
      <c r="E70" s="63">
        <f>IFERROR(Tabla_Americano!G172,"")</f>
        <v/>
      </c>
    </row>
    <row r="71" ht="20" customHeight="1">
      <c r="B71" s="60" t="n">
        <v>15</v>
      </c>
      <c r="C71" s="61">
        <f>IFERROR(Tabla_Frances!G184,"")</f>
        <v/>
      </c>
      <c r="D71" s="62">
        <f>IFERROR(Tabla_Aleman!G184,"")</f>
        <v/>
      </c>
      <c r="E71" s="63">
        <f>IFERROR(Tabla_Americano!G184,"")</f>
        <v/>
      </c>
    </row>
    <row r="72" ht="20" customHeight="1">
      <c r="B72" s="60" t="n">
        <v>16</v>
      </c>
      <c r="C72" s="61">
        <f>IFERROR(Tabla_Frances!G196,"")</f>
        <v/>
      </c>
      <c r="D72" s="62">
        <f>IFERROR(Tabla_Aleman!G196,"")</f>
        <v/>
      </c>
      <c r="E72" s="63">
        <f>IFERROR(Tabla_Americano!G196,"")</f>
        <v/>
      </c>
    </row>
    <row r="73" ht="20" customHeight="1">
      <c r="B73" s="60" t="n">
        <v>17</v>
      </c>
      <c r="C73" s="61">
        <f>IFERROR(Tabla_Frances!G208,"")</f>
        <v/>
      </c>
      <c r="D73" s="62">
        <f>IFERROR(Tabla_Aleman!G208,"")</f>
        <v/>
      </c>
      <c r="E73" s="63">
        <f>IFERROR(Tabla_Americano!G208,"")</f>
        <v/>
      </c>
    </row>
    <row r="74" ht="20" customHeight="1">
      <c r="B74" s="60" t="n">
        <v>18</v>
      </c>
      <c r="C74" s="61">
        <f>IFERROR(Tabla_Frances!G220,"")</f>
        <v/>
      </c>
      <c r="D74" s="62">
        <f>IFERROR(Tabla_Aleman!G220,"")</f>
        <v/>
      </c>
      <c r="E74" s="63">
        <f>IFERROR(Tabla_Americano!G220,"")</f>
        <v/>
      </c>
    </row>
    <row r="75" ht="20" customHeight="1">
      <c r="B75" s="60" t="n">
        <v>19</v>
      </c>
      <c r="C75" s="61">
        <f>IFERROR(Tabla_Frances!G232,"")</f>
        <v/>
      </c>
      <c r="D75" s="62">
        <f>IFERROR(Tabla_Aleman!G232,"")</f>
        <v/>
      </c>
      <c r="E75" s="63">
        <f>IFERROR(Tabla_Americano!G232,"")</f>
        <v/>
      </c>
    </row>
    <row r="76" ht="20" customHeight="1">
      <c r="B76" s="60" t="n">
        <v>20</v>
      </c>
      <c r="C76" s="61">
        <f>IFERROR(Tabla_Frances!G244,"")</f>
        <v/>
      </c>
      <c r="D76" s="62">
        <f>IFERROR(Tabla_Aleman!G244,"")</f>
        <v/>
      </c>
      <c r="E76" s="63">
        <f>IFERROR(Tabla_Americano!G244,"")</f>
        <v/>
      </c>
    </row>
    <row r="77" ht="20" customHeight="1">
      <c r="B77" s="60" t="n">
        <v>21</v>
      </c>
      <c r="C77" s="61">
        <f>IFERROR(Tabla_Frances!G256,"")</f>
        <v/>
      </c>
      <c r="D77" s="62">
        <f>IFERROR(Tabla_Aleman!G256,"")</f>
        <v/>
      </c>
      <c r="E77" s="63">
        <f>IFERROR(Tabla_Americano!G256,"")</f>
        <v/>
      </c>
    </row>
    <row r="78" ht="20" customHeight="1">
      <c r="B78" s="60" t="n">
        <v>22</v>
      </c>
      <c r="C78" s="61">
        <f>IFERROR(Tabla_Frances!G268,"")</f>
        <v/>
      </c>
      <c r="D78" s="62">
        <f>IFERROR(Tabla_Aleman!G268,"")</f>
        <v/>
      </c>
      <c r="E78" s="63">
        <f>IFERROR(Tabla_Americano!G268,"")</f>
        <v/>
      </c>
    </row>
    <row r="79" ht="20" customHeight="1">
      <c r="B79" s="60" t="n">
        <v>23</v>
      </c>
      <c r="C79" s="61">
        <f>IFERROR(Tabla_Frances!G280,"")</f>
        <v/>
      </c>
      <c r="D79" s="62">
        <f>IFERROR(Tabla_Aleman!G280,"")</f>
        <v/>
      </c>
      <c r="E79" s="63">
        <f>IFERROR(Tabla_Americano!G280,"")</f>
        <v/>
      </c>
    </row>
    <row r="80" ht="20" customHeight="1">
      <c r="B80" s="60" t="n">
        <v>24</v>
      </c>
      <c r="C80" s="61">
        <f>IFERROR(Tabla_Frances!G292,"")</f>
        <v/>
      </c>
      <c r="D80" s="62">
        <f>IFERROR(Tabla_Aleman!G292,"")</f>
        <v/>
      </c>
      <c r="E80" s="63">
        <f>IFERROR(Tabla_Americano!G292,"")</f>
        <v/>
      </c>
    </row>
    <row r="81" ht="20" customHeight="1">
      <c r="B81" s="60" t="n">
        <v>25</v>
      </c>
      <c r="C81" s="61">
        <f>IFERROR(Tabla_Frances!G304,"")</f>
        <v/>
      </c>
      <c r="D81" s="62">
        <f>IFERROR(Tabla_Aleman!G304,"")</f>
        <v/>
      </c>
      <c r="E81" s="63">
        <f>IFERROR(Tabla_Americano!G304,"")</f>
        <v/>
      </c>
    </row>
    <row r="82" ht="20" customHeight="1">
      <c r="B82" s="60" t="n">
        <v>26</v>
      </c>
      <c r="C82" s="61">
        <f>IFERROR(Tabla_Frances!G316,"")</f>
        <v/>
      </c>
      <c r="D82" s="62">
        <f>IFERROR(Tabla_Aleman!G316,"")</f>
        <v/>
      </c>
      <c r="E82" s="63">
        <f>IFERROR(Tabla_Americano!G316,"")</f>
        <v/>
      </c>
    </row>
    <row r="83" ht="20" customHeight="1">
      <c r="B83" s="60" t="n">
        <v>27</v>
      </c>
      <c r="C83" s="61">
        <f>IFERROR(Tabla_Frances!G328,"")</f>
        <v/>
      </c>
      <c r="D83" s="62">
        <f>IFERROR(Tabla_Aleman!G328,"")</f>
        <v/>
      </c>
      <c r="E83" s="63">
        <f>IFERROR(Tabla_Americano!G328,"")</f>
        <v/>
      </c>
    </row>
    <row r="84" ht="20" customHeight="1">
      <c r="B84" s="60" t="n">
        <v>28</v>
      </c>
      <c r="C84" s="61">
        <f>IFERROR(Tabla_Frances!G340,"")</f>
        <v/>
      </c>
      <c r="D84" s="62">
        <f>IFERROR(Tabla_Aleman!G340,"")</f>
        <v/>
      </c>
      <c r="E84" s="63">
        <f>IFERROR(Tabla_Americano!G340,"")</f>
        <v/>
      </c>
    </row>
    <row r="85" ht="20" customHeight="1">
      <c r="B85" s="60" t="n">
        <v>29</v>
      </c>
      <c r="C85" s="61">
        <f>IFERROR(Tabla_Frances!G352,"")</f>
        <v/>
      </c>
      <c r="D85" s="62">
        <f>IFERROR(Tabla_Aleman!G352,"")</f>
        <v/>
      </c>
      <c r="E85" s="63">
        <f>IFERROR(Tabla_Americano!G352,"")</f>
        <v/>
      </c>
    </row>
    <row r="86" ht="20" customHeight="1">
      <c r="B86" s="60" t="n">
        <v>30</v>
      </c>
      <c r="C86" s="61">
        <f>IFERROR(Tabla_Frances!G364,"")</f>
        <v/>
      </c>
      <c r="D86" s="62">
        <f>IFERROR(Tabla_Aleman!G364,"")</f>
        <v/>
      </c>
      <c r="E86" s="63">
        <f>IFERROR(Tabla_Americano!G364,"")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5">
    <mergeCell ref="B1:E1"/>
    <mergeCell ref="B55:E55"/>
    <mergeCell ref="B3:E3"/>
    <mergeCell ref="B5:E5"/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6B7280"/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36" customHeight="1">
      <c r="A1" s="37" t="inlineStr">
        <is>
          <t>CONFIGURACION</t>
        </is>
      </c>
      <c r="B1" s="1" t="n"/>
    </row>
    <row r="3">
      <c r="A3" s="64" t="inlineStr">
        <is>
          <t>Producto</t>
        </is>
      </c>
      <c r="B3" s="65" t="inlineStr">
        <is>
          <t>Amortizador de Deudas PRO</t>
        </is>
      </c>
    </row>
    <row r="4">
      <c r="A4" s="64" t="inlineStr">
        <is>
          <t>Version</t>
        </is>
      </c>
      <c r="B4" s="65" t="inlineStr">
        <is>
          <t>v1.0.0</t>
        </is>
      </c>
    </row>
    <row r="5">
      <c r="A5" s="64" t="inlineStr">
        <is>
          <t>Marca</t>
        </is>
      </c>
      <c r="B5" s="65" t="inlineStr">
        <is>
          <t>No Somos Ignorantes</t>
        </is>
      </c>
    </row>
    <row r="6">
      <c r="A6" s="64" t="inlineStr">
        <is>
          <t>Precio</t>
        </is>
      </c>
      <c r="B6" s="65" t="inlineStr">
        <is>
          <t>Bs. 69</t>
        </is>
      </c>
    </row>
    <row r="7">
      <c r="A7" s="64" t="inlineStr">
        <is>
          <t>Metodos</t>
        </is>
      </c>
      <c r="B7" s="65" t="inlineStr">
        <is>
          <t>Frances, Aleman, Americano</t>
        </is>
      </c>
    </row>
    <row r="8">
      <c r="A8" s="64" t="inlineStr">
        <is>
          <t>Max plazo</t>
        </is>
      </c>
      <c r="B8" s="65" t="inlineStr">
        <is>
          <t>360 meses (30 anios)</t>
        </is>
      </c>
    </row>
    <row r="9">
      <c r="A9" s="64" t="inlineStr">
        <is>
          <t>Proteccion</t>
        </is>
      </c>
      <c r="B9" s="65" t="inlineStr">
        <is>
          <t>nsi2024</t>
        </is>
      </c>
    </row>
    <row r="10">
      <c r="A10" s="64" t="inlineStr">
        <is>
          <t>Contacto</t>
        </is>
      </c>
      <c r="B10" s="65" t="inlineStr">
        <is>
          <t>nosomosignorantes@gmail.com</t>
        </is>
      </c>
    </row>
    <row r="13" ht="32" customHeight="1">
      <c r="A13" s="66" t="inlineStr">
        <is>
          <t>INSTRUCCIONES DE USO</t>
        </is>
      </c>
      <c r="B13" s="1" t="n"/>
    </row>
    <row r="14" ht="20" customHeight="1">
      <c r="A14" s="67" t="inlineStr">
        <is>
          <t>1. En la hoja 'Calculadora' ingresa: capital, tasa anual, plazo y fecha de inicio.</t>
        </is>
      </c>
    </row>
    <row r="15" ht="20" customHeight="1">
      <c r="A15" s="67" t="inlineStr">
        <is>
          <t>2. La tabla de comparacion muestra los 3 metodos lado a lado automaticamente.</t>
        </is>
      </c>
    </row>
    <row r="16" ht="20" customHeight="1">
      <c r="A16" s="67" t="inlineStr">
        <is>
          <t>3. Revisa cada hoja de tabla (Frances, Aleman, Americano) para el detalle mes a mes.</t>
        </is>
      </c>
    </row>
    <row r="17" ht="20" customHeight="1">
      <c r="A17" s="67" t="inlineStr">
        <is>
          <t>4. La hoja 'Comparacion' muestra graficos de evolucion de cuotas y saldos.</t>
        </is>
      </c>
    </row>
    <row r="18" ht="20" customHeight="1">
      <c r="A18" s="67" t="inlineStr"/>
    </row>
    <row r="19" ht="20" customHeight="1">
      <c r="A19" s="67" t="inlineStr">
        <is>
          <t>METODO FRANCES (el mas comun en Bolivia):</t>
        </is>
      </c>
    </row>
    <row r="20" ht="20" customHeight="1">
      <c r="A20" s="67" t="inlineStr">
        <is>
          <t>- Cuota FIJA todos los meses.</t>
        </is>
      </c>
    </row>
    <row r="21" ht="20" customHeight="1">
      <c r="A21" s="67" t="inlineStr">
        <is>
          <t>- Al inicio pagas mas interes, al final mas capital.</t>
        </is>
      </c>
    </row>
    <row r="22" ht="20" customHeight="1">
      <c r="A22" s="67" t="inlineStr">
        <is>
          <t>- Ideal si quieres planificar un presupuesto fijo.</t>
        </is>
      </c>
    </row>
    <row r="23" ht="20" customHeight="1">
      <c r="A23" s="67" t="inlineStr"/>
    </row>
    <row r="24" ht="20" customHeight="1">
      <c r="A24" s="67" t="inlineStr">
        <is>
          <t>METODO ALEMAN:</t>
        </is>
      </c>
    </row>
    <row r="25" ht="20" customHeight="1">
      <c r="A25" s="67" t="inlineStr">
        <is>
          <t>- Amortizacion de capital FIJA (siempre pagas lo mismo de capital).</t>
        </is>
      </c>
    </row>
    <row r="26" ht="20" customHeight="1">
      <c r="A26" s="67" t="inlineStr">
        <is>
          <t>- La cuota BAJA cada mes porque los intereses disminuyen.</t>
        </is>
      </c>
    </row>
    <row r="27" ht="20" customHeight="1">
      <c r="A27" s="67" t="inlineStr">
        <is>
          <t>- Pagas MENOS intereses en total vs Frances.</t>
        </is>
      </c>
    </row>
    <row r="28" ht="20" customHeight="1">
      <c r="A28" s="67" t="inlineStr"/>
    </row>
    <row r="29" ht="20" customHeight="1">
      <c r="A29" s="67" t="inlineStr">
        <is>
          <t>METODO AMERICANO:</t>
        </is>
      </c>
    </row>
    <row r="30" ht="20" customHeight="1">
      <c r="A30" s="67" t="inlineStr">
        <is>
          <t>- Solo pagas intereses cada mes (cuota baja).</t>
        </is>
      </c>
    </row>
    <row r="31" ht="20" customHeight="1">
      <c r="A31" s="67" t="inlineStr">
        <is>
          <t>- Al final del plazo devuelves TODO el capital de golpe.</t>
        </is>
      </c>
    </row>
    <row r="32" ht="20" customHeight="1">
      <c r="A32" s="67" t="inlineStr">
        <is>
          <t>- Riesgoso: requiere disciplina para ahorrar el capital.</t>
        </is>
      </c>
    </row>
    <row r="33" ht="20" customHeight="1">
      <c r="A33" s="67" t="inlineStr">
        <is>
          <t>- Pagas MAS intereses que cualquier otro metodo.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22">
    <mergeCell ref="A24:B24"/>
    <mergeCell ref="A30:B30"/>
    <mergeCell ref="A15:B15"/>
    <mergeCell ref="A1:B1"/>
    <mergeCell ref="A16:B16"/>
    <mergeCell ref="A25:B25"/>
    <mergeCell ref="A18:B18"/>
    <mergeCell ref="A27:B27"/>
    <mergeCell ref="A26:B26"/>
    <mergeCell ref="A21:B21"/>
    <mergeCell ref="A33:B33"/>
    <mergeCell ref="A32:B32"/>
    <mergeCell ref="A14:B14"/>
    <mergeCell ref="A23:B23"/>
    <mergeCell ref="A17:B17"/>
    <mergeCell ref="A22:B22"/>
    <mergeCell ref="A20:B20"/>
    <mergeCell ref="A29:B29"/>
    <mergeCell ref="A19:B19"/>
    <mergeCell ref="A28:B28"/>
    <mergeCell ref="A13:B13"/>
    <mergeCell ref="A31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2026-02-06T03:40:25Z</dcterms:created>
  <dcterms:modified xmlns:dcterms="http://purl.org/dc/terms/" xmlns:xsi="http://www.w3.org/2001/XMLSchema-instance" xsi:type="dcterms:W3CDTF">2026-02-06T03:40:26Z</dcterms:modified>
</cp:coreProperties>
</file>