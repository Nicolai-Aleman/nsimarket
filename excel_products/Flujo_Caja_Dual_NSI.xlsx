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Flujo_BOB" sheetId="2" state="visible" r:id="rId2"/>
    <sheet xmlns:r="http://schemas.openxmlformats.org/officeDocument/2006/relationships" name="Flujo_USD" sheetId="3" state="visible" r:id="rId3"/>
    <sheet xmlns:r="http://schemas.openxmlformats.org/officeDocument/2006/relationships" name="TipoCambio" sheetId="4" state="visible" r:id="rId4"/>
    <sheet xmlns:r="http://schemas.openxmlformats.org/officeDocument/2006/relationships" name="Proyeccion" sheetId="5" state="visible" r:id="rId5"/>
    <sheet xmlns:r="http://schemas.openxmlformats.org/officeDocument/2006/relationships" name="Confi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+0.00%;-0.00%"/>
  </numFmts>
  <fonts count="17">
    <font>
      <name val="Calibri"/>
      <family val="2"/>
      <color theme="1"/>
      <sz val="11"/>
      <scheme val="minor"/>
    </font>
    <font>
      <name val="Calibri"/>
      <b val="1"/>
      <color rgb="00000000"/>
      <sz val="20"/>
    </font>
    <font>
      <name val="Calibri"/>
      <color rgb="006B7280"/>
      <sz val="10"/>
    </font>
    <font>
      <name val="Calibri"/>
      <b val="1"/>
      <color rgb="00374151"/>
      <sz val="10"/>
    </font>
    <font>
      <name val="Calibri"/>
      <color rgb="000000FF"/>
      <sz val="11"/>
    </font>
    <font>
      <name val="Calibri"/>
      <b val="1"/>
      <color rgb="00FFFFFF"/>
      <sz val="10"/>
    </font>
    <font>
      <name val="Calibri"/>
      <b val="1"/>
      <color rgb="00000000"/>
      <sz val="24"/>
    </font>
    <font>
      <name val="Calibri"/>
      <b val="1"/>
      <color rgb="00374151"/>
      <sz val="11"/>
    </font>
    <font>
      <name val="Calibri"/>
      <color rgb="00374151"/>
      <sz val="10"/>
    </font>
    <font>
      <name val="Calibri"/>
      <b val="1"/>
      <color rgb="00000000"/>
      <sz val="16"/>
    </font>
    <font>
      <name val="Calibri"/>
      <i val="1"/>
      <color rgb="006B7280"/>
      <sz val="10"/>
    </font>
    <font>
      <name val="Calibri"/>
      <b val="1"/>
      <color rgb="00D4AF37"/>
      <sz val="10"/>
    </font>
    <font>
      <name val="Calibri"/>
      <color rgb="00111827"/>
      <sz val="11"/>
    </font>
    <font>
      <name val="Calibri"/>
      <b val="1"/>
      <color rgb="00111827"/>
      <sz val="11"/>
    </font>
    <font>
      <name val="Calibri"/>
      <color rgb="009CA3AF"/>
      <sz val="9"/>
    </font>
    <font>
      <name val="Calibri"/>
      <b val="1"/>
      <color rgb="00000000"/>
      <sz val="14"/>
    </font>
    <font>
      <name val="Calibri"/>
      <color rgb="004B5563"/>
      <sz val="10"/>
    </font>
  </fonts>
  <fills count="11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E74C3C"/>
      </patternFill>
    </fill>
    <fill>
      <patternFill patternType="solid">
        <fgColor rgb="0016A085"/>
      </patternFill>
    </fill>
    <fill>
      <patternFill patternType="solid">
        <fgColor rgb="00E67E22"/>
      </patternFill>
    </fill>
    <fill>
      <patternFill patternType="solid">
        <fgColor rgb="008E44AD"/>
      </patternFill>
    </fill>
    <fill>
      <patternFill patternType="solid">
        <fgColor rgb="00374151"/>
      </patternFill>
    </fill>
    <fill>
      <patternFill patternType="solid">
        <fgColor rgb="001A1A2E"/>
      </patternFill>
    </fill>
    <fill>
      <patternFill patternType="solid">
        <fgColor rgb="00E8F5E9"/>
      </patternFill>
    </fill>
  </fills>
  <borders count="3">
    <border>
      <left/>
      <right/>
      <top/>
      <bottom/>
      <diagonal/>
    </border>
    <border>
      <left style="thin">
        <color rgb="00D4AF37"/>
      </left>
      <right style="thin">
        <color rgb="00D4AF37"/>
      </right>
      <top style="thin">
        <color rgb="00D4AF37"/>
      </top>
      <bottom style="thin">
        <color rgb="00D4AF37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2" borderId="0" pivotButton="0" quotePrefix="0" xfId="0"/>
    <xf numFmtId="4" fontId="4" fillId="3" borderId="1" applyAlignment="1" applyProtection="1" pivotButton="0" quotePrefix="0" xfId="0">
      <alignment horizontal="center" vertical="center"/>
      <protection locked="0" hidden="0"/>
    </xf>
    <xf numFmtId="0" fontId="5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4" fontId="6" fillId="2" borderId="0" applyAlignment="1" pivotButton="0" quotePrefix="0" xfId="0">
      <alignment horizontal="right" vertical="center"/>
    </xf>
    <xf numFmtId="0" fontId="5" fillId="6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7" fillId="2" borderId="0" pivotButton="0" quotePrefix="0" xfId="0"/>
    <xf numFmtId="0" fontId="5" fillId="8" borderId="2" applyAlignment="1" pivotButton="0" quotePrefix="0" xfId="0">
      <alignment horizontal="center" vertical="center" wrapText="1"/>
    </xf>
    <xf numFmtId="0" fontId="8" fillId="2" borderId="2" pivotButton="0" quotePrefix="0" xfId="0"/>
    <xf numFmtId="3" fontId="0" fillId="2" borderId="2" pivotButton="0" quotePrefix="0" xfId="0"/>
    <xf numFmtId="0" fontId="9" fillId="2" borderId="0" applyAlignment="1" pivotButton="0" quotePrefix="0" xfId="0">
      <alignment horizontal="left" vertical="center"/>
    </xf>
    <xf numFmtId="0" fontId="10" fillId="2" borderId="0" pivotButton="0" quotePrefix="0" xfId="0"/>
    <xf numFmtId="0" fontId="11" fillId="9" borderId="2" applyAlignment="1" pivotButton="0" quotePrefix="0" xfId="0">
      <alignment horizontal="center" vertical="center" wrapText="1"/>
    </xf>
    <xf numFmtId="164" fontId="4" fillId="3" borderId="1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horizontal="left" vertical="center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4" fontId="12" fillId="10" borderId="2" applyAlignment="1" pivotButton="0" quotePrefix="0" xfId="0">
      <alignment horizontal="right" vertical="center"/>
    </xf>
    <xf numFmtId="165" fontId="12" fillId="10" borderId="2" applyAlignment="1" pivotButton="0" quotePrefix="0" xfId="0">
      <alignment horizontal="right" vertical="center"/>
    </xf>
    <xf numFmtId="4" fontId="13" fillId="10" borderId="2" applyAlignment="1" pivotButton="0" quotePrefix="0" xfId="0">
      <alignment horizontal="right" vertical="center"/>
    </xf>
    <xf numFmtId="0" fontId="14" fillId="2" borderId="0" pivotButton="0" quotePrefix="0" xfId="0"/>
    <xf numFmtId="0" fontId="15" fillId="2" borderId="0" applyAlignment="1" pivotButton="0" quotePrefix="0" xfId="0">
      <alignment horizontal="left" vertical="center"/>
    </xf>
    <xf numFmtId="0" fontId="16" fillId="2" borderId="0" pivotButton="0" quotePrefix="0" xfId="0"/>
  </cellXfs>
  <cellStyles count="1">
    <cellStyle name="Normal" xfId="0" builtinId="0" hidden="0"/>
  </cellStyles>
  <dxfs count="2">
    <dxf>
      <font>
        <b val="1"/>
        <color rgb="00E74C3C"/>
      </font>
      <fill>
        <patternFill patternType="solid">
          <fgColor rgb="00FEE2E2"/>
        </patternFill>
      </fill>
    </dxf>
    <dxf>
      <font>
        <b val="1"/>
        <color rgb="0027AE60"/>
      </font>
      <fill>
        <patternFill patternType="solid">
          <fgColor rgb="00D1FA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Flujo de Caja Mensual Combinado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'Dashboard'!C13</f>
            </strRef>
          </tx>
          <spPr>
            <a:solidFill xmlns:a="http://schemas.openxmlformats.org/drawingml/2006/main">
              <a:srgbClr val="27AE60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'Dashboard'!$B$14:$B$25</f>
            </numRef>
          </cat>
          <val>
            <numRef>
              <f>'Dashboard'!$C$14:$C$25</f>
            </numRef>
          </val>
        </ser>
        <ser>
          <idx val="1"/>
          <order val="1"/>
          <tx>
            <strRef>
              <f>'Dashboard'!D13</f>
            </strRef>
          </tx>
          <spPr>
            <a:solidFill xmlns:a="http://schemas.openxmlformats.org/drawingml/2006/main">
              <a:srgbClr val="E74C3C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'Dashboard'!$B$14:$B$25</f>
            </numRef>
          </cat>
          <val>
            <numRef>
              <f>'Dashboard'!$D$14:$D$25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Bs.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Saldo Acumulado por Moneda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'Dashboard'!G13</f>
            </strRef>
          </tx>
          <spPr>
            <a:ln xmlns:a="http://schemas.openxmlformats.org/drawingml/2006/main" w="25000">
              <a:solidFill>
                <a:srgbClr val="16A08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'Dashboard'!$F$14:$F$25</f>
            </numRef>
          </cat>
          <val>
            <numRef>
              <f>'Dashboard'!$G$14:$G$25</f>
            </numRef>
          </val>
        </ser>
        <ser>
          <idx val="1"/>
          <order val="1"/>
          <tx>
            <strRef>
              <f>'Dashboard'!H13</f>
            </strRef>
          </tx>
          <spPr>
            <a:ln xmlns:a="http://schemas.openxmlformats.org/drawingml/2006/main" w="25000">
              <a:solidFill>
                <a:srgbClr val="E67E2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'Dashboard'!$F$14:$F$25</f>
            </numRef>
          </cat>
          <val>
            <numRef>
              <f>'Dashboard'!$H$14:$H$25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Monto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26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26</row>
      <rowOff>0</rowOff>
    </from>
    <ext cx="648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E74C3C"/>
    <outlinePr summaryBelow="1" summaryRight="1"/>
    <pageSetUpPr/>
  </sheetPr>
  <dimension ref="A1:I5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3" customWidth="1" min="5" max="5"/>
    <col width="22" customWidth="1" min="6" max="6"/>
    <col width="16" customWidth="1" min="7" max="7"/>
    <col width="16" customWidth="1" min="8" max="8"/>
    <col width="3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1" t="n"/>
      <c r="B2" s="2" t="inlineStr">
        <is>
          <t>FLUJO DE CAJA DUAL (Bs / USD)</t>
        </is>
      </c>
      <c r="I2" s="1" t="n"/>
    </row>
    <row r="3">
      <c r="A3" s="1" t="n"/>
      <c r="B3" s="3" t="inlineStr">
        <is>
          <t>No Somos Ignorantes  |  v1.0  |  Control de efectivo en dos monedas</t>
        </is>
      </c>
      <c r="I3" s="1" t="n"/>
    </row>
    <row r="4">
      <c r="A4" s="1" t="n"/>
      <c r="B4" s="4" t="inlineStr">
        <is>
          <t>Tipo de Cambio (Bs/USD):</t>
        </is>
      </c>
      <c r="C4" s="1" t="n"/>
      <c r="D4" s="5" t="n">
        <v>6.96</v>
      </c>
      <c r="E4" s="1" t="n"/>
      <c r="F4" s="1" t="n"/>
      <c r="G4" s="1" t="n"/>
      <c r="H4" s="1" t="n"/>
      <c r="I4" s="1" t="n"/>
    </row>
    <row r="5" ht="6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>
      <c r="A6" s="1" t="n"/>
      <c r="B6" s="6" t="inlineStr">
        <is>
          <t>SALDO EN BOLIVIANOS (Bs.)</t>
        </is>
      </c>
      <c r="E6" s="1" t="n"/>
      <c r="F6" s="7" t="inlineStr">
        <is>
          <t>SALDO EN DOLARES (USD)</t>
        </is>
      </c>
      <c r="I6" s="1" t="n"/>
    </row>
    <row r="7">
      <c r="A7" s="1" t="n"/>
      <c r="B7" s="8">
        <f>IFERROR(SUMPRODUCT((Flujo_BOB!D4:D203="Ingreso")*Flujo_BOB!E4:E203)-SUMPRODUCT((Flujo_BOB!D4:D203="Egreso")*Flujo_BOB!E4:E203),0)</f>
        <v/>
      </c>
      <c r="E7" s="1" t="n"/>
      <c r="F7" s="8">
        <f>IFERROR(SUMPRODUCT((Flujo_USD!D4:D203="Ingreso")*Flujo_USD!E4:E203)-SUMPRODUCT((Flujo_USD!D4:D203="Egreso")*Flujo_USD!E4:E203),0)</f>
        <v/>
      </c>
      <c r="I7" s="1" t="n"/>
    </row>
    <row r="8" ht="4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</row>
    <row r="9">
      <c r="A9" s="1" t="n"/>
      <c r="B9" s="9" t="inlineStr">
        <is>
          <t>SALDO TOTAL COMBINADO (Bs.)</t>
        </is>
      </c>
      <c r="E9" s="1" t="n"/>
      <c r="F9" s="10" t="inlineStr">
        <is>
          <t>FLUJO NETO DEL MES (Bs.)</t>
        </is>
      </c>
      <c r="I9" s="1" t="n"/>
    </row>
    <row r="10">
      <c r="A10" s="1" t="n"/>
      <c r="B10" s="8">
        <f>B7+(F7*D4)</f>
        <v/>
      </c>
      <c r="E10" s="1" t="n"/>
      <c r="F10" s="8">
        <f>IFERROR(SUMPRODUCT((MONTH(Flujo_BOB!A4:A203)=MONTH(TODAY()))*(YEAR(Flujo_BOB!A4:A203)=YEAR(TODAY()))*(Flujo_BOB!D4:D203="Ingreso")*Flujo_BOB!E4:E203)-SUMPRODUCT((MONTH(Flujo_BOB!A4:A203)=MONTH(TODAY()))*(YEAR(Flujo_BOB!A4:A203)=YEAR(TODAY()))*(Flujo_BOB!D4:D203="Egreso")*Flujo_BOB!E4:E203)+(SUMPRODUCT((MONTH(Flujo_USD!A4:A203)=MONTH(TODAY()))*(YEAR(Flujo_USD!A4:A203)=YEAR(TODAY()))*(Flujo_USD!D4:D203="Ingreso")*Flujo_USD!E4:E203)-SUMPRODUCT((MONTH(Flujo_USD!A4:A203)=MONTH(TODAY()))*(YEAR(Flujo_USD!A4:A203)=YEAR(TODAY()))*(Flujo_USD!D4:D203="Egreso")*Flujo_USD!E4:E203))*D4,0)</f>
        <v/>
      </c>
      <c r="I10" s="1" t="n"/>
    </row>
    <row r="11" ht="8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</row>
    <row r="12">
      <c r="A12" s="1" t="n"/>
      <c r="B12" s="11" t="inlineStr">
        <is>
          <t>FLUJO MENSUAL COMBINADO (Bs.)</t>
        </is>
      </c>
      <c r="C12" s="1" t="n"/>
      <c r="D12" s="1" t="n"/>
      <c r="E12" s="1" t="n"/>
      <c r="F12" s="11" t="inlineStr">
        <is>
          <t>SALDO ACUMULADO</t>
        </is>
      </c>
      <c r="G12" s="1" t="n"/>
      <c r="H12" s="1" t="n"/>
      <c r="I12" s="1" t="n"/>
    </row>
    <row r="13">
      <c r="A13" s="1" t="n"/>
      <c r="B13" s="12" t="inlineStr">
        <is>
          <t>Mes</t>
        </is>
      </c>
      <c r="C13" s="12" t="inlineStr">
        <is>
          <t>Ingresos Bs.</t>
        </is>
      </c>
      <c r="D13" s="12" t="inlineStr">
        <is>
          <t>Egresos Bs.</t>
        </is>
      </c>
      <c r="E13" s="1" t="n"/>
      <c r="F13" s="12" t="inlineStr">
        <is>
          <t>Mes</t>
        </is>
      </c>
      <c r="G13" s="12" t="inlineStr">
        <is>
          <t>Saldo Bs.</t>
        </is>
      </c>
      <c r="H13" s="12" t="inlineStr">
        <is>
          <t>Saldo USD</t>
        </is>
      </c>
      <c r="I13" s="1" t="n"/>
    </row>
    <row r="14">
      <c r="A14" s="1" t="n"/>
      <c r="B14" s="13" t="inlineStr">
        <is>
          <t>Ene</t>
        </is>
      </c>
      <c r="C14" s="14">
        <f>IFERROR(SUMPRODUCT((MONTH(Flujo_BOB!A4:A203)=1)*(YEAR(Flujo_BOB!A4:A203)=YEAR(TODAY()))*(Flujo_BOB!D4:D203="Ingreso")*Flujo_BOB!E4:E203)+SUMPRODUCT((MONTH(Flujo_USD!A4:A203)=1)*(YEAR(Flujo_USD!A4:A203)=YEAR(TODAY()))*(Flujo_USD!D4:D203="Ingreso")*Flujo_USD!E4:E203)*D4,0)</f>
        <v/>
      </c>
      <c r="D14" s="14">
        <f>IFERROR(SUMPRODUCT((MONTH(Flujo_BOB!A4:A203)=1)*(YEAR(Flujo_BOB!A4:A203)=YEAR(TODAY()))*(Flujo_BOB!D4:D203="Egreso")*Flujo_BOB!E4:E203)+SUMPRODUCT((MONTH(Flujo_USD!A4:A203)=1)*(YEAR(Flujo_USD!A4:A203)=YEAR(TODAY()))*(Flujo_USD!D4:D203="Egreso")*Flujo_USD!E4:E203)*D4,0)</f>
        <v/>
      </c>
      <c r="E14" s="1" t="n"/>
      <c r="F14" s="13" t="inlineStr">
        <is>
          <t>Ene</t>
        </is>
      </c>
      <c r="G14" s="14">
        <f>IFERROR(SUMPRODUCT((MONTH(Flujo_BOB!A4:A203)=1)*(YEAR(Flujo_BOB!A4:A203)=YEAR(TODAY()))*IF(Flujo_BOB!D4:D203="Ingreso",1,-1)*Flujo_BOB!E4:E203),0)</f>
        <v/>
      </c>
      <c r="H14" s="14">
        <f>IFERROR(SUMPRODUCT((MONTH(Flujo_USD!A4:A203)=1)*(YEAR(Flujo_USD!A4:A203)=YEAR(TODAY()))*IF(Flujo_USD!D4:D203="Ingreso",1,-1)*Flujo_USD!E4:E203),0)</f>
        <v/>
      </c>
      <c r="I14" s="1" t="n"/>
    </row>
    <row r="15">
      <c r="A15" s="1" t="n"/>
      <c r="B15" s="13" t="inlineStr">
        <is>
          <t>Feb</t>
        </is>
      </c>
      <c r="C15" s="14">
        <f>IFERROR(SUMPRODUCT((MONTH(Flujo_BOB!A4:A203)=2)*(YEAR(Flujo_BOB!A4:A203)=YEAR(TODAY()))*(Flujo_BOB!D4:D203="Ingreso")*Flujo_BOB!E4:E203)+SUMPRODUCT((MONTH(Flujo_USD!A4:A203)=2)*(YEAR(Flujo_USD!A4:A203)=YEAR(TODAY()))*(Flujo_USD!D4:D203="Ingreso")*Flujo_USD!E4:E203)*D4,0)</f>
        <v/>
      </c>
      <c r="D15" s="14">
        <f>IFERROR(SUMPRODUCT((MONTH(Flujo_BOB!A4:A203)=2)*(YEAR(Flujo_BOB!A4:A203)=YEAR(TODAY()))*(Flujo_BOB!D4:D203="Egreso")*Flujo_BOB!E4:E203)+SUMPRODUCT((MONTH(Flujo_USD!A4:A203)=2)*(YEAR(Flujo_USD!A4:A203)=YEAR(TODAY()))*(Flujo_USD!D4:D203="Egreso")*Flujo_USD!E4:E203)*D4,0)</f>
        <v/>
      </c>
      <c r="E15" s="1" t="n"/>
      <c r="F15" s="13" t="inlineStr">
        <is>
          <t>Feb</t>
        </is>
      </c>
      <c r="G15" s="14">
        <f>IFERROR(SUMPRODUCT((MONTH(Flujo_BOB!A4:A203)=1)*(YEAR(Flujo_BOB!A4:A203)=YEAR(TODAY()))*IF(Flujo_BOB!D4:D203="Ingreso",1,-1)*Flujo_BOB!E4:E203)+SUMPRODUCT((MONTH(Flujo_BOB!A4:A203)=2)*(YEAR(Flujo_BOB!A4:A203)=YEAR(TODAY()))*IF(Flujo_BOB!D4:D203="Ingreso",1,-1)*Flujo_BOB!E4:E203),0)</f>
        <v/>
      </c>
      <c r="H15" s="14">
        <f>IFERROR(SUMPRODUCT((MONTH(Flujo_USD!A4:A203)=1)*(YEAR(Flujo_USD!A4:A203)=YEAR(TODAY()))*IF(Flujo_USD!D4:D203="Ingreso",1,-1)*Flujo_USD!E4:E203)+SUMPRODUCT((MONTH(Flujo_USD!A4:A203)=2)*(YEAR(Flujo_USD!A4:A203)=YEAR(TODAY()))*IF(Flujo_USD!D4:D203="Ingreso",1,-1)*Flujo_USD!E4:E203),0)</f>
        <v/>
      </c>
      <c r="I15" s="1" t="n"/>
    </row>
    <row r="16">
      <c r="A16" s="1" t="n"/>
      <c r="B16" s="13" t="inlineStr">
        <is>
          <t>Mar</t>
        </is>
      </c>
      <c r="C16" s="14">
        <f>IFERROR(SUMPRODUCT((MONTH(Flujo_BOB!A4:A203)=3)*(YEAR(Flujo_BOB!A4:A203)=YEAR(TODAY()))*(Flujo_BOB!D4:D203="Ingreso")*Flujo_BOB!E4:E203)+SUMPRODUCT((MONTH(Flujo_USD!A4:A203)=3)*(YEAR(Flujo_USD!A4:A203)=YEAR(TODAY()))*(Flujo_USD!D4:D203="Ingreso")*Flujo_USD!E4:E203)*D4,0)</f>
        <v/>
      </c>
      <c r="D16" s="14">
        <f>IFERROR(SUMPRODUCT((MONTH(Flujo_BOB!A4:A203)=3)*(YEAR(Flujo_BOB!A4:A203)=YEAR(TODAY()))*(Flujo_BOB!D4:D203="Egreso")*Flujo_BOB!E4:E203)+SUMPRODUCT((MONTH(Flujo_USD!A4:A203)=3)*(YEAR(Flujo_USD!A4:A203)=YEAR(TODAY()))*(Flujo_USD!D4:D203="Egreso")*Flujo_USD!E4:E203)*D4,0)</f>
        <v/>
      </c>
      <c r="E16" s="1" t="n"/>
      <c r="F16" s="13" t="inlineStr">
        <is>
          <t>Mar</t>
        </is>
      </c>
      <c r="G16" s="14">
        <f>IFERROR(SUMPRODUCT((MONTH(Flujo_BOB!A4:A203)=1)*(YEAR(Flujo_BOB!A4:A203)=YEAR(TODAY()))*IF(Flujo_BOB!D4:D203="Ingreso",1,-1)*Flujo_BOB!E4:E203)+SUMPRODUCT((MONTH(Flujo_BOB!A4:A203)=2)*(YEAR(Flujo_BOB!A4:A203)=YEAR(TODAY()))*IF(Flujo_BOB!D4:D203="Ingreso",1,-1)*Flujo_BOB!E4:E203)+SUMPRODUCT((MONTH(Flujo_BOB!A4:A203)=3)*(YEAR(Flujo_BOB!A4:A203)=YEAR(TODAY()))*IF(Flujo_BOB!D4:D203="Ingreso",1,-1)*Flujo_BOB!E4:E203),0)</f>
        <v/>
      </c>
      <c r="H16" s="14">
        <f>IFERROR(SUMPRODUCT((MONTH(Flujo_USD!A4:A203)=1)*(YEAR(Flujo_USD!A4:A203)=YEAR(TODAY()))*IF(Flujo_USD!D4:D203="Ingreso",1,-1)*Flujo_USD!E4:E203)+SUMPRODUCT((MONTH(Flujo_USD!A4:A203)=2)*(YEAR(Flujo_USD!A4:A203)=YEAR(TODAY()))*IF(Flujo_USD!D4:D203="Ingreso",1,-1)*Flujo_USD!E4:E203)+SUMPRODUCT((MONTH(Flujo_USD!A4:A203)=3)*(YEAR(Flujo_USD!A4:A203)=YEAR(TODAY()))*IF(Flujo_USD!D4:D203="Ingreso",1,-1)*Flujo_USD!E4:E203),0)</f>
        <v/>
      </c>
      <c r="I16" s="1" t="n"/>
    </row>
    <row r="17">
      <c r="A17" s="1" t="n"/>
      <c r="B17" s="13" t="inlineStr">
        <is>
          <t>Abr</t>
        </is>
      </c>
      <c r="C17" s="14">
        <f>IFERROR(SUMPRODUCT((MONTH(Flujo_BOB!A4:A203)=4)*(YEAR(Flujo_BOB!A4:A203)=YEAR(TODAY()))*(Flujo_BOB!D4:D203="Ingreso")*Flujo_BOB!E4:E203)+SUMPRODUCT((MONTH(Flujo_USD!A4:A203)=4)*(YEAR(Flujo_USD!A4:A203)=YEAR(TODAY()))*(Flujo_USD!D4:D203="Ingreso")*Flujo_USD!E4:E203)*D4,0)</f>
        <v/>
      </c>
      <c r="D17" s="14">
        <f>IFERROR(SUMPRODUCT((MONTH(Flujo_BOB!A4:A203)=4)*(YEAR(Flujo_BOB!A4:A203)=YEAR(TODAY()))*(Flujo_BOB!D4:D203="Egreso")*Flujo_BOB!E4:E203)+SUMPRODUCT((MONTH(Flujo_USD!A4:A203)=4)*(YEAR(Flujo_USD!A4:A203)=YEAR(TODAY()))*(Flujo_USD!D4:D203="Egreso")*Flujo_USD!E4:E203)*D4,0)</f>
        <v/>
      </c>
      <c r="E17" s="1" t="n"/>
      <c r="F17" s="13" t="inlineStr">
        <is>
          <t>Abr</t>
        </is>
      </c>
      <c r="G17" s="14">
        <f>IFERROR(SUMPRODUCT((MONTH(Flujo_BOB!A4:A203)=1)*(YEAR(Flujo_BOB!A4:A203)=YEAR(TODAY()))*IF(Flujo_BOB!D4:D203="Ingreso",1,-1)*Flujo_BOB!E4:E203)+SUMPRODUCT((MONTH(Flujo_BOB!A4:A203)=2)*(YEAR(Flujo_BOB!A4:A203)=YEAR(TODAY()))*IF(Flujo_BOB!D4:D203="Ingreso",1,-1)*Flujo_BOB!E4:E203)+SUMPRODUCT((MONTH(Flujo_BOB!A4:A203)=3)*(YEAR(Flujo_BOB!A4:A203)=YEAR(TODAY()))*IF(Flujo_BOB!D4:D203="Ingreso",1,-1)*Flujo_BOB!E4:E203)+SUMPRODUCT((MONTH(Flujo_BOB!A4:A203)=4)*(YEAR(Flujo_BOB!A4:A203)=YEAR(TODAY()))*IF(Flujo_BOB!D4:D203="Ingreso",1,-1)*Flujo_BOB!E4:E203),0)</f>
        <v/>
      </c>
      <c r="H17" s="14">
        <f>IFERROR(SUMPRODUCT((MONTH(Flujo_USD!A4:A203)=1)*(YEAR(Flujo_USD!A4:A203)=YEAR(TODAY()))*IF(Flujo_USD!D4:D203="Ingreso",1,-1)*Flujo_USD!E4:E203)+SUMPRODUCT((MONTH(Flujo_USD!A4:A203)=2)*(YEAR(Flujo_USD!A4:A203)=YEAR(TODAY()))*IF(Flujo_USD!D4:D203="Ingreso",1,-1)*Flujo_USD!E4:E203)+SUMPRODUCT((MONTH(Flujo_USD!A4:A203)=3)*(YEAR(Flujo_USD!A4:A203)=YEAR(TODAY()))*IF(Flujo_USD!D4:D203="Ingreso",1,-1)*Flujo_USD!E4:E203)+SUMPRODUCT((MONTH(Flujo_USD!A4:A203)=4)*(YEAR(Flujo_USD!A4:A203)=YEAR(TODAY()))*IF(Flujo_USD!D4:D203="Ingreso",1,-1)*Flujo_USD!E4:E203),0)</f>
        <v/>
      </c>
      <c r="I17" s="1" t="n"/>
    </row>
    <row r="18">
      <c r="A18" s="1" t="n"/>
      <c r="B18" s="13" t="inlineStr">
        <is>
          <t>May</t>
        </is>
      </c>
      <c r="C18" s="14">
        <f>IFERROR(SUMPRODUCT((MONTH(Flujo_BOB!A4:A203)=5)*(YEAR(Flujo_BOB!A4:A203)=YEAR(TODAY()))*(Flujo_BOB!D4:D203="Ingreso")*Flujo_BOB!E4:E203)+SUMPRODUCT((MONTH(Flujo_USD!A4:A203)=5)*(YEAR(Flujo_USD!A4:A203)=YEAR(TODAY()))*(Flujo_USD!D4:D203="Ingreso")*Flujo_USD!E4:E203)*D4,0)</f>
        <v/>
      </c>
      <c r="D18" s="14">
        <f>IFERROR(SUMPRODUCT((MONTH(Flujo_BOB!A4:A203)=5)*(YEAR(Flujo_BOB!A4:A203)=YEAR(TODAY()))*(Flujo_BOB!D4:D203="Egreso")*Flujo_BOB!E4:E203)+SUMPRODUCT((MONTH(Flujo_USD!A4:A203)=5)*(YEAR(Flujo_USD!A4:A203)=YEAR(TODAY()))*(Flujo_USD!D4:D203="Egreso")*Flujo_USD!E4:E203)*D4,0)</f>
        <v/>
      </c>
      <c r="E18" s="1" t="n"/>
      <c r="F18" s="13" t="inlineStr">
        <is>
          <t>May</t>
        </is>
      </c>
      <c r="G18" s="14">
        <f>IFERROR(SUMPRODUCT((MONTH(Flujo_BOB!A4:A203)=1)*(YEAR(Flujo_BOB!A4:A203)=YEAR(TODAY()))*IF(Flujo_BOB!D4:D203="Ingreso",1,-1)*Flujo_BOB!E4:E203)+SUMPRODUCT((MONTH(Flujo_BOB!A4:A203)=2)*(YEAR(Flujo_BOB!A4:A203)=YEAR(TODAY()))*IF(Flujo_BOB!D4:D203="Ingreso",1,-1)*Flujo_BOB!E4:E203)+SUMPRODUCT((MONTH(Flujo_BOB!A4:A203)=3)*(YEAR(Flujo_BOB!A4:A203)=YEAR(TODAY()))*IF(Flujo_BOB!D4:D203="Ingreso",1,-1)*Flujo_BOB!E4:E203)+SUMPRODUCT((MONTH(Flujo_BOB!A4:A203)=4)*(YEAR(Flujo_BOB!A4:A203)=YEAR(TODAY()))*IF(Flujo_BOB!D4:D203="Ingreso",1,-1)*Flujo_BOB!E4:E203)+SUMPRODUCT((MONTH(Flujo_BOB!A4:A203)=5)*(YEAR(Flujo_BOB!A4:A203)=YEAR(TODAY()))*IF(Flujo_BOB!D4:D203="Ingreso",1,-1)*Flujo_BOB!E4:E203),0)</f>
        <v/>
      </c>
      <c r="H18" s="14">
        <f>IFERROR(SUMPRODUCT((MONTH(Flujo_USD!A4:A203)=1)*(YEAR(Flujo_USD!A4:A203)=YEAR(TODAY()))*IF(Flujo_USD!D4:D203="Ingreso",1,-1)*Flujo_USD!E4:E203)+SUMPRODUCT((MONTH(Flujo_USD!A4:A203)=2)*(YEAR(Flujo_USD!A4:A203)=YEAR(TODAY()))*IF(Flujo_USD!D4:D203="Ingreso",1,-1)*Flujo_USD!E4:E203)+SUMPRODUCT((MONTH(Flujo_USD!A4:A203)=3)*(YEAR(Flujo_USD!A4:A203)=YEAR(TODAY()))*IF(Flujo_USD!D4:D203="Ingreso",1,-1)*Flujo_USD!E4:E203)+SUMPRODUCT((MONTH(Flujo_USD!A4:A203)=4)*(YEAR(Flujo_USD!A4:A203)=YEAR(TODAY()))*IF(Flujo_USD!D4:D203="Ingreso",1,-1)*Flujo_USD!E4:E203)+SUMPRODUCT((MONTH(Flujo_USD!A4:A203)=5)*(YEAR(Flujo_USD!A4:A203)=YEAR(TODAY()))*IF(Flujo_USD!D4:D203="Ingreso",1,-1)*Flujo_USD!E4:E203),0)</f>
        <v/>
      </c>
      <c r="I18" s="1" t="n"/>
    </row>
    <row r="19">
      <c r="A19" s="1" t="n"/>
      <c r="B19" s="13" t="inlineStr">
        <is>
          <t>Jun</t>
        </is>
      </c>
      <c r="C19" s="14">
        <f>IFERROR(SUMPRODUCT((MONTH(Flujo_BOB!A4:A203)=6)*(YEAR(Flujo_BOB!A4:A203)=YEAR(TODAY()))*(Flujo_BOB!D4:D203="Ingreso")*Flujo_BOB!E4:E203)+SUMPRODUCT((MONTH(Flujo_USD!A4:A203)=6)*(YEAR(Flujo_USD!A4:A203)=YEAR(TODAY()))*(Flujo_USD!D4:D203="Ingreso")*Flujo_USD!E4:E203)*D4,0)</f>
        <v/>
      </c>
      <c r="D19" s="14">
        <f>IFERROR(SUMPRODUCT((MONTH(Flujo_BOB!A4:A203)=6)*(YEAR(Flujo_BOB!A4:A203)=YEAR(TODAY()))*(Flujo_BOB!D4:D203="Egreso")*Flujo_BOB!E4:E203)+SUMPRODUCT((MONTH(Flujo_USD!A4:A203)=6)*(YEAR(Flujo_USD!A4:A203)=YEAR(TODAY()))*(Flujo_USD!D4:D203="Egreso")*Flujo_USD!E4:E203)*D4,0)</f>
        <v/>
      </c>
      <c r="E19" s="1" t="n"/>
      <c r="F19" s="13" t="inlineStr">
        <is>
          <t>Jun</t>
        </is>
      </c>
      <c r="G19" s="14">
        <f>IFERROR(SUMPRODUCT((MONTH(Flujo_BOB!A4:A203)=1)*(YEAR(Flujo_BOB!A4:A203)=YEAR(TODAY()))*IF(Flujo_BOB!D4:D203="Ingreso",1,-1)*Flujo_BOB!E4:E203)+SUMPRODUCT((MONTH(Flujo_BOB!A4:A203)=2)*(YEAR(Flujo_BOB!A4:A203)=YEAR(TODAY()))*IF(Flujo_BOB!D4:D203="Ingreso",1,-1)*Flujo_BOB!E4:E203)+SUMPRODUCT((MONTH(Flujo_BOB!A4:A203)=3)*(YEAR(Flujo_BOB!A4:A203)=YEAR(TODAY()))*IF(Flujo_BOB!D4:D203="Ingreso",1,-1)*Flujo_BOB!E4:E203)+SUMPRODUCT((MONTH(Flujo_BOB!A4:A203)=4)*(YEAR(Flujo_BOB!A4:A203)=YEAR(TODAY()))*IF(Flujo_BOB!D4:D203="Ingreso",1,-1)*Flujo_BOB!E4:E203)+SUMPRODUCT((MONTH(Flujo_BOB!A4:A203)=5)*(YEAR(Flujo_BOB!A4:A203)=YEAR(TODAY()))*IF(Flujo_BOB!D4:D203="Ingreso",1,-1)*Flujo_BOB!E4:E203)+SUMPRODUCT((MONTH(Flujo_BOB!A4:A203)=6)*(YEAR(Flujo_BOB!A4:A203)=YEAR(TODAY()))*IF(Flujo_BOB!D4:D203="Ingreso",1,-1)*Flujo_BOB!E4:E203),0)</f>
        <v/>
      </c>
      <c r="H19" s="14">
        <f>IFERROR(SUMPRODUCT((MONTH(Flujo_USD!A4:A203)=1)*(YEAR(Flujo_USD!A4:A203)=YEAR(TODAY()))*IF(Flujo_USD!D4:D203="Ingreso",1,-1)*Flujo_USD!E4:E203)+SUMPRODUCT((MONTH(Flujo_USD!A4:A203)=2)*(YEAR(Flujo_USD!A4:A203)=YEAR(TODAY()))*IF(Flujo_USD!D4:D203="Ingreso",1,-1)*Flujo_USD!E4:E203)+SUMPRODUCT((MONTH(Flujo_USD!A4:A203)=3)*(YEAR(Flujo_USD!A4:A203)=YEAR(TODAY()))*IF(Flujo_USD!D4:D203="Ingreso",1,-1)*Flujo_USD!E4:E203)+SUMPRODUCT((MONTH(Flujo_USD!A4:A203)=4)*(YEAR(Flujo_USD!A4:A203)=YEAR(TODAY()))*IF(Flujo_USD!D4:D203="Ingreso",1,-1)*Flujo_USD!E4:E203)+SUMPRODUCT((MONTH(Flujo_USD!A4:A203)=5)*(YEAR(Flujo_USD!A4:A203)=YEAR(TODAY()))*IF(Flujo_USD!D4:D203="Ingreso",1,-1)*Flujo_USD!E4:E203)+SUMPRODUCT((MONTH(Flujo_USD!A4:A203)=6)*(YEAR(Flujo_USD!A4:A203)=YEAR(TODAY()))*IF(Flujo_USD!D4:D203="Ingreso",1,-1)*Flujo_USD!E4:E203),0)</f>
        <v/>
      </c>
      <c r="I19" s="1" t="n"/>
    </row>
    <row r="20">
      <c r="A20" s="1" t="n"/>
      <c r="B20" s="13" t="inlineStr">
        <is>
          <t>Jul</t>
        </is>
      </c>
      <c r="C20" s="14">
        <f>IFERROR(SUMPRODUCT((MONTH(Flujo_BOB!A4:A203)=7)*(YEAR(Flujo_BOB!A4:A203)=YEAR(TODAY()))*(Flujo_BOB!D4:D203="Ingreso")*Flujo_BOB!E4:E203)+SUMPRODUCT((MONTH(Flujo_USD!A4:A203)=7)*(YEAR(Flujo_USD!A4:A203)=YEAR(TODAY()))*(Flujo_USD!D4:D203="Ingreso")*Flujo_USD!E4:E203)*D4,0)</f>
        <v/>
      </c>
      <c r="D20" s="14">
        <f>IFERROR(SUMPRODUCT((MONTH(Flujo_BOB!A4:A203)=7)*(YEAR(Flujo_BOB!A4:A203)=YEAR(TODAY()))*(Flujo_BOB!D4:D203="Egreso")*Flujo_BOB!E4:E203)+SUMPRODUCT((MONTH(Flujo_USD!A4:A203)=7)*(YEAR(Flujo_USD!A4:A203)=YEAR(TODAY()))*(Flujo_USD!D4:D203="Egreso")*Flujo_USD!E4:E203)*D4,0)</f>
        <v/>
      </c>
      <c r="E20" s="1" t="n"/>
      <c r="F20" s="13" t="inlineStr">
        <is>
          <t>Jul</t>
        </is>
      </c>
      <c r="G20" s="14">
        <f>IFERROR(SUMPRODUCT((MONTH(Flujo_BOB!A4:A203)=1)*(YEAR(Flujo_BOB!A4:A203)=YEAR(TODAY()))*IF(Flujo_BOB!D4:D203="Ingreso",1,-1)*Flujo_BOB!E4:E203)+SUMPRODUCT((MONTH(Flujo_BOB!A4:A203)=2)*(YEAR(Flujo_BOB!A4:A203)=YEAR(TODAY()))*IF(Flujo_BOB!D4:D203="Ingreso",1,-1)*Flujo_BOB!E4:E203)+SUMPRODUCT((MONTH(Flujo_BOB!A4:A203)=3)*(YEAR(Flujo_BOB!A4:A203)=YEAR(TODAY()))*IF(Flujo_BOB!D4:D203="Ingreso",1,-1)*Flujo_BOB!E4:E203)+SUMPRODUCT((MONTH(Flujo_BOB!A4:A203)=4)*(YEAR(Flujo_BOB!A4:A203)=YEAR(TODAY()))*IF(Flujo_BOB!D4:D203="Ingreso",1,-1)*Flujo_BOB!E4:E203)+SUMPRODUCT((MONTH(Flujo_BOB!A4:A203)=5)*(YEAR(Flujo_BOB!A4:A203)=YEAR(TODAY()))*IF(Flujo_BOB!D4:D203="Ingreso",1,-1)*Flujo_BOB!E4:E203)+SUMPRODUCT((MONTH(Flujo_BOB!A4:A203)=6)*(YEAR(Flujo_BOB!A4:A203)=YEAR(TODAY()))*IF(Flujo_BOB!D4:D203="Ingreso",1,-1)*Flujo_BOB!E4:E203)+SUMPRODUCT((MONTH(Flujo_BOB!A4:A203)=7)*(YEAR(Flujo_BOB!A4:A203)=YEAR(TODAY()))*IF(Flujo_BOB!D4:D203="Ingreso",1,-1)*Flujo_BOB!E4:E203),0)</f>
        <v/>
      </c>
      <c r="H20" s="14">
        <f>IFERROR(SUMPRODUCT((MONTH(Flujo_USD!A4:A203)=1)*(YEAR(Flujo_USD!A4:A203)=YEAR(TODAY()))*IF(Flujo_USD!D4:D203="Ingreso",1,-1)*Flujo_USD!E4:E203)+SUMPRODUCT((MONTH(Flujo_USD!A4:A203)=2)*(YEAR(Flujo_USD!A4:A203)=YEAR(TODAY()))*IF(Flujo_USD!D4:D203="Ingreso",1,-1)*Flujo_USD!E4:E203)+SUMPRODUCT((MONTH(Flujo_USD!A4:A203)=3)*(YEAR(Flujo_USD!A4:A203)=YEAR(TODAY()))*IF(Flujo_USD!D4:D203="Ingreso",1,-1)*Flujo_USD!E4:E203)+SUMPRODUCT((MONTH(Flujo_USD!A4:A203)=4)*(YEAR(Flujo_USD!A4:A203)=YEAR(TODAY()))*IF(Flujo_USD!D4:D203="Ingreso",1,-1)*Flujo_USD!E4:E203)+SUMPRODUCT((MONTH(Flujo_USD!A4:A203)=5)*(YEAR(Flujo_USD!A4:A203)=YEAR(TODAY()))*IF(Flujo_USD!D4:D203="Ingreso",1,-1)*Flujo_USD!E4:E203)+SUMPRODUCT((MONTH(Flujo_USD!A4:A203)=6)*(YEAR(Flujo_USD!A4:A203)=YEAR(TODAY()))*IF(Flujo_USD!D4:D203="Ingreso",1,-1)*Flujo_USD!E4:E203)+SUMPRODUCT((MONTH(Flujo_USD!A4:A203)=7)*(YEAR(Flujo_USD!A4:A203)=YEAR(TODAY()))*IF(Flujo_USD!D4:D203="Ingreso",1,-1)*Flujo_USD!E4:E203),0)</f>
        <v/>
      </c>
      <c r="I20" s="1" t="n"/>
    </row>
    <row r="21">
      <c r="A21" s="1" t="n"/>
      <c r="B21" s="13" t="inlineStr">
        <is>
          <t>Ago</t>
        </is>
      </c>
      <c r="C21" s="14">
        <f>IFERROR(SUMPRODUCT((MONTH(Flujo_BOB!A4:A203)=8)*(YEAR(Flujo_BOB!A4:A203)=YEAR(TODAY()))*(Flujo_BOB!D4:D203="Ingreso")*Flujo_BOB!E4:E203)+SUMPRODUCT((MONTH(Flujo_USD!A4:A203)=8)*(YEAR(Flujo_USD!A4:A203)=YEAR(TODAY()))*(Flujo_USD!D4:D203="Ingreso")*Flujo_USD!E4:E203)*D4,0)</f>
        <v/>
      </c>
      <c r="D21" s="14">
        <f>IFERROR(SUMPRODUCT((MONTH(Flujo_BOB!A4:A203)=8)*(YEAR(Flujo_BOB!A4:A203)=YEAR(TODAY()))*(Flujo_BOB!D4:D203="Egreso")*Flujo_BOB!E4:E203)+SUMPRODUCT((MONTH(Flujo_USD!A4:A203)=8)*(YEAR(Flujo_USD!A4:A203)=YEAR(TODAY()))*(Flujo_USD!D4:D203="Egreso")*Flujo_USD!E4:E203)*D4,0)</f>
        <v/>
      </c>
      <c r="E21" s="1" t="n"/>
      <c r="F21" s="13" t="inlineStr">
        <is>
          <t>Ago</t>
        </is>
      </c>
      <c r="G21" s="14">
        <f>IFERROR(SUMPRODUCT((MONTH(Flujo_BOB!A4:A203)=1)*(YEAR(Flujo_BOB!A4:A203)=YEAR(TODAY()))*IF(Flujo_BOB!D4:D203="Ingreso",1,-1)*Flujo_BOB!E4:E203)+SUMPRODUCT((MONTH(Flujo_BOB!A4:A203)=2)*(YEAR(Flujo_BOB!A4:A203)=YEAR(TODAY()))*IF(Flujo_BOB!D4:D203="Ingreso",1,-1)*Flujo_BOB!E4:E203)+SUMPRODUCT((MONTH(Flujo_BOB!A4:A203)=3)*(YEAR(Flujo_BOB!A4:A203)=YEAR(TODAY()))*IF(Flujo_BOB!D4:D203="Ingreso",1,-1)*Flujo_BOB!E4:E203)+SUMPRODUCT((MONTH(Flujo_BOB!A4:A203)=4)*(YEAR(Flujo_BOB!A4:A203)=YEAR(TODAY()))*IF(Flujo_BOB!D4:D203="Ingreso",1,-1)*Flujo_BOB!E4:E203)+SUMPRODUCT((MONTH(Flujo_BOB!A4:A203)=5)*(YEAR(Flujo_BOB!A4:A203)=YEAR(TODAY()))*IF(Flujo_BOB!D4:D203="Ingreso",1,-1)*Flujo_BOB!E4:E203)+SUMPRODUCT((MONTH(Flujo_BOB!A4:A203)=6)*(YEAR(Flujo_BOB!A4:A203)=YEAR(TODAY()))*IF(Flujo_BOB!D4:D203="Ingreso",1,-1)*Flujo_BOB!E4:E203)+SUMPRODUCT((MONTH(Flujo_BOB!A4:A203)=7)*(YEAR(Flujo_BOB!A4:A203)=YEAR(TODAY()))*IF(Flujo_BOB!D4:D203="Ingreso",1,-1)*Flujo_BOB!E4:E203)+SUMPRODUCT((MONTH(Flujo_BOB!A4:A203)=8)*(YEAR(Flujo_BOB!A4:A203)=YEAR(TODAY()))*IF(Flujo_BOB!D4:D203="Ingreso",1,-1)*Flujo_BOB!E4:E203),0)</f>
        <v/>
      </c>
      <c r="H21" s="14">
        <f>IFERROR(SUMPRODUCT((MONTH(Flujo_USD!A4:A203)=1)*(YEAR(Flujo_USD!A4:A203)=YEAR(TODAY()))*IF(Flujo_USD!D4:D203="Ingreso",1,-1)*Flujo_USD!E4:E203)+SUMPRODUCT((MONTH(Flujo_USD!A4:A203)=2)*(YEAR(Flujo_USD!A4:A203)=YEAR(TODAY()))*IF(Flujo_USD!D4:D203="Ingreso",1,-1)*Flujo_USD!E4:E203)+SUMPRODUCT((MONTH(Flujo_USD!A4:A203)=3)*(YEAR(Flujo_USD!A4:A203)=YEAR(TODAY()))*IF(Flujo_USD!D4:D203="Ingreso",1,-1)*Flujo_USD!E4:E203)+SUMPRODUCT((MONTH(Flujo_USD!A4:A203)=4)*(YEAR(Flujo_USD!A4:A203)=YEAR(TODAY()))*IF(Flujo_USD!D4:D203="Ingreso",1,-1)*Flujo_USD!E4:E203)+SUMPRODUCT((MONTH(Flujo_USD!A4:A203)=5)*(YEAR(Flujo_USD!A4:A203)=YEAR(TODAY()))*IF(Flujo_USD!D4:D203="Ingreso",1,-1)*Flujo_USD!E4:E203)+SUMPRODUCT((MONTH(Flujo_USD!A4:A203)=6)*(YEAR(Flujo_USD!A4:A203)=YEAR(TODAY()))*IF(Flujo_USD!D4:D203="Ingreso",1,-1)*Flujo_USD!E4:E203)+SUMPRODUCT((MONTH(Flujo_USD!A4:A203)=7)*(YEAR(Flujo_USD!A4:A203)=YEAR(TODAY()))*IF(Flujo_USD!D4:D203="Ingreso",1,-1)*Flujo_USD!E4:E203)+SUMPRODUCT((MONTH(Flujo_USD!A4:A203)=8)*(YEAR(Flujo_USD!A4:A203)=YEAR(TODAY()))*IF(Flujo_USD!D4:D203="Ingreso",1,-1)*Flujo_USD!E4:E203),0)</f>
        <v/>
      </c>
      <c r="I21" s="1" t="n"/>
    </row>
    <row r="22">
      <c r="A22" s="1" t="n"/>
      <c r="B22" s="13" t="inlineStr">
        <is>
          <t>Sep</t>
        </is>
      </c>
      <c r="C22" s="14">
        <f>IFERROR(SUMPRODUCT((MONTH(Flujo_BOB!A4:A203)=9)*(YEAR(Flujo_BOB!A4:A203)=YEAR(TODAY()))*(Flujo_BOB!D4:D203="Ingreso")*Flujo_BOB!E4:E203)+SUMPRODUCT((MONTH(Flujo_USD!A4:A203)=9)*(YEAR(Flujo_USD!A4:A203)=YEAR(TODAY()))*(Flujo_USD!D4:D203="Ingreso")*Flujo_USD!E4:E203)*D4,0)</f>
        <v/>
      </c>
      <c r="D22" s="14">
        <f>IFERROR(SUMPRODUCT((MONTH(Flujo_BOB!A4:A203)=9)*(YEAR(Flujo_BOB!A4:A203)=YEAR(TODAY()))*(Flujo_BOB!D4:D203="Egreso")*Flujo_BOB!E4:E203)+SUMPRODUCT((MONTH(Flujo_USD!A4:A203)=9)*(YEAR(Flujo_USD!A4:A203)=YEAR(TODAY()))*(Flujo_USD!D4:D203="Egreso")*Flujo_USD!E4:E203)*D4,0)</f>
        <v/>
      </c>
      <c r="E22" s="1" t="n"/>
      <c r="F22" s="13" t="inlineStr">
        <is>
          <t>Sep</t>
        </is>
      </c>
      <c r="G22" s="14">
        <f>IFERROR(SUMPRODUCT((MONTH(Flujo_BOB!A4:A203)=1)*(YEAR(Flujo_BOB!A4:A203)=YEAR(TODAY()))*IF(Flujo_BOB!D4:D203="Ingreso",1,-1)*Flujo_BOB!E4:E203)+SUMPRODUCT((MONTH(Flujo_BOB!A4:A203)=2)*(YEAR(Flujo_BOB!A4:A203)=YEAR(TODAY()))*IF(Flujo_BOB!D4:D203="Ingreso",1,-1)*Flujo_BOB!E4:E203)+SUMPRODUCT((MONTH(Flujo_BOB!A4:A203)=3)*(YEAR(Flujo_BOB!A4:A203)=YEAR(TODAY()))*IF(Flujo_BOB!D4:D203="Ingreso",1,-1)*Flujo_BOB!E4:E203)+SUMPRODUCT((MONTH(Flujo_BOB!A4:A203)=4)*(YEAR(Flujo_BOB!A4:A203)=YEAR(TODAY()))*IF(Flujo_BOB!D4:D203="Ingreso",1,-1)*Flujo_BOB!E4:E203)+SUMPRODUCT((MONTH(Flujo_BOB!A4:A203)=5)*(YEAR(Flujo_BOB!A4:A203)=YEAR(TODAY()))*IF(Flujo_BOB!D4:D203="Ingreso",1,-1)*Flujo_BOB!E4:E203)+SUMPRODUCT((MONTH(Flujo_BOB!A4:A203)=6)*(YEAR(Flujo_BOB!A4:A203)=YEAR(TODAY()))*IF(Flujo_BOB!D4:D203="Ingreso",1,-1)*Flujo_BOB!E4:E203)+SUMPRODUCT((MONTH(Flujo_BOB!A4:A203)=7)*(YEAR(Flujo_BOB!A4:A203)=YEAR(TODAY()))*IF(Flujo_BOB!D4:D203="Ingreso",1,-1)*Flujo_BOB!E4:E203)+SUMPRODUCT((MONTH(Flujo_BOB!A4:A203)=8)*(YEAR(Flujo_BOB!A4:A203)=YEAR(TODAY()))*IF(Flujo_BOB!D4:D203="Ingreso",1,-1)*Flujo_BOB!E4:E203)+SUMPRODUCT((MONTH(Flujo_BOB!A4:A203)=9)*(YEAR(Flujo_BOB!A4:A203)=YEAR(TODAY()))*IF(Flujo_BOB!D4:D203="Ingreso",1,-1)*Flujo_BOB!E4:E203),0)</f>
        <v/>
      </c>
      <c r="H22" s="14">
        <f>IFERROR(SUMPRODUCT((MONTH(Flujo_USD!A4:A203)=1)*(YEAR(Flujo_USD!A4:A203)=YEAR(TODAY()))*IF(Flujo_USD!D4:D203="Ingreso",1,-1)*Flujo_USD!E4:E203)+SUMPRODUCT((MONTH(Flujo_USD!A4:A203)=2)*(YEAR(Flujo_USD!A4:A203)=YEAR(TODAY()))*IF(Flujo_USD!D4:D203="Ingreso",1,-1)*Flujo_USD!E4:E203)+SUMPRODUCT((MONTH(Flujo_USD!A4:A203)=3)*(YEAR(Flujo_USD!A4:A203)=YEAR(TODAY()))*IF(Flujo_USD!D4:D203="Ingreso",1,-1)*Flujo_USD!E4:E203)+SUMPRODUCT((MONTH(Flujo_USD!A4:A203)=4)*(YEAR(Flujo_USD!A4:A203)=YEAR(TODAY()))*IF(Flujo_USD!D4:D203="Ingreso",1,-1)*Flujo_USD!E4:E203)+SUMPRODUCT((MONTH(Flujo_USD!A4:A203)=5)*(YEAR(Flujo_USD!A4:A203)=YEAR(TODAY()))*IF(Flujo_USD!D4:D203="Ingreso",1,-1)*Flujo_USD!E4:E203)+SUMPRODUCT((MONTH(Flujo_USD!A4:A203)=6)*(YEAR(Flujo_USD!A4:A203)=YEAR(TODAY()))*IF(Flujo_USD!D4:D203="Ingreso",1,-1)*Flujo_USD!E4:E203)+SUMPRODUCT((MONTH(Flujo_USD!A4:A203)=7)*(YEAR(Flujo_USD!A4:A203)=YEAR(TODAY()))*IF(Flujo_USD!D4:D203="Ingreso",1,-1)*Flujo_USD!E4:E203)+SUMPRODUCT((MONTH(Flujo_USD!A4:A203)=8)*(YEAR(Flujo_USD!A4:A203)=YEAR(TODAY()))*IF(Flujo_USD!D4:D203="Ingreso",1,-1)*Flujo_USD!E4:E203)+SUMPRODUCT((MONTH(Flujo_USD!A4:A203)=9)*(YEAR(Flujo_USD!A4:A203)=YEAR(TODAY()))*IF(Flujo_USD!D4:D203="Ingreso",1,-1)*Flujo_USD!E4:E203),0)</f>
        <v/>
      </c>
      <c r="I22" s="1" t="n"/>
    </row>
    <row r="23">
      <c r="A23" s="1" t="n"/>
      <c r="B23" s="13" t="inlineStr">
        <is>
          <t>Oct</t>
        </is>
      </c>
      <c r="C23" s="14">
        <f>IFERROR(SUMPRODUCT((MONTH(Flujo_BOB!A4:A203)=10)*(YEAR(Flujo_BOB!A4:A203)=YEAR(TODAY()))*(Flujo_BOB!D4:D203="Ingreso")*Flujo_BOB!E4:E203)+SUMPRODUCT((MONTH(Flujo_USD!A4:A203)=10)*(YEAR(Flujo_USD!A4:A203)=YEAR(TODAY()))*(Flujo_USD!D4:D203="Ingreso")*Flujo_USD!E4:E203)*D4,0)</f>
        <v/>
      </c>
      <c r="D23" s="14">
        <f>IFERROR(SUMPRODUCT((MONTH(Flujo_BOB!A4:A203)=10)*(YEAR(Flujo_BOB!A4:A203)=YEAR(TODAY()))*(Flujo_BOB!D4:D203="Egreso")*Flujo_BOB!E4:E203)+SUMPRODUCT((MONTH(Flujo_USD!A4:A203)=10)*(YEAR(Flujo_USD!A4:A203)=YEAR(TODAY()))*(Flujo_USD!D4:D203="Egreso")*Flujo_USD!E4:E203)*D4,0)</f>
        <v/>
      </c>
      <c r="E23" s="1" t="n"/>
      <c r="F23" s="13" t="inlineStr">
        <is>
          <t>Oct</t>
        </is>
      </c>
      <c r="G23" s="14">
        <f>IFERROR(SUMPRODUCT((MONTH(Flujo_BOB!A4:A203)=1)*(YEAR(Flujo_BOB!A4:A203)=YEAR(TODAY()))*IF(Flujo_BOB!D4:D203="Ingreso",1,-1)*Flujo_BOB!E4:E203)+SUMPRODUCT((MONTH(Flujo_BOB!A4:A203)=2)*(YEAR(Flujo_BOB!A4:A203)=YEAR(TODAY()))*IF(Flujo_BOB!D4:D203="Ingreso",1,-1)*Flujo_BOB!E4:E203)+SUMPRODUCT((MONTH(Flujo_BOB!A4:A203)=3)*(YEAR(Flujo_BOB!A4:A203)=YEAR(TODAY()))*IF(Flujo_BOB!D4:D203="Ingreso",1,-1)*Flujo_BOB!E4:E203)+SUMPRODUCT((MONTH(Flujo_BOB!A4:A203)=4)*(YEAR(Flujo_BOB!A4:A203)=YEAR(TODAY()))*IF(Flujo_BOB!D4:D203="Ingreso",1,-1)*Flujo_BOB!E4:E203)+SUMPRODUCT((MONTH(Flujo_BOB!A4:A203)=5)*(YEAR(Flujo_BOB!A4:A203)=YEAR(TODAY()))*IF(Flujo_BOB!D4:D203="Ingreso",1,-1)*Flujo_BOB!E4:E203)+SUMPRODUCT((MONTH(Flujo_BOB!A4:A203)=6)*(YEAR(Flujo_BOB!A4:A203)=YEAR(TODAY()))*IF(Flujo_BOB!D4:D203="Ingreso",1,-1)*Flujo_BOB!E4:E203)+SUMPRODUCT((MONTH(Flujo_BOB!A4:A203)=7)*(YEAR(Flujo_BOB!A4:A203)=YEAR(TODAY()))*IF(Flujo_BOB!D4:D203="Ingreso",1,-1)*Flujo_BOB!E4:E203)+SUMPRODUCT((MONTH(Flujo_BOB!A4:A203)=8)*(YEAR(Flujo_BOB!A4:A203)=YEAR(TODAY()))*IF(Flujo_BOB!D4:D203="Ingreso",1,-1)*Flujo_BOB!E4:E203)+SUMPRODUCT((MONTH(Flujo_BOB!A4:A203)=9)*(YEAR(Flujo_BOB!A4:A203)=YEAR(TODAY()))*IF(Flujo_BOB!D4:D203="Ingreso",1,-1)*Flujo_BOB!E4:E203)+SUMPRODUCT((MONTH(Flujo_BOB!A4:A203)=10)*(YEAR(Flujo_BOB!A4:A203)=YEAR(TODAY()))*IF(Flujo_BOB!D4:D203="Ingreso",1,-1)*Flujo_BOB!E4:E203),0)</f>
        <v/>
      </c>
      <c r="H23" s="14">
        <f>IFERROR(SUMPRODUCT((MONTH(Flujo_USD!A4:A203)=1)*(YEAR(Flujo_USD!A4:A203)=YEAR(TODAY()))*IF(Flujo_USD!D4:D203="Ingreso",1,-1)*Flujo_USD!E4:E203)+SUMPRODUCT((MONTH(Flujo_USD!A4:A203)=2)*(YEAR(Flujo_USD!A4:A203)=YEAR(TODAY()))*IF(Flujo_USD!D4:D203="Ingreso",1,-1)*Flujo_USD!E4:E203)+SUMPRODUCT((MONTH(Flujo_USD!A4:A203)=3)*(YEAR(Flujo_USD!A4:A203)=YEAR(TODAY()))*IF(Flujo_USD!D4:D203="Ingreso",1,-1)*Flujo_USD!E4:E203)+SUMPRODUCT((MONTH(Flujo_USD!A4:A203)=4)*(YEAR(Flujo_USD!A4:A203)=YEAR(TODAY()))*IF(Flujo_USD!D4:D203="Ingreso",1,-1)*Flujo_USD!E4:E203)+SUMPRODUCT((MONTH(Flujo_USD!A4:A203)=5)*(YEAR(Flujo_USD!A4:A203)=YEAR(TODAY()))*IF(Flujo_USD!D4:D203="Ingreso",1,-1)*Flujo_USD!E4:E203)+SUMPRODUCT((MONTH(Flujo_USD!A4:A203)=6)*(YEAR(Flujo_USD!A4:A203)=YEAR(TODAY()))*IF(Flujo_USD!D4:D203="Ingreso",1,-1)*Flujo_USD!E4:E203)+SUMPRODUCT((MONTH(Flujo_USD!A4:A203)=7)*(YEAR(Flujo_USD!A4:A203)=YEAR(TODAY()))*IF(Flujo_USD!D4:D203="Ingreso",1,-1)*Flujo_USD!E4:E203)+SUMPRODUCT((MONTH(Flujo_USD!A4:A203)=8)*(YEAR(Flujo_USD!A4:A203)=YEAR(TODAY()))*IF(Flujo_USD!D4:D203="Ingreso",1,-1)*Flujo_USD!E4:E203)+SUMPRODUCT((MONTH(Flujo_USD!A4:A203)=9)*(YEAR(Flujo_USD!A4:A203)=YEAR(TODAY()))*IF(Flujo_USD!D4:D203="Ingreso",1,-1)*Flujo_USD!E4:E203)+SUMPRODUCT((MONTH(Flujo_USD!A4:A203)=10)*(YEAR(Flujo_USD!A4:A203)=YEAR(TODAY()))*IF(Flujo_USD!D4:D203="Ingreso",1,-1)*Flujo_USD!E4:E203),0)</f>
        <v/>
      </c>
      <c r="I23" s="1" t="n"/>
    </row>
    <row r="24">
      <c r="A24" s="1" t="n"/>
      <c r="B24" s="13" t="inlineStr">
        <is>
          <t>Nov</t>
        </is>
      </c>
      <c r="C24" s="14">
        <f>IFERROR(SUMPRODUCT((MONTH(Flujo_BOB!A4:A203)=11)*(YEAR(Flujo_BOB!A4:A203)=YEAR(TODAY()))*(Flujo_BOB!D4:D203="Ingreso")*Flujo_BOB!E4:E203)+SUMPRODUCT((MONTH(Flujo_USD!A4:A203)=11)*(YEAR(Flujo_USD!A4:A203)=YEAR(TODAY()))*(Flujo_USD!D4:D203="Ingreso")*Flujo_USD!E4:E203)*D4,0)</f>
        <v/>
      </c>
      <c r="D24" s="14">
        <f>IFERROR(SUMPRODUCT((MONTH(Flujo_BOB!A4:A203)=11)*(YEAR(Flujo_BOB!A4:A203)=YEAR(TODAY()))*(Flujo_BOB!D4:D203="Egreso")*Flujo_BOB!E4:E203)+SUMPRODUCT((MONTH(Flujo_USD!A4:A203)=11)*(YEAR(Flujo_USD!A4:A203)=YEAR(TODAY()))*(Flujo_USD!D4:D203="Egreso")*Flujo_USD!E4:E203)*D4,0)</f>
        <v/>
      </c>
      <c r="E24" s="1" t="n"/>
      <c r="F24" s="13" t="inlineStr">
        <is>
          <t>Nov</t>
        </is>
      </c>
      <c r="G24" s="14">
        <f>IFERROR(SUMPRODUCT((MONTH(Flujo_BOB!A4:A203)=1)*(YEAR(Flujo_BOB!A4:A203)=YEAR(TODAY()))*IF(Flujo_BOB!D4:D203="Ingreso",1,-1)*Flujo_BOB!E4:E203)+SUMPRODUCT((MONTH(Flujo_BOB!A4:A203)=2)*(YEAR(Flujo_BOB!A4:A203)=YEAR(TODAY()))*IF(Flujo_BOB!D4:D203="Ingreso",1,-1)*Flujo_BOB!E4:E203)+SUMPRODUCT((MONTH(Flujo_BOB!A4:A203)=3)*(YEAR(Flujo_BOB!A4:A203)=YEAR(TODAY()))*IF(Flujo_BOB!D4:D203="Ingreso",1,-1)*Flujo_BOB!E4:E203)+SUMPRODUCT((MONTH(Flujo_BOB!A4:A203)=4)*(YEAR(Flujo_BOB!A4:A203)=YEAR(TODAY()))*IF(Flujo_BOB!D4:D203="Ingreso",1,-1)*Flujo_BOB!E4:E203)+SUMPRODUCT((MONTH(Flujo_BOB!A4:A203)=5)*(YEAR(Flujo_BOB!A4:A203)=YEAR(TODAY()))*IF(Flujo_BOB!D4:D203="Ingreso",1,-1)*Flujo_BOB!E4:E203)+SUMPRODUCT((MONTH(Flujo_BOB!A4:A203)=6)*(YEAR(Flujo_BOB!A4:A203)=YEAR(TODAY()))*IF(Flujo_BOB!D4:D203="Ingreso",1,-1)*Flujo_BOB!E4:E203)+SUMPRODUCT((MONTH(Flujo_BOB!A4:A203)=7)*(YEAR(Flujo_BOB!A4:A203)=YEAR(TODAY()))*IF(Flujo_BOB!D4:D203="Ingreso",1,-1)*Flujo_BOB!E4:E203)+SUMPRODUCT((MONTH(Flujo_BOB!A4:A203)=8)*(YEAR(Flujo_BOB!A4:A203)=YEAR(TODAY()))*IF(Flujo_BOB!D4:D203="Ingreso",1,-1)*Flujo_BOB!E4:E203)+SUMPRODUCT((MONTH(Flujo_BOB!A4:A203)=9)*(YEAR(Flujo_BOB!A4:A203)=YEAR(TODAY()))*IF(Flujo_BOB!D4:D203="Ingreso",1,-1)*Flujo_BOB!E4:E203)+SUMPRODUCT((MONTH(Flujo_BOB!A4:A203)=10)*(YEAR(Flujo_BOB!A4:A203)=YEAR(TODAY()))*IF(Flujo_BOB!D4:D203="Ingreso",1,-1)*Flujo_BOB!E4:E203)+SUMPRODUCT((MONTH(Flujo_BOB!A4:A203)=11)*(YEAR(Flujo_BOB!A4:A203)=YEAR(TODAY()))*IF(Flujo_BOB!D4:D203="Ingreso",1,-1)*Flujo_BOB!E4:E203),0)</f>
        <v/>
      </c>
      <c r="H24" s="14">
        <f>IFERROR(SUMPRODUCT((MONTH(Flujo_USD!A4:A203)=1)*(YEAR(Flujo_USD!A4:A203)=YEAR(TODAY()))*IF(Flujo_USD!D4:D203="Ingreso",1,-1)*Flujo_USD!E4:E203)+SUMPRODUCT((MONTH(Flujo_USD!A4:A203)=2)*(YEAR(Flujo_USD!A4:A203)=YEAR(TODAY()))*IF(Flujo_USD!D4:D203="Ingreso",1,-1)*Flujo_USD!E4:E203)+SUMPRODUCT((MONTH(Flujo_USD!A4:A203)=3)*(YEAR(Flujo_USD!A4:A203)=YEAR(TODAY()))*IF(Flujo_USD!D4:D203="Ingreso",1,-1)*Flujo_USD!E4:E203)+SUMPRODUCT((MONTH(Flujo_USD!A4:A203)=4)*(YEAR(Flujo_USD!A4:A203)=YEAR(TODAY()))*IF(Flujo_USD!D4:D203="Ingreso",1,-1)*Flujo_USD!E4:E203)+SUMPRODUCT((MONTH(Flujo_USD!A4:A203)=5)*(YEAR(Flujo_USD!A4:A203)=YEAR(TODAY()))*IF(Flujo_USD!D4:D203="Ingreso",1,-1)*Flujo_USD!E4:E203)+SUMPRODUCT((MONTH(Flujo_USD!A4:A203)=6)*(YEAR(Flujo_USD!A4:A203)=YEAR(TODAY()))*IF(Flujo_USD!D4:D203="Ingreso",1,-1)*Flujo_USD!E4:E203)+SUMPRODUCT((MONTH(Flujo_USD!A4:A203)=7)*(YEAR(Flujo_USD!A4:A203)=YEAR(TODAY()))*IF(Flujo_USD!D4:D203="Ingreso",1,-1)*Flujo_USD!E4:E203)+SUMPRODUCT((MONTH(Flujo_USD!A4:A203)=8)*(YEAR(Flujo_USD!A4:A203)=YEAR(TODAY()))*IF(Flujo_USD!D4:D203="Ingreso",1,-1)*Flujo_USD!E4:E203)+SUMPRODUCT((MONTH(Flujo_USD!A4:A203)=9)*(YEAR(Flujo_USD!A4:A203)=YEAR(TODAY()))*IF(Flujo_USD!D4:D203="Ingreso",1,-1)*Flujo_USD!E4:E203)+SUMPRODUCT((MONTH(Flujo_USD!A4:A203)=10)*(YEAR(Flujo_USD!A4:A203)=YEAR(TODAY()))*IF(Flujo_USD!D4:D203="Ingreso",1,-1)*Flujo_USD!E4:E203)+SUMPRODUCT((MONTH(Flujo_USD!A4:A203)=11)*(YEAR(Flujo_USD!A4:A203)=YEAR(TODAY()))*IF(Flujo_USD!D4:D203="Ingreso",1,-1)*Flujo_USD!E4:E203),0)</f>
        <v/>
      </c>
      <c r="I24" s="1" t="n"/>
    </row>
    <row r="25">
      <c r="A25" s="1" t="n"/>
      <c r="B25" s="13" t="inlineStr">
        <is>
          <t>Dic</t>
        </is>
      </c>
      <c r="C25" s="14">
        <f>IFERROR(SUMPRODUCT((MONTH(Flujo_BOB!A4:A203)=12)*(YEAR(Flujo_BOB!A4:A203)=YEAR(TODAY()))*(Flujo_BOB!D4:D203="Ingreso")*Flujo_BOB!E4:E203)+SUMPRODUCT((MONTH(Flujo_USD!A4:A203)=12)*(YEAR(Flujo_USD!A4:A203)=YEAR(TODAY()))*(Flujo_USD!D4:D203="Ingreso")*Flujo_USD!E4:E203)*D4,0)</f>
        <v/>
      </c>
      <c r="D25" s="14">
        <f>IFERROR(SUMPRODUCT((MONTH(Flujo_BOB!A4:A203)=12)*(YEAR(Flujo_BOB!A4:A203)=YEAR(TODAY()))*(Flujo_BOB!D4:D203="Egreso")*Flujo_BOB!E4:E203)+SUMPRODUCT((MONTH(Flujo_USD!A4:A203)=12)*(YEAR(Flujo_USD!A4:A203)=YEAR(TODAY()))*(Flujo_USD!D4:D203="Egreso")*Flujo_USD!E4:E203)*D4,0)</f>
        <v/>
      </c>
      <c r="E25" s="1" t="n"/>
      <c r="F25" s="13" t="inlineStr">
        <is>
          <t>Dic</t>
        </is>
      </c>
      <c r="G25" s="14">
        <f>IFERROR(SUMPRODUCT((MONTH(Flujo_BOB!A4:A203)=1)*(YEAR(Flujo_BOB!A4:A203)=YEAR(TODAY()))*IF(Flujo_BOB!D4:D203="Ingreso",1,-1)*Flujo_BOB!E4:E203)+SUMPRODUCT((MONTH(Flujo_BOB!A4:A203)=2)*(YEAR(Flujo_BOB!A4:A203)=YEAR(TODAY()))*IF(Flujo_BOB!D4:D203="Ingreso",1,-1)*Flujo_BOB!E4:E203)+SUMPRODUCT((MONTH(Flujo_BOB!A4:A203)=3)*(YEAR(Flujo_BOB!A4:A203)=YEAR(TODAY()))*IF(Flujo_BOB!D4:D203="Ingreso",1,-1)*Flujo_BOB!E4:E203)+SUMPRODUCT((MONTH(Flujo_BOB!A4:A203)=4)*(YEAR(Flujo_BOB!A4:A203)=YEAR(TODAY()))*IF(Flujo_BOB!D4:D203="Ingreso",1,-1)*Flujo_BOB!E4:E203)+SUMPRODUCT((MONTH(Flujo_BOB!A4:A203)=5)*(YEAR(Flujo_BOB!A4:A203)=YEAR(TODAY()))*IF(Flujo_BOB!D4:D203="Ingreso",1,-1)*Flujo_BOB!E4:E203)+SUMPRODUCT((MONTH(Flujo_BOB!A4:A203)=6)*(YEAR(Flujo_BOB!A4:A203)=YEAR(TODAY()))*IF(Flujo_BOB!D4:D203="Ingreso",1,-1)*Flujo_BOB!E4:E203)+SUMPRODUCT((MONTH(Flujo_BOB!A4:A203)=7)*(YEAR(Flujo_BOB!A4:A203)=YEAR(TODAY()))*IF(Flujo_BOB!D4:D203="Ingreso",1,-1)*Flujo_BOB!E4:E203)+SUMPRODUCT((MONTH(Flujo_BOB!A4:A203)=8)*(YEAR(Flujo_BOB!A4:A203)=YEAR(TODAY()))*IF(Flujo_BOB!D4:D203="Ingreso",1,-1)*Flujo_BOB!E4:E203)+SUMPRODUCT((MONTH(Flujo_BOB!A4:A203)=9)*(YEAR(Flujo_BOB!A4:A203)=YEAR(TODAY()))*IF(Flujo_BOB!D4:D203="Ingreso",1,-1)*Flujo_BOB!E4:E203)+SUMPRODUCT((MONTH(Flujo_BOB!A4:A203)=10)*(YEAR(Flujo_BOB!A4:A203)=YEAR(TODAY()))*IF(Flujo_BOB!D4:D203="Ingreso",1,-1)*Flujo_BOB!E4:E203)+SUMPRODUCT((MONTH(Flujo_BOB!A4:A203)=11)*(YEAR(Flujo_BOB!A4:A203)=YEAR(TODAY()))*IF(Flujo_BOB!D4:D203="Ingreso",1,-1)*Flujo_BOB!E4:E203)+SUMPRODUCT((MONTH(Flujo_BOB!A4:A203)=12)*(YEAR(Flujo_BOB!A4:A203)=YEAR(TODAY()))*IF(Flujo_BOB!D4:D203="Ingreso",1,-1)*Flujo_BOB!E4:E203),0)</f>
        <v/>
      </c>
      <c r="H25" s="14">
        <f>IFERROR(SUMPRODUCT((MONTH(Flujo_USD!A4:A203)=1)*(YEAR(Flujo_USD!A4:A203)=YEAR(TODAY()))*IF(Flujo_USD!D4:D203="Ingreso",1,-1)*Flujo_USD!E4:E203)+SUMPRODUCT((MONTH(Flujo_USD!A4:A203)=2)*(YEAR(Flujo_USD!A4:A203)=YEAR(TODAY()))*IF(Flujo_USD!D4:D203="Ingreso",1,-1)*Flujo_USD!E4:E203)+SUMPRODUCT((MONTH(Flujo_USD!A4:A203)=3)*(YEAR(Flujo_USD!A4:A203)=YEAR(TODAY()))*IF(Flujo_USD!D4:D203="Ingreso",1,-1)*Flujo_USD!E4:E203)+SUMPRODUCT((MONTH(Flujo_USD!A4:A203)=4)*(YEAR(Flujo_USD!A4:A203)=YEAR(TODAY()))*IF(Flujo_USD!D4:D203="Ingreso",1,-1)*Flujo_USD!E4:E203)+SUMPRODUCT((MONTH(Flujo_USD!A4:A203)=5)*(YEAR(Flujo_USD!A4:A203)=YEAR(TODAY()))*IF(Flujo_USD!D4:D203="Ingreso",1,-1)*Flujo_USD!E4:E203)+SUMPRODUCT((MONTH(Flujo_USD!A4:A203)=6)*(YEAR(Flujo_USD!A4:A203)=YEAR(TODAY()))*IF(Flujo_USD!D4:D203="Ingreso",1,-1)*Flujo_USD!E4:E203)+SUMPRODUCT((MONTH(Flujo_USD!A4:A203)=7)*(YEAR(Flujo_USD!A4:A203)=YEAR(TODAY()))*IF(Flujo_USD!D4:D203="Ingreso",1,-1)*Flujo_USD!E4:E203)+SUMPRODUCT((MONTH(Flujo_USD!A4:A203)=8)*(YEAR(Flujo_USD!A4:A203)=YEAR(TODAY()))*IF(Flujo_USD!D4:D203="Ingreso",1,-1)*Flujo_USD!E4:E203)+SUMPRODUCT((MONTH(Flujo_USD!A4:A203)=9)*(YEAR(Flujo_USD!A4:A203)=YEAR(TODAY()))*IF(Flujo_USD!D4:D203="Ingreso",1,-1)*Flujo_USD!E4:E203)+SUMPRODUCT((MONTH(Flujo_USD!A4:A203)=10)*(YEAR(Flujo_USD!A4:A203)=YEAR(TODAY()))*IF(Flujo_USD!D4:D203="Ingreso",1,-1)*Flujo_USD!E4:E203)+SUMPRODUCT((MONTH(Flujo_USD!A4:A203)=11)*(YEAR(Flujo_USD!A4:A203)=YEAR(TODAY()))*IF(Flujo_USD!D4:D203="Ingreso",1,-1)*Flujo_USD!E4:E203)+SUMPRODUCT((MONTH(Flujo_USD!A4:A203)=12)*(YEAR(Flujo_USD!A4:A203)=YEAR(TODAY()))*IF(Flujo_USD!D4:D203="Ingreso",1,-1)*Flujo_USD!E4:E203),0)</f>
        <v/>
      </c>
      <c r="I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10">
    <mergeCell ref="B10:D10"/>
    <mergeCell ref="F10:H10"/>
    <mergeCell ref="F6:H6"/>
    <mergeCell ref="B9:D9"/>
    <mergeCell ref="B2:H2"/>
    <mergeCell ref="F9:H9"/>
    <mergeCell ref="F7:H7"/>
    <mergeCell ref="B3:H3"/>
    <mergeCell ref="B6:D6"/>
    <mergeCell ref="B7:D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6A085"/>
    <outlinePr summaryBelow="1" summaryRight="1"/>
    <pageSetUpPr/>
  </sheetPr>
  <dimension ref="A1:G20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12" customWidth="1" min="4" max="4"/>
    <col width="18" customWidth="1" min="5" max="5"/>
    <col width="18" customWidth="1" min="6" max="6"/>
    <col width="28" customWidth="1" min="7" max="7"/>
  </cols>
  <sheetData>
    <row r="1" ht="35" customHeight="1">
      <c r="A1" s="15" t="inlineStr">
        <is>
          <t>FLUJO DE CAJA EN BOLIVIANOS</t>
        </is>
      </c>
    </row>
    <row r="2">
      <c r="A2" s="16" t="inlineStr">
        <is>
          <t>Registra todos los ingresos y egresos en BOLIVIANOS.</t>
        </is>
      </c>
    </row>
    <row r="3" ht="28" customHeight="1">
      <c r="A3" s="17" t="inlineStr">
        <is>
          <t>FECHA</t>
        </is>
      </c>
      <c r="B3" s="17" t="inlineStr">
        <is>
          <t>CONCEPTO</t>
        </is>
      </c>
      <c r="C3" s="17" t="inlineStr">
        <is>
          <t>CATEGORIA</t>
        </is>
      </c>
      <c r="D3" s="17" t="inlineStr">
        <is>
          <t>TIPO</t>
        </is>
      </c>
      <c r="E3" s="17" t="inlineStr">
        <is>
          <t>MONTO (Bs.)</t>
        </is>
      </c>
      <c r="F3" s="17" t="inlineStr">
        <is>
          <t>SALDO ACUMULADO</t>
        </is>
      </c>
      <c r="G3" s="17" t="inlineStr">
        <is>
          <t>OBSERVACION</t>
        </is>
      </c>
    </row>
    <row r="4">
      <c r="A4" s="18" t="n">
        <v>45659</v>
      </c>
      <c r="B4" s="19" t="inlineStr">
        <is>
          <t>Ventas enero semana 1</t>
        </is>
      </c>
      <c r="C4" s="20" t="inlineStr">
        <is>
          <t>Ventas</t>
        </is>
      </c>
      <c r="D4" s="20" t="inlineStr">
        <is>
          <t>Ingreso</t>
        </is>
      </c>
      <c r="E4" s="5" t="n">
        <v>15000</v>
      </c>
      <c r="F4" s="21">
        <f>IF(D4="Ingreso",E4,IF(D4="Egreso",-E4,0))</f>
        <v/>
      </c>
      <c r="G4" s="19" t="inlineStr"/>
    </row>
    <row r="5">
      <c r="A5" s="18" t="n">
        <v>45662</v>
      </c>
      <c r="B5" s="19" t="inlineStr">
        <is>
          <t>Alquiler local</t>
        </is>
      </c>
      <c r="C5" s="20" t="inlineStr">
        <is>
          <t>Alquiler</t>
        </is>
      </c>
      <c r="D5" s="20" t="inlineStr">
        <is>
          <t>Egreso</t>
        </is>
      </c>
      <c r="E5" s="5" t="n">
        <v>3500</v>
      </c>
      <c r="F5" s="21">
        <f>IF(A5="",F4,F4+IF(D5="Ingreso",E5,IF(D5="Egreso",-E5,0)))</f>
        <v/>
      </c>
      <c r="G5" s="19" t="inlineStr"/>
    </row>
    <row r="6">
      <c r="A6" s="18" t="n">
        <v>45662</v>
      </c>
      <c r="B6" s="19" t="inlineStr">
        <is>
          <t>Sueldos enero</t>
        </is>
      </c>
      <c r="C6" s="20" t="inlineStr">
        <is>
          <t>Sueldos</t>
        </is>
      </c>
      <c r="D6" s="20" t="inlineStr">
        <is>
          <t>Egreso</t>
        </is>
      </c>
      <c r="E6" s="5" t="n">
        <v>8000</v>
      </c>
      <c r="F6" s="21">
        <f>IF(A6="",F5,F5+IF(D6="Ingreso",E6,IF(D6="Egreso",-E6,0)))</f>
        <v/>
      </c>
      <c r="G6" s="19" t="inlineStr">
        <is>
          <t>3 empleados</t>
        </is>
      </c>
    </row>
    <row r="7">
      <c r="A7" s="18" t="n">
        <v>45667</v>
      </c>
      <c r="B7" s="19" t="inlineStr">
        <is>
          <t>Ventas enero semana 2</t>
        </is>
      </c>
      <c r="C7" s="20" t="inlineStr">
        <is>
          <t>Ventas</t>
        </is>
      </c>
      <c r="D7" s="20" t="inlineStr">
        <is>
          <t>Ingreso</t>
        </is>
      </c>
      <c r="E7" s="5" t="n">
        <v>12000</v>
      </c>
      <c r="F7" s="21">
        <f>IF(A7="",F6,F6+IF(D7="Ingreso",E7,IF(D7="Egreso",-E7,0)))</f>
        <v/>
      </c>
      <c r="G7" s="19" t="inlineStr"/>
    </row>
    <row r="8">
      <c r="A8" s="18" t="n">
        <v>45672</v>
      </c>
      <c r="B8" s="19" t="inlineStr">
        <is>
          <t>Servicios basicos</t>
        </is>
      </c>
      <c r="C8" s="20" t="inlineStr">
        <is>
          <t>Servicios</t>
        </is>
      </c>
      <c r="D8" s="20" t="inlineStr">
        <is>
          <t>Egreso</t>
        </is>
      </c>
      <c r="E8" s="5" t="n">
        <v>700</v>
      </c>
      <c r="F8" s="21">
        <f>IF(A8="",F7,F7+IF(D8="Ingreso",E8,IF(D8="Egreso",-E8,0)))</f>
        <v/>
      </c>
      <c r="G8" s="19" t="inlineStr"/>
    </row>
    <row r="9">
      <c r="A9" s="18" t="n">
        <v>45677</v>
      </c>
      <c r="B9" s="19" t="inlineStr">
        <is>
          <t>Ventas enero semana 3</t>
        </is>
      </c>
      <c r="C9" s="20" t="inlineStr">
        <is>
          <t>Ventas</t>
        </is>
      </c>
      <c r="D9" s="20" t="inlineStr">
        <is>
          <t>Ingreso</t>
        </is>
      </c>
      <c r="E9" s="5" t="n">
        <v>18000</v>
      </c>
      <c r="F9" s="21">
        <f>IF(A9="",F8,F8+IF(D9="Ingreso",E9,IF(D9="Egreso",-E9,0)))</f>
        <v/>
      </c>
      <c r="G9" s="19" t="inlineStr"/>
    </row>
    <row r="10">
      <c r="A10" s="18" t="n">
        <v>45682</v>
      </c>
      <c r="B10" s="19" t="inlineStr">
        <is>
          <t>Compra mercaderia</t>
        </is>
      </c>
      <c r="C10" s="20" t="inlineStr">
        <is>
          <t>Compras</t>
        </is>
      </c>
      <c r="D10" s="20" t="inlineStr">
        <is>
          <t>Egreso</t>
        </is>
      </c>
      <c r="E10" s="5" t="n">
        <v>10000</v>
      </c>
      <c r="F10" s="21">
        <f>IF(A10="",F9,F9+IF(D10="Ingreso",E10,IF(D10="Egreso",-E10,0)))</f>
        <v/>
      </c>
      <c r="G10" s="19" t="inlineStr"/>
    </row>
    <row r="11">
      <c r="A11" s="18" t="n">
        <v>45689</v>
      </c>
      <c r="B11" s="19" t="inlineStr">
        <is>
          <t>Ventas febrero semana 1</t>
        </is>
      </c>
      <c r="C11" s="20" t="inlineStr">
        <is>
          <t>Ventas</t>
        </is>
      </c>
      <c r="D11" s="20" t="inlineStr">
        <is>
          <t>Ingreso</t>
        </is>
      </c>
      <c r="E11" s="5" t="n">
        <v>16000</v>
      </c>
      <c r="F11" s="21">
        <f>IF(A11="",F10,F10+IF(D11="Ingreso",E11,IF(D11="Egreso",-E11,0)))</f>
        <v/>
      </c>
      <c r="G11" s="19" t="inlineStr"/>
    </row>
    <row r="12">
      <c r="A12" s="18" t="n">
        <v>45693</v>
      </c>
      <c r="B12" s="19" t="inlineStr">
        <is>
          <t>Alquiler local</t>
        </is>
      </c>
      <c r="C12" s="20" t="inlineStr">
        <is>
          <t>Alquiler</t>
        </is>
      </c>
      <c r="D12" s="20" t="inlineStr">
        <is>
          <t>Egreso</t>
        </is>
      </c>
      <c r="E12" s="5" t="n">
        <v>3500</v>
      </c>
      <c r="F12" s="21">
        <f>IF(A12="",F11,F11+IF(D12="Ingreso",E12,IF(D12="Egreso",-E12,0)))</f>
        <v/>
      </c>
      <c r="G12" s="19" t="inlineStr"/>
    </row>
    <row r="13">
      <c r="A13" s="18" t="n"/>
      <c r="B13" s="19" t="n"/>
      <c r="C13" s="20" t="n"/>
      <c r="D13" s="20" t="n"/>
      <c r="E13" s="5" t="n"/>
      <c r="F13" s="21">
        <f>IF(A13="",F12,F12+IF(D13="Ingreso",E13,IF(D13="Egreso",-E13,0)))</f>
        <v/>
      </c>
      <c r="G13" s="19" t="n"/>
    </row>
    <row r="14">
      <c r="A14" s="18" t="n"/>
      <c r="B14" s="19" t="n"/>
      <c r="C14" s="20" t="n"/>
      <c r="D14" s="20" t="n"/>
      <c r="E14" s="5" t="n"/>
      <c r="F14" s="21">
        <f>IF(A14="",F13,F13+IF(D14="Ingreso",E14,IF(D14="Egreso",-E14,0)))</f>
        <v/>
      </c>
      <c r="G14" s="19" t="n"/>
    </row>
    <row r="15">
      <c r="A15" s="18" t="n"/>
      <c r="B15" s="19" t="n"/>
      <c r="C15" s="20" t="n"/>
      <c r="D15" s="20" t="n"/>
      <c r="E15" s="5" t="n"/>
      <c r="F15" s="21">
        <f>IF(A15="",F14,F14+IF(D15="Ingreso",E15,IF(D15="Egreso",-E15,0)))</f>
        <v/>
      </c>
      <c r="G15" s="19" t="n"/>
    </row>
    <row r="16">
      <c r="A16" s="18" t="n"/>
      <c r="B16" s="19" t="n"/>
      <c r="C16" s="20" t="n"/>
      <c r="D16" s="20" t="n"/>
      <c r="E16" s="5" t="n"/>
      <c r="F16" s="21">
        <f>IF(A16="",F15,F15+IF(D16="Ingreso",E16,IF(D16="Egreso",-E16,0)))</f>
        <v/>
      </c>
      <c r="G16" s="19" t="n"/>
    </row>
    <row r="17">
      <c r="A17" s="18" t="n"/>
      <c r="B17" s="19" t="n"/>
      <c r="C17" s="20" t="n"/>
      <c r="D17" s="20" t="n"/>
      <c r="E17" s="5" t="n"/>
      <c r="F17" s="21">
        <f>IF(A17="",F16,F16+IF(D17="Ingreso",E17,IF(D17="Egreso",-E17,0)))</f>
        <v/>
      </c>
      <c r="G17" s="19" t="n"/>
    </row>
    <row r="18">
      <c r="A18" s="18" t="n"/>
      <c r="B18" s="19" t="n"/>
      <c r="C18" s="20" t="n"/>
      <c r="D18" s="20" t="n"/>
      <c r="E18" s="5" t="n"/>
      <c r="F18" s="21">
        <f>IF(A18="",F17,F17+IF(D18="Ingreso",E18,IF(D18="Egreso",-E18,0)))</f>
        <v/>
      </c>
      <c r="G18" s="19" t="n"/>
    </row>
    <row r="19">
      <c r="A19" s="18" t="n"/>
      <c r="B19" s="19" t="n"/>
      <c r="C19" s="20" t="n"/>
      <c r="D19" s="20" t="n"/>
      <c r="E19" s="5" t="n"/>
      <c r="F19" s="21">
        <f>IF(A19="",F18,F18+IF(D19="Ingreso",E19,IF(D19="Egreso",-E19,0)))</f>
        <v/>
      </c>
      <c r="G19" s="19" t="n"/>
    </row>
    <row r="20">
      <c r="A20" s="18" t="n"/>
      <c r="B20" s="19" t="n"/>
      <c r="C20" s="20" t="n"/>
      <c r="D20" s="20" t="n"/>
      <c r="E20" s="5" t="n"/>
      <c r="F20" s="21">
        <f>IF(A20="",F19,F19+IF(D20="Ingreso",E20,IF(D20="Egreso",-E20,0)))</f>
        <v/>
      </c>
      <c r="G20" s="19" t="n"/>
    </row>
    <row r="21">
      <c r="A21" s="18" t="n"/>
      <c r="B21" s="19" t="n"/>
      <c r="C21" s="20" t="n"/>
      <c r="D21" s="20" t="n"/>
      <c r="E21" s="5" t="n"/>
      <c r="F21" s="21">
        <f>IF(A21="",F20,F20+IF(D21="Ingreso",E21,IF(D21="Egreso",-E21,0)))</f>
        <v/>
      </c>
      <c r="G21" s="19" t="n"/>
    </row>
    <row r="22">
      <c r="A22" s="18" t="n"/>
      <c r="B22" s="19" t="n"/>
      <c r="C22" s="20" t="n"/>
      <c r="D22" s="20" t="n"/>
      <c r="E22" s="5" t="n"/>
      <c r="F22" s="21">
        <f>IF(A22="",F21,F21+IF(D22="Ingreso",E22,IF(D22="Egreso",-E22,0)))</f>
        <v/>
      </c>
      <c r="G22" s="19" t="n"/>
    </row>
    <row r="23">
      <c r="A23" s="18" t="n"/>
      <c r="B23" s="19" t="n"/>
      <c r="C23" s="20" t="n"/>
      <c r="D23" s="20" t="n"/>
      <c r="E23" s="5" t="n"/>
      <c r="F23" s="21">
        <f>IF(A23="",F22,F22+IF(D23="Ingreso",E23,IF(D23="Egreso",-E23,0)))</f>
        <v/>
      </c>
      <c r="G23" s="19" t="n"/>
    </row>
    <row r="24">
      <c r="A24" s="18" t="n"/>
      <c r="B24" s="19" t="n"/>
      <c r="C24" s="20" t="n"/>
      <c r="D24" s="20" t="n"/>
      <c r="E24" s="5" t="n"/>
      <c r="F24" s="21">
        <f>IF(A24="",F23,F23+IF(D24="Ingreso",E24,IF(D24="Egreso",-E24,0)))</f>
        <v/>
      </c>
      <c r="G24" s="19" t="n"/>
    </row>
    <row r="25">
      <c r="A25" s="18" t="n"/>
      <c r="B25" s="19" t="n"/>
      <c r="C25" s="20" t="n"/>
      <c r="D25" s="20" t="n"/>
      <c r="E25" s="5" t="n"/>
      <c r="F25" s="21">
        <f>IF(A25="",F24,F24+IF(D25="Ingreso",E25,IF(D25="Egreso",-E25,0)))</f>
        <v/>
      </c>
      <c r="G25" s="19" t="n"/>
    </row>
    <row r="26">
      <c r="A26" s="18" t="n"/>
      <c r="B26" s="19" t="n"/>
      <c r="C26" s="20" t="n"/>
      <c r="D26" s="20" t="n"/>
      <c r="E26" s="5" t="n"/>
      <c r="F26" s="21">
        <f>IF(A26="",F25,F25+IF(D26="Ingreso",E26,IF(D26="Egreso",-E26,0)))</f>
        <v/>
      </c>
      <c r="G26" s="19" t="n"/>
    </row>
    <row r="27">
      <c r="A27" s="18" t="n"/>
      <c r="B27" s="19" t="n"/>
      <c r="C27" s="20" t="n"/>
      <c r="D27" s="20" t="n"/>
      <c r="E27" s="5" t="n"/>
      <c r="F27" s="21">
        <f>IF(A27="",F26,F26+IF(D27="Ingreso",E27,IF(D27="Egreso",-E27,0)))</f>
        <v/>
      </c>
      <c r="G27" s="19" t="n"/>
    </row>
    <row r="28">
      <c r="A28" s="18" t="n"/>
      <c r="B28" s="19" t="n"/>
      <c r="C28" s="20" t="n"/>
      <c r="D28" s="20" t="n"/>
      <c r="E28" s="5" t="n"/>
      <c r="F28" s="21">
        <f>IF(A28="",F27,F27+IF(D28="Ingreso",E28,IF(D28="Egreso",-E28,0)))</f>
        <v/>
      </c>
      <c r="G28" s="19" t="n"/>
    </row>
    <row r="29">
      <c r="A29" s="18" t="n"/>
      <c r="B29" s="19" t="n"/>
      <c r="C29" s="20" t="n"/>
      <c r="D29" s="20" t="n"/>
      <c r="E29" s="5" t="n"/>
      <c r="F29" s="21">
        <f>IF(A29="",F28,F28+IF(D29="Ingreso",E29,IF(D29="Egreso",-E29,0)))</f>
        <v/>
      </c>
      <c r="G29" s="19" t="n"/>
    </row>
    <row r="30">
      <c r="A30" s="18" t="n"/>
      <c r="B30" s="19" t="n"/>
      <c r="C30" s="20" t="n"/>
      <c r="D30" s="20" t="n"/>
      <c r="E30" s="5" t="n"/>
      <c r="F30" s="21">
        <f>IF(A30="",F29,F29+IF(D30="Ingreso",E30,IF(D30="Egreso",-E30,0)))</f>
        <v/>
      </c>
      <c r="G30" s="19" t="n"/>
    </row>
    <row r="31">
      <c r="A31" s="18" t="n"/>
      <c r="B31" s="19" t="n"/>
      <c r="C31" s="20" t="n"/>
      <c r="D31" s="20" t="n"/>
      <c r="E31" s="5" t="n"/>
      <c r="F31" s="21">
        <f>IF(A31="",F30,F30+IF(D31="Ingreso",E31,IF(D31="Egreso",-E31,0)))</f>
        <v/>
      </c>
      <c r="G31" s="19" t="n"/>
    </row>
    <row r="32">
      <c r="A32" s="18" t="n"/>
      <c r="B32" s="19" t="n"/>
      <c r="C32" s="20" t="n"/>
      <c r="D32" s="20" t="n"/>
      <c r="E32" s="5" t="n"/>
      <c r="F32" s="21">
        <f>IF(A32="",F31,F31+IF(D32="Ingreso",E32,IF(D32="Egreso",-E32,0)))</f>
        <v/>
      </c>
      <c r="G32" s="19" t="n"/>
    </row>
    <row r="33">
      <c r="A33" s="18" t="n"/>
      <c r="B33" s="19" t="n"/>
      <c r="C33" s="20" t="n"/>
      <c r="D33" s="20" t="n"/>
      <c r="E33" s="5" t="n"/>
      <c r="F33" s="21">
        <f>IF(A33="",F32,F32+IF(D33="Ingreso",E33,IF(D33="Egreso",-E33,0)))</f>
        <v/>
      </c>
      <c r="G33" s="19" t="n"/>
    </row>
    <row r="34">
      <c r="A34" s="18" t="n"/>
      <c r="B34" s="19" t="n"/>
      <c r="C34" s="20" t="n"/>
      <c r="D34" s="20" t="n"/>
      <c r="E34" s="5" t="n"/>
      <c r="F34" s="21">
        <f>IF(A34="",F33,F33+IF(D34="Ingreso",E34,IF(D34="Egreso",-E34,0)))</f>
        <v/>
      </c>
      <c r="G34" s="19" t="n"/>
    </row>
    <row r="35">
      <c r="A35" s="18" t="n"/>
      <c r="B35" s="19" t="n"/>
      <c r="C35" s="20" t="n"/>
      <c r="D35" s="20" t="n"/>
      <c r="E35" s="5" t="n"/>
      <c r="F35" s="21">
        <f>IF(A35="",F34,F34+IF(D35="Ingreso",E35,IF(D35="Egreso",-E35,0)))</f>
        <v/>
      </c>
      <c r="G35" s="19" t="n"/>
    </row>
    <row r="36">
      <c r="A36" s="18" t="n"/>
      <c r="B36" s="19" t="n"/>
      <c r="C36" s="20" t="n"/>
      <c r="D36" s="20" t="n"/>
      <c r="E36" s="5" t="n"/>
      <c r="F36" s="21">
        <f>IF(A36="",F35,F35+IF(D36="Ingreso",E36,IF(D36="Egreso",-E36,0)))</f>
        <v/>
      </c>
      <c r="G36" s="19" t="n"/>
    </row>
    <row r="37">
      <c r="A37" s="18" t="n"/>
      <c r="B37" s="19" t="n"/>
      <c r="C37" s="20" t="n"/>
      <c r="D37" s="20" t="n"/>
      <c r="E37" s="5" t="n"/>
      <c r="F37" s="21">
        <f>IF(A37="",F36,F36+IF(D37="Ingreso",E37,IF(D37="Egreso",-E37,0)))</f>
        <v/>
      </c>
      <c r="G37" s="19" t="n"/>
    </row>
    <row r="38">
      <c r="A38" s="18" t="n"/>
      <c r="B38" s="19" t="n"/>
      <c r="C38" s="20" t="n"/>
      <c r="D38" s="20" t="n"/>
      <c r="E38" s="5" t="n"/>
      <c r="F38" s="21">
        <f>IF(A38="",F37,F37+IF(D38="Ingreso",E38,IF(D38="Egreso",-E38,0)))</f>
        <v/>
      </c>
      <c r="G38" s="19" t="n"/>
    </row>
    <row r="39">
      <c r="A39" s="18" t="n"/>
      <c r="B39" s="19" t="n"/>
      <c r="C39" s="20" t="n"/>
      <c r="D39" s="20" t="n"/>
      <c r="E39" s="5" t="n"/>
      <c r="F39" s="21">
        <f>IF(A39="",F38,F38+IF(D39="Ingreso",E39,IF(D39="Egreso",-E39,0)))</f>
        <v/>
      </c>
      <c r="G39" s="19" t="n"/>
    </row>
    <row r="40">
      <c r="A40" s="18" t="n"/>
      <c r="B40" s="19" t="n"/>
      <c r="C40" s="20" t="n"/>
      <c r="D40" s="20" t="n"/>
      <c r="E40" s="5" t="n"/>
      <c r="F40" s="21">
        <f>IF(A40="",F39,F39+IF(D40="Ingreso",E40,IF(D40="Egreso",-E40,0)))</f>
        <v/>
      </c>
      <c r="G40" s="19" t="n"/>
    </row>
    <row r="41">
      <c r="A41" s="18" t="n"/>
      <c r="B41" s="19" t="n"/>
      <c r="C41" s="20" t="n"/>
      <c r="D41" s="20" t="n"/>
      <c r="E41" s="5" t="n"/>
      <c r="F41" s="21">
        <f>IF(A41="",F40,F40+IF(D41="Ingreso",E41,IF(D41="Egreso",-E41,0)))</f>
        <v/>
      </c>
      <c r="G41" s="19" t="n"/>
    </row>
    <row r="42">
      <c r="A42" s="18" t="n"/>
      <c r="B42" s="19" t="n"/>
      <c r="C42" s="20" t="n"/>
      <c r="D42" s="20" t="n"/>
      <c r="E42" s="5" t="n"/>
      <c r="F42" s="21">
        <f>IF(A42="",F41,F41+IF(D42="Ingreso",E42,IF(D42="Egreso",-E42,0)))</f>
        <v/>
      </c>
      <c r="G42" s="19" t="n"/>
    </row>
    <row r="43">
      <c r="A43" s="18" t="n"/>
      <c r="B43" s="19" t="n"/>
      <c r="C43" s="20" t="n"/>
      <c r="D43" s="20" t="n"/>
      <c r="E43" s="5" t="n"/>
      <c r="F43" s="21">
        <f>IF(A43="",F42,F42+IF(D43="Ingreso",E43,IF(D43="Egreso",-E43,0)))</f>
        <v/>
      </c>
      <c r="G43" s="19" t="n"/>
    </row>
    <row r="44">
      <c r="A44" s="18" t="n"/>
      <c r="B44" s="19" t="n"/>
      <c r="C44" s="20" t="n"/>
      <c r="D44" s="20" t="n"/>
      <c r="E44" s="5" t="n"/>
      <c r="F44" s="21">
        <f>IF(A44="",F43,F43+IF(D44="Ingreso",E44,IF(D44="Egreso",-E44,0)))</f>
        <v/>
      </c>
      <c r="G44" s="19" t="n"/>
    </row>
    <row r="45">
      <c r="A45" s="18" t="n"/>
      <c r="B45" s="19" t="n"/>
      <c r="C45" s="20" t="n"/>
      <c r="D45" s="20" t="n"/>
      <c r="E45" s="5" t="n"/>
      <c r="F45" s="21">
        <f>IF(A45="",F44,F44+IF(D45="Ingreso",E45,IF(D45="Egreso",-E45,0)))</f>
        <v/>
      </c>
      <c r="G45" s="19" t="n"/>
    </row>
    <row r="46">
      <c r="A46" s="18" t="n"/>
      <c r="B46" s="19" t="n"/>
      <c r="C46" s="20" t="n"/>
      <c r="D46" s="20" t="n"/>
      <c r="E46" s="5" t="n"/>
      <c r="F46" s="21">
        <f>IF(A46="",F45,F45+IF(D46="Ingreso",E46,IF(D46="Egreso",-E46,0)))</f>
        <v/>
      </c>
      <c r="G46" s="19" t="n"/>
    </row>
    <row r="47">
      <c r="A47" s="18" t="n"/>
      <c r="B47" s="19" t="n"/>
      <c r="C47" s="20" t="n"/>
      <c r="D47" s="20" t="n"/>
      <c r="E47" s="5" t="n"/>
      <c r="F47" s="21">
        <f>IF(A47="",F46,F46+IF(D47="Ingreso",E47,IF(D47="Egreso",-E47,0)))</f>
        <v/>
      </c>
      <c r="G47" s="19" t="n"/>
    </row>
    <row r="48">
      <c r="A48" s="18" t="n"/>
      <c r="B48" s="19" t="n"/>
      <c r="C48" s="20" t="n"/>
      <c r="D48" s="20" t="n"/>
      <c r="E48" s="5" t="n"/>
      <c r="F48" s="21">
        <f>IF(A48="",F47,F47+IF(D48="Ingreso",E48,IF(D48="Egreso",-E48,0)))</f>
        <v/>
      </c>
      <c r="G48" s="19" t="n"/>
    </row>
    <row r="49">
      <c r="A49" s="18" t="n"/>
      <c r="B49" s="19" t="n"/>
      <c r="C49" s="20" t="n"/>
      <c r="D49" s="20" t="n"/>
      <c r="E49" s="5" t="n"/>
      <c r="F49" s="21">
        <f>IF(A49="",F48,F48+IF(D49="Ingreso",E49,IF(D49="Egreso",-E49,0)))</f>
        <v/>
      </c>
      <c r="G49" s="19" t="n"/>
    </row>
    <row r="50">
      <c r="A50" s="18" t="n"/>
      <c r="B50" s="19" t="n"/>
      <c r="C50" s="20" t="n"/>
      <c r="D50" s="20" t="n"/>
      <c r="E50" s="5" t="n"/>
      <c r="F50" s="21">
        <f>IF(A50="",F49,F49+IF(D50="Ingreso",E50,IF(D50="Egreso",-E50,0)))</f>
        <v/>
      </c>
      <c r="G50" s="19" t="n"/>
    </row>
    <row r="51">
      <c r="A51" s="18" t="n"/>
      <c r="B51" s="19" t="n"/>
      <c r="C51" s="20" t="n"/>
      <c r="D51" s="20" t="n"/>
      <c r="E51" s="5" t="n"/>
      <c r="F51" s="21">
        <f>IF(A51="",F50,F50+IF(D51="Ingreso",E51,IF(D51="Egreso",-E51,0)))</f>
        <v/>
      </c>
      <c r="G51" s="19" t="n"/>
    </row>
    <row r="52">
      <c r="A52" s="18" t="n"/>
      <c r="B52" s="19" t="n"/>
      <c r="C52" s="20" t="n"/>
      <c r="D52" s="20" t="n"/>
      <c r="E52" s="5" t="n"/>
      <c r="F52" s="21">
        <f>IF(A52="",F51,F51+IF(D52="Ingreso",E52,IF(D52="Egreso",-E52,0)))</f>
        <v/>
      </c>
      <c r="G52" s="19" t="n"/>
    </row>
    <row r="53">
      <c r="A53" s="18" t="n"/>
      <c r="B53" s="19" t="n"/>
      <c r="C53" s="20" t="n"/>
      <c r="D53" s="20" t="n"/>
      <c r="E53" s="5" t="n"/>
      <c r="F53" s="21">
        <f>IF(A53="",F52,F52+IF(D53="Ingreso",E53,IF(D53="Egreso",-E53,0)))</f>
        <v/>
      </c>
      <c r="G53" s="19" t="n"/>
    </row>
    <row r="54">
      <c r="A54" s="18" t="n"/>
      <c r="B54" s="19" t="n"/>
      <c r="C54" s="20" t="n"/>
      <c r="D54" s="20" t="n"/>
      <c r="E54" s="5" t="n"/>
      <c r="F54" s="21">
        <f>IF(A54="",F53,F53+IF(D54="Ingreso",E54,IF(D54="Egreso",-E54,0)))</f>
        <v/>
      </c>
      <c r="G54" s="19" t="n"/>
    </row>
    <row r="55">
      <c r="A55" s="18" t="n"/>
      <c r="B55" s="19" t="n"/>
      <c r="C55" s="20" t="n"/>
      <c r="D55" s="20" t="n"/>
      <c r="E55" s="5" t="n"/>
      <c r="F55" s="21">
        <f>IF(A55="",F54,F54+IF(D55="Ingreso",E55,IF(D55="Egreso",-E55,0)))</f>
        <v/>
      </c>
      <c r="G55" s="19" t="n"/>
    </row>
    <row r="56">
      <c r="A56" s="18" t="n"/>
      <c r="B56" s="19" t="n"/>
      <c r="C56" s="20" t="n"/>
      <c r="D56" s="20" t="n"/>
      <c r="E56" s="5" t="n"/>
      <c r="F56" s="21">
        <f>IF(A56="",F55,F55+IF(D56="Ingreso",E56,IF(D56="Egreso",-E56,0)))</f>
        <v/>
      </c>
      <c r="G56" s="19" t="n"/>
    </row>
    <row r="57">
      <c r="A57" s="18" t="n"/>
      <c r="B57" s="19" t="n"/>
      <c r="C57" s="20" t="n"/>
      <c r="D57" s="20" t="n"/>
      <c r="E57" s="5" t="n"/>
      <c r="F57" s="21">
        <f>IF(A57="",F56,F56+IF(D57="Ingreso",E57,IF(D57="Egreso",-E57,0)))</f>
        <v/>
      </c>
      <c r="G57" s="19" t="n"/>
    </row>
    <row r="58">
      <c r="A58" s="18" t="n"/>
      <c r="B58" s="19" t="n"/>
      <c r="C58" s="20" t="n"/>
      <c r="D58" s="20" t="n"/>
      <c r="E58" s="5" t="n"/>
      <c r="F58" s="21">
        <f>IF(A58="",F57,F57+IF(D58="Ingreso",E58,IF(D58="Egreso",-E58,0)))</f>
        <v/>
      </c>
      <c r="G58" s="19" t="n"/>
    </row>
    <row r="59">
      <c r="A59" s="18" t="n"/>
      <c r="B59" s="19" t="n"/>
      <c r="C59" s="20" t="n"/>
      <c r="D59" s="20" t="n"/>
      <c r="E59" s="5" t="n"/>
      <c r="F59" s="21">
        <f>IF(A59="",F58,F58+IF(D59="Ingreso",E59,IF(D59="Egreso",-E59,0)))</f>
        <v/>
      </c>
      <c r="G59" s="19" t="n"/>
    </row>
    <row r="60">
      <c r="A60" s="18" t="n"/>
      <c r="B60" s="19" t="n"/>
      <c r="C60" s="20" t="n"/>
      <c r="D60" s="20" t="n"/>
      <c r="E60" s="5" t="n"/>
      <c r="F60" s="21">
        <f>IF(A60="",F59,F59+IF(D60="Ingreso",E60,IF(D60="Egreso",-E60,0)))</f>
        <v/>
      </c>
      <c r="G60" s="19" t="n"/>
    </row>
    <row r="61">
      <c r="A61" s="18" t="n"/>
      <c r="B61" s="19" t="n"/>
      <c r="C61" s="20" t="n"/>
      <c r="D61" s="20" t="n"/>
      <c r="E61" s="5" t="n"/>
      <c r="F61" s="21">
        <f>IF(A61="",F60,F60+IF(D61="Ingreso",E61,IF(D61="Egreso",-E61,0)))</f>
        <v/>
      </c>
      <c r="G61" s="19" t="n"/>
    </row>
    <row r="62">
      <c r="A62" s="18" t="n"/>
      <c r="B62" s="19" t="n"/>
      <c r="C62" s="20" t="n"/>
      <c r="D62" s="20" t="n"/>
      <c r="E62" s="5" t="n"/>
      <c r="F62" s="21">
        <f>IF(A62="",F61,F61+IF(D62="Ingreso",E62,IF(D62="Egreso",-E62,0)))</f>
        <v/>
      </c>
      <c r="G62" s="19" t="n"/>
    </row>
    <row r="63">
      <c r="A63" s="18" t="n"/>
      <c r="B63" s="19" t="n"/>
      <c r="C63" s="20" t="n"/>
      <c r="D63" s="20" t="n"/>
      <c r="E63" s="5" t="n"/>
      <c r="F63" s="21">
        <f>IF(A63="",F62,F62+IF(D63="Ingreso",E63,IF(D63="Egreso",-E63,0)))</f>
        <v/>
      </c>
      <c r="G63" s="19" t="n"/>
    </row>
    <row r="64">
      <c r="A64" s="18" t="n"/>
      <c r="B64" s="19" t="n"/>
      <c r="C64" s="20" t="n"/>
      <c r="D64" s="20" t="n"/>
      <c r="E64" s="5" t="n"/>
      <c r="F64" s="21">
        <f>IF(A64="",F63,F63+IF(D64="Ingreso",E64,IF(D64="Egreso",-E64,0)))</f>
        <v/>
      </c>
      <c r="G64" s="19" t="n"/>
    </row>
    <row r="65">
      <c r="A65" s="18" t="n"/>
      <c r="B65" s="19" t="n"/>
      <c r="C65" s="20" t="n"/>
      <c r="D65" s="20" t="n"/>
      <c r="E65" s="5" t="n"/>
      <c r="F65" s="21">
        <f>IF(A65="",F64,F64+IF(D65="Ingreso",E65,IF(D65="Egreso",-E65,0)))</f>
        <v/>
      </c>
      <c r="G65" s="19" t="n"/>
    </row>
    <row r="66">
      <c r="A66" s="18" t="n"/>
      <c r="B66" s="19" t="n"/>
      <c r="C66" s="20" t="n"/>
      <c r="D66" s="20" t="n"/>
      <c r="E66" s="5" t="n"/>
      <c r="F66" s="21">
        <f>IF(A66="",F65,F65+IF(D66="Ingreso",E66,IF(D66="Egreso",-E66,0)))</f>
        <v/>
      </c>
      <c r="G66" s="19" t="n"/>
    </row>
    <row r="67">
      <c r="A67" s="18" t="n"/>
      <c r="B67" s="19" t="n"/>
      <c r="C67" s="20" t="n"/>
      <c r="D67" s="20" t="n"/>
      <c r="E67" s="5" t="n"/>
      <c r="F67" s="21">
        <f>IF(A67="",F66,F66+IF(D67="Ingreso",E67,IF(D67="Egreso",-E67,0)))</f>
        <v/>
      </c>
      <c r="G67" s="19" t="n"/>
    </row>
    <row r="68">
      <c r="A68" s="18" t="n"/>
      <c r="B68" s="19" t="n"/>
      <c r="C68" s="20" t="n"/>
      <c r="D68" s="20" t="n"/>
      <c r="E68" s="5" t="n"/>
      <c r="F68" s="21">
        <f>IF(A68="",F67,F67+IF(D68="Ingreso",E68,IF(D68="Egreso",-E68,0)))</f>
        <v/>
      </c>
      <c r="G68" s="19" t="n"/>
    </row>
    <row r="69">
      <c r="A69" s="18" t="n"/>
      <c r="B69" s="19" t="n"/>
      <c r="C69" s="20" t="n"/>
      <c r="D69" s="20" t="n"/>
      <c r="E69" s="5" t="n"/>
      <c r="F69" s="21">
        <f>IF(A69="",F68,F68+IF(D69="Ingreso",E69,IF(D69="Egreso",-E69,0)))</f>
        <v/>
      </c>
      <c r="G69" s="19" t="n"/>
    </row>
    <row r="70">
      <c r="A70" s="18" t="n"/>
      <c r="B70" s="19" t="n"/>
      <c r="C70" s="20" t="n"/>
      <c r="D70" s="20" t="n"/>
      <c r="E70" s="5" t="n"/>
      <c r="F70" s="21">
        <f>IF(A70="",F69,F69+IF(D70="Ingreso",E70,IF(D70="Egreso",-E70,0)))</f>
        <v/>
      </c>
      <c r="G70" s="19" t="n"/>
    </row>
    <row r="71">
      <c r="A71" s="18" t="n"/>
      <c r="B71" s="19" t="n"/>
      <c r="C71" s="20" t="n"/>
      <c r="D71" s="20" t="n"/>
      <c r="E71" s="5" t="n"/>
      <c r="F71" s="21">
        <f>IF(A71="",F70,F70+IF(D71="Ingreso",E71,IF(D71="Egreso",-E71,0)))</f>
        <v/>
      </c>
      <c r="G71" s="19" t="n"/>
    </row>
    <row r="72">
      <c r="A72" s="18" t="n"/>
      <c r="B72" s="19" t="n"/>
      <c r="C72" s="20" t="n"/>
      <c r="D72" s="20" t="n"/>
      <c r="E72" s="5" t="n"/>
      <c r="F72" s="21">
        <f>IF(A72="",F71,F71+IF(D72="Ingreso",E72,IF(D72="Egreso",-E72,0)))</f>
        <v/>
      </c>
      <c r="G72" s="19" t="n"/>
    </row>
    <row r="73">
      <c r="A73" s="18" t="n"/>
      <c r="B73" s="19" t="n"/>
      <c r="C73" s="20" t="n"/>
      <c r="D73" s="20" t="n"/>
      <c r="E73" s="5" t="n"/>
      <c r="F73" s="21">
        <f>IF(A73="",F72,F72+IF(D73="Ingreso",E73,IF(D73="Egreso",-E73,0)))</f>
        <v/>
      </c>
      <c r="G73" s="19" t="n"/>
    </row>
    <row r="74">
      <c r="A74" s="18" t="n"/>
      <c r="B74" s="19" t="n"/>
      <c r="C74" s="20" t="n"/>
      <c r="D74" s="20" t="n"/>
      <c r="E74" s="5" t="n"/>
      <c r="F74" s="21">
        <f>IF(A74="",F73,F73+IF(D74="Ingreso",E74,IF(D74="Egreso",-E74,0)))</f>
        <v/>
      </c>
      <c r="G74" s="19" t="n"/>
    </row>
    <row r="75">
      <c r="A75" s="18" t="n"/>
      <c r="B75" s="19" t="n"/>
      <c r="C75" s="20" t="n"/>
      <c r="D75" s="20" t="n"/>
      <c r="E75" s="5" t="n"/>
      <c r="F75" s="21">
        <f>IF(A75="",F74,F74+IF(D75="Ingreso",E75,IF(D75="Egreso",-E75,0)))</f>
        <v/>
      </c>
      <c r="G75" s="19" t="n"/>
    </row>
    <row r="76">
      <c r="A76" s="18" t="n"/>
      <c r="B76" s="19" t="n"/>
      <c r="C76" s="20" t="n"/>
      <c r="D76" s="20" t="n"/>
      <c r="E76" s="5" t="n"/>
      <c r="F76" s="21">
        <f>IF(A76="",F75,F75+IF(D76="Ingreso",E76,IF(D76="Egreso",-E76,0)))</f>
        <v/>
      </c>
      <c r="G76" s="19" t="n"/>
    </row>
    <row r="77">
      <c r="A77" s="18" t="n"/>
      <c r="B77" s="19" t="n"/>
      <c r="C77" s="20" t="n"/>
      <c r="D77" s="20" t="n"/>
      <c r="E77" s="5" t="n"/>
      <c r="F77" s="21">
        <f>IF(A77="",F76,F76+IF(D77="Ingreso",E77,IF(D77="Egreso",-E77,0)))</f>
        <v/>
      </c>
      <c r="G77" s="19" t="n"/>
    </row>
    <row r="78">
      <c r="A78" s="18" t="n"/>
      <c r="B78" s="19" t="n"/>
      <c r="C78" s="20" t="n"/>
      <c r="D78" s="20" t="n"/>
      <c r="E78" s="5" t="n"/>
      <c r="F78" s="21">
        <f>IF(A78="",F77,F77+IF(D78="Ingreso",E78,IF(D78="Egreso",-E78,0)))</f>
        <v/>
      </c>
      <c r="G78" s="19" t="n"/>
    </row>
    <row r="79">
      <c r="A79" s="18" t="n"/>
      <c r="B79" s="19" t="n"/>
      <c r="C79" s="20" t="n"/>
      <c r="D79" s="20" t="n"/>
      <c r="E79" s="5" t="n"/>
      <c r="F79" s="21">
        <f>IF(A79="",F78,F78+IF(D79="Ingreso",E79,IF(D79="Egreso",-E79,0)))</f>
        <v/>
      </c>
      <c r="G79" s="19" t="n"/>
    </row>
    <row r="80">
      <c r="A80" s="18" t="n"/>
      <c r="B80" s="19" t="n"/>
      <c r="C80" s="20" t="n"/>
      <c r="D80" s="20" t="n"/>
      <c r="E80" s="5" t="n"/>
      <c r="F80" s="21">
        <f>IF(A80="",F79,F79+IF(D80="Ingreso",E80,IF(D80="Egreso",-E80,0)))</f>
        <v/>
      </c>
      <c r="G80" s="19" t="n"/>
    </row>
    <row r="81">
      <c r="A81" s="18" t="n"/>
      <c r="B81" s="19" t="n"/>
      <c r="C81" s="20" t="n"/>
      <c r="D81" s="20" t="n"/>
      <c r="E81" s="5" t="n"/>
      <c r="F81" s="21">
        <f>IF(A81="",F80,F80+IF(D81="Ingreso",E81,IF(D81="Egreso",-E81,0)))</f>
        <v/>
      </c>
      <c r="G81" s="19" t="n"/>
    </row>
    <row r="82">
      <c r="A82" s="18" t="n"/>
      <c r="B82" s="19" t="n"/>
      <c r="C82" s="20" t="n"/>
      <c r="D82" s="20" t="n"/>
      <c r="E82" s="5" t="n"/>
      <c r="F82" s="21">
        <f>IF(A82="",F81,F81+IF(D82="Ingreso",E82,IF(D82="Egreso",-E82,0)))</f>
        <v/>
      </c>
      <c r="G82" s="19" t="n"/>
    </row>
    <row r="83">
      <c r="A83" s="18" t="n"/>
      <c r="B83" s="19" t="n"/>
      <c r="C83" s="20" t="n"/>
      <c r="D83" s="20" t="n"/>
      <c r="E83" s="5" t="n"/>
      <c r="F83" s="21">
        <f>IF(A83="",F82,F82+IF(D83="Ingreso",E83,IF(D83="Egreso",-E83,0)))</f>
        <v/>
      </c>
      <c r="G83" s="19" t="n"/>
    </row>
    <row r="84">
      <c r="A84" s="18" t="n"/>
      <c r="B84" s="19" t="n"/>
      <c r="C84" s="20" t="n"/>
      <c r="D84" s="20" t="n"/>
      <c r="E84" s="5" t="n"/>
      <c r="F84" s="21">
        <f>IF(A84="",F83,F83+IF(D84="Ingreso",E84,IF(D84="Egreso",-E84,0)))</f>
        <v/>
      </c>
      <c r="G84" s="19" t="n"/>
    </row>
    <row r="85">
      <c r="A85" s="18" t="n"/>
      <c r="B85" s="19" t="n"/>
      <c r="C85" s="20" t="n"/>
      <c r="D85" s="20" t="n"/>
      <c r="E85" s="5" t="n"/>
      <c r="F85" s="21">
        <f>IF(A85="",F84,F84+IF(D85="Ingreso",E85,IF(D85="Egreso",-E85,0)))</f>
        <v/>
      </c>
      <c r="G85" s="19" t="n"/>
    </row>
    <row r="86">
      <c r="A86" s="18" t="n"/>
      <c r="B86" s="19" t="n"/>
      <c r="C86" s="20" t="n"/>
      <c r="D86" s="20" t="n"/>
      <c r="E86" s="5" t="n"/>
      <c r="F86" s="21">
        <f>IF(A86="",F85,F85+IF(D86="Ingreso",E86,IF(D86="Egreso",-E86,0)))</f>
        <v/>
      </c>
      <c r="G86" s="19" t="n"/>
    </row>
    <row r="87">
      <c r="A87" s="18" t="n"/>
      <c r="B87" s="19" t="n"/>
      <c r="C87" s="20" t="n"/>
      <c r="D87" s="20" t="n"/>
      <c r="E87" s="5" t="n"/>
      <c r="F87" s="21">
        <f>IF(A87="",F86,F86+IF(D87="Ingreso",E87,IF(D87="Egreso",-E87,0)))</f>
        <v/>
      </c>
      <c r="G87" s="19" t="n"/>
    </row>
    <row r="88">
      <c r="A88" s="18" t="n"/>
      <c r="B88" s="19" t="n"/>
      <c r="C88" s="20" t="n"/>
      <c r="D88" s="20" t="n"/>
      <c r="E88" s="5" t="n"/>
      <c r="F88" s="21">
        <f>IF(A88="",F87,F87+IF(D88="Ingreso",E88,IF(D88="Egreso",-E88,0)))</f>
        <v/>
      </c>
      <c r="G88" s="19" t="n"/>
    </row>
    <row r="89">
      <c r="A89" s="18" t="n"/>
      <c r="B89" s="19" t="n"/>
      <c r="C89" s="20" t="n"/>
      <c r="D89" s="20" t="n"/>
      <c r="E89" s="5" t="n"/>
      <c r="F89" s="21">
        <f>IF(A89="",F88,F88+IF(D89="Ingreso",E89,IF(D89="Egreso",-E89,0)))</f>
        <v/>
      </c>
      <c r="G89" s="19" t="n"/>
    </row>
    <row r="90">
      <c r="A90" s="18" t="n"/>
      <c r="B90" s="19" t="n"/>
      <c r="C90" s="20" t="n"/>
      <c r="D90" s="20" t="n"/>
      <c r="E90" s="5" t="n"/>
      <c r="F90" s="21">
        <f>IF(A90="",F89,F89+IF(D90="Ingreso",E90,IF(D90="Egreso",-E90,0)))</f>
        <v/>
      </c>
      <c r="G90" s="19" t="n"/>
    </row>
    <row r="91">
      <c r="A91" s="18" t="n"/>
      <c r="B91" s="19" t="n"/>
      <c r="C91" s="20" t="n"/>
      <c r="D91" s="20" t="n"/>
      <c r="E91" s="5" t="n"/>
      <c r="F91" s="21">
        <f>IF(A91="",F90,F90+IF(D91="Ingreso",E91,IF(D91="Egreso",-E91,0)))</f>
        <v/>
      </c>
      <c r="G91" s="19" t="n"/>
    </row>
    <row r="92">
      <c r="A92" s="18" t="n"/>
      <c r="B92" s="19" t="n"/>
      <c r="C92" s="20" t="n"/>
      <c r="D92" s="20" t="n"/>
      <c r="E92" s="5" t="n"/>
      <c r="F92" s="21">
        <f>IF(A92="",F91,F91+IF(D92="Ingreso",E92,IF(D92="Egreso",-E92,0)))</f>
        <v/>
      </c>
      <c r="G92" s="19" t="n"/>
    </row>
    <row r="93">
      <c r="A93" s="18" t="n"/>
      <c r="B93" s="19" t="n"/>
      <c r="C93" s="20" t="n"/>
      <c r="D93" s="20" t="n"/>
      <c r="E93" s="5" t="n"/>
      <c r="F93" s="21">
        <f>IF(A93="",F92,F92+IF(D93="Ingreso",E93,IF(D93="Egreso",-E93,0)))</f>
        <v/>
      </c>
      <c r="G93" s="19" t="n"/>
    </row>
    <row r="94">
      <c r="A94" s="18" t="n"/>
      <c r="B94" s="19" t="n"/>
      <c r="C94" s="20" t="n"/>
      <c r="D94" s="20" t="n"/>
      <c r="E94" s="5" t="n"/>
      <c r="F94" s="21">
        <f>IF(A94="",F93,F93+IF(D94="Ingreso",E94,IF(D94="Egreso",-E94,0)))</f>
        <v/>
      </c>
      <c r="G94" s="19" t="n"/>
    </row>
    <row r="95">
      <c r="A95" s="18" t="n"/>
      <c r="B95" s="19" t="n"/>
      <c r="C95" s="20" t="n"/>
      <c r="D95" s="20" t="n"/>
      <c r="E95" s="5" t="n"/>
      <c r="F95" s="21">
        <f>IF(A95="",F94,F94+IF(D95="Ingreso",E95,IF(D95="Egreso",-E95,0)))</f>
        <v/>
      </c>
      <c r="G95" s="19" t="n"/>
    </row>
    <row r="96">
      <c r="A96" s="18" t="n"/>
      <c r="B96" s="19" t="n"/>
      <c r="C96" s="20" t="n"/>
      <c r="D96" s="20" t="n"/>
      <c r="E96" s="5" t="n"/>
      <c r="F96" s="21">
        <f>IF(A96="",F95,F95+IF(D96="Ingreso",E96,IF(D96="Egreso",-E96,0)))</f>
        <v/>
      </c>
      <c r="G96" s="19" t="n"/>
    </row>
    <row r="97">
      <c r="A97" s="18" t="n"/>
      <c r="B97" s="19" t="n"/>
      <c r="C97" s="20" t="n"/>
      <c r="D97" s="20" t="n"/>
      <c r="E97" s="5" t="n"/>
      <c r="F97" s="21">
        <f>IF(A97="",F96,F96+IF(D97="Ingreso",E97,IF(D97="Egreso",-E97,0)))</f>
        <v/>
      </c>
      <c r="G97" s="19" t="n"/>
    </row>
    <row r="98">
      <c r="A98" s="18" t="n"/>
      <c r="B98" s="19" t="n"/>
      <c r="C98" s="20" t="n"/>
      <c r="D98" s="20" t="n"/>
      <c r="E98" s="5" t="n"/>
      <c r="F98" s="21">
        <f>IF(A98="",F97,F97+IF(D98="Ingreso",E98,IF(D98="Egreso",-E98,0)))</f>
        <v/>
      </c>
      <c r="G98" s="19" t="n"/>
    </row>
    <row r="99">
      <c r="A99" s="18" t="n"/>
      <c r="B99" s="19" t="n"/>
      <c r="C99" s="20" t="n"/>
      <c r="D99" s="20" t="n"/>
      <c r="E99" s="5" t="n"/>
      <c r="F99" s="21">
        <f>IF(A99="",F98,F98+IF(D99="Ingreso",E99,IF(D99="Egreso",-E99,0)))</f>
        <v/>
      </c>
      <c r="G99" s="19" t="n"/>
    </row>
    <row r="100">
      <c r="A100" s="18" t="n"/>
      <c r="B100" s="19" t="n"/>
      <c r="C100" s="20" t="n"/>
      <c r="D100" s="20" t="n"/>
      <c r="E100" s="5" t="n"/>
      <c r="F100" s="21">
        <f>IF(A100="",F99,F99+IF(D100="Ingreso",E100,IF(D100="Egreso",-E100,0)))</f>
        <v/>
      </c>
      <c r="G100" s="19" t="n"/>
    </row>
    <row r="101">
      <c r="A101" s="18" t="n"/>
      <c r="B101" s="19" t="n"/>
      <c r="C101" s="20" t="n"/>
      <c r="D101" s="20" t="n"/>
      <c r="E101" s="5" t="n"/>
      <c r="F101" s="21">
        <f>IF(A101="",F100,F100+IF(D101="Ingreso",E101,IF(D101="Egreso",-E101,0)))</f>
        <v/>
      </c>
      <c r="G101" s="19" t="n"/>
    </row>
    <row r="102">
      <c r="A102" s="18" t="n"/>
      <c r="B102" s="19" t="n"/>
      <c r="C102" s="20" t="n"/>
      <c r="D102" s="20" t="n"/>
      <c r="E102" s="5" t="n"/>
      <c r="F102" s="21">
        <f>IF(A102="",F101,F101+IF(D102="Ingreso",E102,IF(D102="Egreso",-E102,0)))</f>
        <v/>
      </c>
      <c r="G102" s="19" t="n"/>
    </row>
    <row r="103">
      <c r="A103" s="18" t="n"/>
      <c r="B103" s="19" t="n"/>
      <c r="C103" s="20" t="n"/>
      <c r="D103" s="20" t="n"/>
      <c r="E103" s="5" t="n"/>
      <c r="F103" s="21">
        <f>IF(A103="",F102,F102+IF(D103="Ingreso",E103,IF(D103="Egreso",-E103,0)))</f>
        <v/>
      </c>
      <c r="G103" s="19" t="n"/>
    </row>
    <row r="104">
      <c r="A104" s="18" t="n"/>
      <c r="B104" s="19" t="n"/>
      <c r="C104" s="20" t="n"/>
      <c r="D104" s="20" t="n"/>
      <c r="E104" s="5" t="n"/>
      <c r="F104" s="21">
        <f>IF(A104="",F103,F103+IF(D104="Ingreso",E104,IF(D104="Egreso",-E104,0)))</f>
        <v/>
      </c>
      <c r="G104" s="19" t="n"/>
    </row>
    <row r="105">
      <c r="A105" s="18" t="n"/>
      <c r="B105" s="19" t="n"/>
      <c r="C105" s="20" t="n"/>
      <c r="D105" s="20" t="n"/>
      <c r="E105" s="5" t="n"/>
      <c r="F105" s="21">
        <f>IF(A105="",F104,F104+IF(D105="Ingreso",E105,IF(D105="Egreso",-E105,0)))</f>
        <v/>
      </c>
      <c r="G105" s="19" t="n"/>
    </row>
    <row r="106">
      <c r="A106" s="18" t="n"/>
      <c r="B106" s="19" t="n"/>
      <c r="C106" s="20" t="n"/>
      <c r="D106" s="20" t="n"/>
      <c r="E106" s="5" t="n"/>
      <c r="F106" s="21">
        <f>IF(A106="",F105,F105+IF(D106="Ingreso",E106,IF(D106="Egreso",-E106,0)))</f>
        <v/>
      </c>
      <c r="G106" s="19" t="n"/>
    </row>
    <row r="107">
      <c r="A107" s="18" t="n"/>
      <c r="B107" s="19" t="n"/>
      <c r="C107" s="20" t="n"/>
      <c r="D107" s="20" t="n"/>
      <c r="E107" s="5" t="n"/>
      <c r="F107" s="21">
        <f>IF(A107="",F106,F106+IF(D107="Ingreso",E107,IF(D107="Egreso",-E107,0)))</f>
        <v/>
      </c>
      <c r="G107" s="19" t="n"/>
    </row>
    <row r="108">
      <c r="A108" s="18" t="n"/>
      <c r="B108" s="19" t="n"/>
      <c r="C108" s="20" t="n"/>
      <c r="D108" s="20" t="n"/>
      <c r="E108" s="5" t="n"/>
      <c r="F108" s="21">
        <f>IF(A108="",F107,F107+IF(D108="Ingreso",E108,IF(D108="Egreso",-E108,0)))</f>
        <v/>
      </c>
      <c r="G108" s="19" t="n"/>
    </row>
    <row r="109">
      <c r="A109" s="18" t="n"/>
      <c r="B109" s="19" t="n"/>
      <c r="C109" s="20" t="n"/>
      <c r="D109" s="20" t="n"/>
      <c r="E109" s="5" t="n"/>
      <c r="F109" s="21">
        <f>IF(A109="",F108,F108+IF(D109="Ingreso",E109,IF(D109="Egreso",-E109,0)))</f>
        <v/>
      </c>
      <c r="G109" s="19" t="n"/>
    </row>
    <row r="110">
      <c r="A110" s="18" t="n"/>
      <c r="B110" s="19" t="n"/>
      <c r="C110" s="20" t="n"/>
      <c r="D110" s="20" t="n"/>
      <c r="E110" s="5" t="n"/>
      <c r="F110" s="21">
        <f>IF(A110="",F109,F109+IF(D110="Ingreso",E110,IF(D110="Egreso",-E110,0)))</f>
        <v/>
      </c>
      <c r="G110" s="19" t="n"/>
    </row>
    <row r="111">
      <c r="A111" s="18" t="n"/>
      <c r="B111" s="19" t="n"/>
      <c r="C111" s="20" t="n"/>
      <c r="D111" s="20" t="n"/>
      <c r="E111" s="5" t="n"/>
      <c r="F111" s="21">
        <f>IF(A111="",F110,F110+IF(D111="Ingreso",E111,IF(D111="Egreso",-E111,0)))</f>
        <v/>
      </c>
      <c r="G111" s="19" t="n"/>
    </row>
    <row r="112">
      <c r="A112" s="18" t="n"/>
      <c r="B112" s="19" t="n"/>
      <c r="C112" s="20" t="n"/>
      <c r="D112" s="20" t="n"/>
      <c r="E112" s="5" t="n"/>
      <c r="F112" s="21">
        <f>IF(A112="",F111,F111+IF(D112="Ingreso",E112,IF(D112="Egreso",-E112,0)))</f>
        <v/>
      </c>
      <c r="G112" s="19" t="n"/>
    </row>
    <row r="113">
      <c r="A113" s="18" t="n"/>
      <c r="B113" s="19" t="n"/>
      <c r="C113" s="20" t="n"/>
      <c r="D113" s="20" t="n"/>
      <c r="E113" s="5" t="n"/>
      <c r="F113" s="21">
        <f>IF(A113="",F112,F112+IF(D113="Ingreso",E113,IF(D113="Egreso",-E113,0)))</f>
        <v/>
      </c>
      <c r="G113" s="19" t="n"/>
    </row>
    <row r="114">
      <c r="A114" s="18" t="n"/>
      <c r="B114" s="19" t="n"/>
      <c r="C114" s="20" t="n"/>
      <c r="D114" s="20" t="n"/>
      <c r="E114" s="5" t="n"/>
      <c r="F114" s="21">
        <f>IF(A114="",F113,F113+IF(D114="Ingreso",E114,IF(D114="Egreso",-E114,0)))</f>
        <v/>
      </c>
      <c r="G114" s="19" t="n"/>
    </row>
    <row r="115">
      <c r="A115" s="18" t="n"/>
      <c r="B115" s="19" t="n"/>
      <c r="C115" s="20" t="n"/>
      <c r="D115" s="20" t="n"/>
      <c r="E115" s="5" t="n"/>
      <c r="F115" s="21">
        <f>IF(A115="",F114,F114+IF(D115="Ingreso",E115,IF(D115="Egreso",-E115,0)))</f>
        <v/>
      </c>
      <c r="G115" s="19" t="n"/>
    </row>
    <row r="116">
      <c r="A116" s="18" t="n"/>
      <c r="B116" s="19" t="n"/>
      <c r="C116" s="20" t="n"/>
      <c r="D116" s="20" t="n"/>
      <c r="E116" s="5" t="n"/>
      <c r="F116" s="21">
        <f>IF(A116="",F115,F115+IF(D116="Ingreso",E116,IF(D116="Egreso",-E116,0)))</f>
        <v/>
      </c>
      <c r="G116" s="19" t="n"/>
    </row>
    <row r="117">
      <c r="A117" s="18" t="n"/>
      <c r="B117" s="19" t="n"/>
      <c r="C117" s="20" t="n"/>
      <c r="D117" s="20" t="n"/>
      <c r="E117" s="5" t="n"/>
      <c r="F117" s="21">
        <f>IF(A117="",F116,F116+IF(D117="Ingreso",E117,IF(D117="Egreso",-E117,0)))</f>
        <v/>
      </c>
      <c r="G117" s="19" t="n"/>
    </row>
    <row r="118">
      <c r="A118" s="18" t="n"/>
      <c r="B118" s="19" t="n"/>
      <c r="C118" s="20" t="n"/>
      <c r="D118" s="20" t="n"/>
      <c r="E118" s="5" t="n"/>
      <c r="F118" s="21">
        <f>IF(A118="",F117,F117+IF(D118="Ingreso",E118,IF(D118="Egreso",-E118,0)))</f>
        <v/>
      </c>
      <c r="G118" s="19" t="n"/>
    </row>
    <row r="119">
      <c r="A119" s="18" t="n"/>
      <c r="B119" s="19" t="n"/>
      <c r="C119" s="20" t="n"/>
      <c r="D119" s="20" t="n"/>
      <c r="E119" s="5" t="n"/>
      <c r="F119" s="21">
        <f>IF(A119="",F118,F118+IF(D119="Ingreso",E119,IF(D119="Egreso",-E119,0)))</f>
        <v/>
      </c>
      <c r="G119" s="19" t="n"/>
    </row>
    <row r="120">
      <c r="A120" s="18" t="n"/>
      <c r="B120" s="19" t="n"/>
      <c r="C120" s="20" t="n"/>
      <c r="D120" s="20" t="n"/>
      <c r="E120" s="5" t="n"/>
      <c r="F120" s="21">
        <f>IF(A120="",F119,F119+IF(D120="Ingreso",E120,IF(D120="Egreso",-E120,0)))</f>
        <v/>
      </c>
      <c r="G120" s="19" t="n"/>
    </row>
    <row r="121">
      <c r="A121" s="18" t="n"/>
      <c r="B121" s="19" t="n"/>
      <c r="C121" s="20" t="n"/>
      <c r="D121" s="20" t="n"/>
      <c r="E121" s="5" t="n"/>
      <c r="F121" s="21">
        <f>IF(A121="",F120,F120+IF(D121="Ingreso",E121,IF(D121="Egreso",-E121,0)))</f>
        <v/>
      </c>
      <c r="G121" s="19" t="n"/>
    </row>
    <row r="122">
      <c r="A122" s="18" t="n"/>
      <c r="B122" s="19" t="n"/>
      <c r="C122" s="20" t="n"/>
      <c r="D122" s="20" t="n"/>
      <c r="E122" s="5" t="n"/>
      <c r="F122" s="21">
        <f>IF(A122="",F121,F121+IF(D122="Ingreso",E122,IF(D122="Egreso",-E122,0)))</f>
        <v/>
      </c>
      <c r="G122" s="19" t="n"/>
    </row>
    <row r="123">
      <c r="A123" s="18" t="n"/>
      <c r="B123" s="19" t="n"/>
      <c r="C123" s="20" t="n"/>
      <c r="D123" s="20" t="n"/>
      <c r="E123" s="5" t="n"/>
      <c r="F123" s="21">
        <f>IF(A123="",F122,F122+IF(D123="Ingreso",E123,IF(D123="Egreso",-E123,0)))</f>
        <v/>
      </c>
      <c r="G123" s="19" t="n"/>
    </row>
    <row r="124">
      <c r="A124" s="18" t="n"/>
      <c r="B124" s="19" t="n"/>
      <c r="C124" s="20" t="n"/>
      <c r="D124" s="20" t="n"/>
      <c r="E124" s="5" t="n"/>
      <c r="F124" s="21">
        <f>IF(A124="",F123,F123+IF(D124="Ingreso",E124,IF(D124="Egreso",-E124,0)))</f>
        <v/>
      </c>
      <c r="G124" s="19" t="n"/>
    </row>
    <row r="125">
      <c r="A125" s="18" t="n"/>
      <c r="B125" s="19" t="n"/>
      <c r="C125" s="20" t="n"/>
      <c r="D125" s="20" t="n"/>
      <c r="E125" s="5" t="n"/>
      <c r="F125" s="21">
        <f>IF(A125="",F124,F124+IF(D125="Ingreso",E125,IF(D125="Egreso",-E125,0)))</f>
        <v/>
      </c>
      <c r="G125" s="19" t="n"/>
    </row>
    <row r="126">
      <c r="A126" s="18" t="n"/>
      <c r="B126" s="19" t="n"/>
      <c r="C126" s="20" t="n"/>
      <c r="D126" s="20" t="n"/>
      <c r="E126" s="5" t="n"/>
      <c r="F126" s="21">
        <f>IF(A126="",F125,F125+IF(D126="Ingreso",E126,IF(D126="Egreso",-E126,0)))</f>
        <v/>
      </c>
      <c r="G126" s="19" t="n"/>
    </row>
    <row r="127">
      <c r="A127" s="18" t="n"/>
      <c r="B127" s="19" t="n"/>
      <c r="C127" s="20" t="n"/>
      <c r="D127" s="20" t="n"/>
      <c r="E127" s="5" t="n"/>
      <c r="F127" s="21">
        <f>IF(A127="",F126,F126+IF(D127="Ingreso",E127,IF(D127="Egreso",-E127,0)))</f>
        <v/>
      </c>
      <c r="G127" s="19" t="n"/>
    </row>
    <row r="128">
      <c r="A128" s="18" t="n"/>
      <c r="B128" s="19" t="n"/>
      <c r="C128" s="20" t="n"/>
      <c r="D128" s="20" t="n"/>
      <c r="E128" s="5" t="n"/>
      <c r="F128" s="21">
        <f>IF(A128="",F127,F127+IF(D128="Ingreso",E128,IF(D128="Egreso",-E128,0)))</f>
        <v/>
      </c>
      <c r="G128" s="19" t="n"/>
    </row>
    <row r="129">
      <c r="A129" s="18" t="n"/>
      <c r="B129" s="19" t="n"/>
      <c r="C129" s="20" t="n"/>
      <c r="D129" s="20" t="n"/>
      <c r="E129" s="5" t="n"/>
      <c r="F129" s="21">
        <f>IF(A129="",F128,F128+IF(D129="Ingreso",E129,IF(D129="Egreso",-E129,0)))</f>
        <v/>
      </c>
      <c r="G129" s="19" t="n"/>
    </row>
    <row r="130">
      <c r="A130" s="18" t="n"/>
      <c r="B130" s="19" t="n"/>
      <c r="C130" s="20" t="n"/>
      <c r="D130" s="20" t="n"/>
      <c r="E130" s="5" t="n"/>
      <c r="F130" s="21">
        <f>IF(A130="",F129,F129+IF(D130="Ingreso",E130,IF(D130="Egreso",-E130,0)))</f>
        <v/>
      </c>
      <c r="G130" s="19" t="n"/>
    </row>
    <row r="131">
      <c r="A131" s="18" t="n"/>
      <c r="B131" s="19" t="n"/>
      <c r="C131" s="20" t="n"/>
      <c r="D131" s="20" t="n"/>
      <c r="E131" s="5" t="n"/>
      <c r="F131" s="21">
        <f>IF(A131="",F130,F130+IF(D131="Ingreso",E131,IF(D131="Egreso",-E131,0)))</f>
        <v/>
      </c>
      <c r="G131" s="19" t="n"/>
    </row>
    <row r="132">
      <c r="A132" s="18" t="n"/>
      <c r="B132" s="19" t="n"/>
      <c r="C132" s="20" t="n"/>
      <c r="D132" s="20" t="n"/>
      <c r="E132" s="5" t="n"/>
      <c r="F132" s="21">
        <f>IF(A132="",F131,F131+IF(D132="Ingreso",E132,IF(D132="Egreso",-E132,0)))</f>
        <v/>
      </c>
      <c r="G132" s="19" t="n"/>
    </row>
    <row r="133">
      <c r="A133" s="18" t="n"/>
      <c r="B133" s="19" t="n"/>
      <c r="C133" s="20" t="n"/>
      <c r="D133" s="20" t="n"/>
      <c r="E133" s="5" t="n"/>
      <c r="F133" s="21">
        <f>IF(A133="",F132,F132+IF(D133="Ingreso",E133,IF(D133="Egreso",-E133,0)))</f>
        <v/>
      </c>
      <c r="G133" s="19" t="n"/>
    </row>
    <row r="134">
      <c r="A134" s="18" t="n"/>
      <c r="B134" s="19" t="n"/>
      <c r="C134" s="20" t="n"/>
      <c r="D134" s="20" t="n"/>
      <c r="E134" s="5" t="n"/>
      <c r="F134" s="21">
        <f>IF(A134="",F133,F133+IF(D134="Ingreso",E134,IF(D134="Egreso",-E134,0)))</f>
        <v/>
      </c>
      <c r="G134" s="19" t="n"/>
    </row>
    <row r="135">
      <c r="A135" s="18" t="n"/>
      <c r="B135" s="19" t="n"/>
      <c r="C135" s="20" t="n"/>
      <c r="D135" s="20" t="n"/>
      <c r="E135" s="5" t="n"/>
      <c r="F135" s="21">
        <f>IF(A135="",F134,F134+IF(D135="Ingreso",E135,IF(D135="Egreso",-E135,0)))</f>
        <v/>
      </c>
      <c r="G135" s="19" t="n"/>
    </row>
    <row r="136">
      <c r="A136" s="18" t="n"/>
      <c r="B136" s="19" t="n"/>
      <c r="C136" s="20" t="n"/>
      <c r="D136" s="20" t="n"/>
      <c r="E136" s="5" t="n"/>
      <c r="F136" s="21">
        <f>IF(A136="",F135,F135+IF(D136="Ingreso",E136,IF(D136="Egreso",-E136,0)))</f>
        <v/>
      </c>
      <c r="G136" s="19" t="n"/>
    </row>
    <row r="137">
      <c r="A137" s="18" t="n"/>
      <c r="B137" s="19" t="n"/>
      <c r="C137" s="20" t="n"/>
      <c r="D137" s="20" t="n"/>
      <c r="E137" s="5" t="n"/>
      <c r="F137" s="21">
        <f>IF(A137="",F136,F136+IF(D137="Ingreso",E137,IF(D137="Egreso",-E137,0)))</f>
        <v/>
      </c>
      <c r="G137" s="19" t="n"/>
    </row>
    <row r="138">
      <c r="A138" s="18" t="n"/>
      <c r="B138" s="19" t="n"/>
      <c r="C138" s="20" t="n"/>
      <c r="D138" s="20" t="n"/>
      <c r="E138" s="5" t="n"/>
      <c r="F138" s="21">
        <f>IF(A138="",F137,F137+IF(D138="Ingreso",E138,IF(D138="Egreso",-E138,0)))</f>
        <v/>
      </c>
      <c r="G138" s="19" t="n"/>
    </row>
    <row r="139">
      <c r="A139" s="18" t="n"/>
      <c r="B139" s="19" t="n"/>
      <c r="C139" s="20" t="n"/>
      <c r="D139" s="20" t="n"/>
      <c r="E139" s="5" t="n"/>
      <c r="F139" s="21">
        <f>IF(A139="",F138,F138+IF(D139="Ingreso",E139,IF(D139="Egreso",-E139,0)))</f>
        <v/>
      </c>
      <c r="G139" s="19" t="n"/>
    </row>
    <row r="140">
      <c r="A140" s="18" t="n"/>
      <c r="B140" s="19" t="n"/>
      <c r="C140" s="20" t="n"/>
      <c r="D140" s="20" t="n"/>
      <c r="E140" s="5" t="n"/>
      <c r="F140" s="21">
        <f>IF(A140="",F139,F139+IF(D140="Ingreso",E140,IF(D140="Egreso",-E140,0)))</f>
        <v/>
      </c>
      <c r="G140" s="19" t="n"/>
    </row>
    <row r="141">
      <c r="A141" s="18" t="n"/>
      <c r="B141" s="19" t="n"/>
      <c r="C141" s="20" t="n"/>
      <c r="D141" s="20" t="n"/>
      <c r="E141" s="5" t="n"/>
      <c r="F141" s="21">
        <f>IF(A141="",F140,F140+IF(D141="Ingreso",E141,IF(D141="Egreso",-E141,0)))</f>
        <v/>
      </c>
      <c r="G141" s="19" t="n"/>
    </row>
    <row r="142">
      <c r="A142" s="18" t="n"/>
      <c r="B142" s="19" t="n"/>
      <c r="C142" s="20" t="n"/>
      <c r="D142" s="20" t="n"/>
      <c r="E142" s="5" t="n"/>
      <c r="F142" s="21">
        <f>IF(A142="",F141,F141+IF(D142="Ingreso",E142,IF(D142="Egreso",-E142,0)))</f>
        <v/>
      </c>
      <c r="G142" s="19" t="n"/>
    </row>
    <row r="143">
      <c r="A143" s="18" t="n"/>
      <c r="B143" s="19" t="n"/>
      <c r="C143" s="20" t="n"/>
      <c r="D143" s="20" t="n"/>
      <c r="E143" s="5" t="n"/>
      <c r="F143" s="21">
        <f>IF(A143="",F142,F142+IF(D143="Ingreso",E143,IF(D143="Egreso",-E143,0)))</f>
        <v/>
      </c>
      <c r="G143" s="19" t="n"/>
    </row>
    <row r="144">
      <c r="A144" s="18" t="n"/>
      <c r="B144" s="19" t="n"/>
      <c r="C144" s="20" t="n"/>
      <c r="D144" s="20" t="n"/>
      <c r="E144" s="5" t="n"/>
      <c r="F144" s="21">
        <f>IF(A144="",F143,F143+IF(D144="Ingreso",E144,IF(D144="Egreso",-E144,0)))</f>
        <v/>
      </c>
      <c r="G144" s="19" t="n"/>
    </row>
    <row r="145">
      <c r="A145" s="18" t="n"/>
      <c r="B145" s="19" t="n"/>
      <c r="C145" s="20" t="n"/>
      <c r="D145" s="20" t="n"/>
      <c r="E145" s="5" t="n"/>
      <c r="F145" s="21">
        <f>IF(A145="",F144,F144+IF(D145="Ingreso",E145,IF(D145="Egreso",-E145,0)))</f>
        <v/>
      </c>
      <c r="G145" s="19" t="n"/>
    </row>
    <row r="146">
      <c r="A146" s="18" t="n"/>
      <c r="B146" s="19" t="n"/>
      <c r="C146" s="20" t="n"/>
      <c r="D146" s="20" t="n"/>
      <c r="E146" s="5" t="n"/>
      <c r="F146" s="21">
        <f>IF(A146="",F145,F145+IF(D146="Ingreso",E146,IF(D146="Egreso",-E146,0)))</f>
        <v/>
      </c>
      <c r="G146" s="19" t="n"/>
    </row>
    <row r="147">
      <c r="A147" s="18" t="n"/>
      <c r="B147" s="19" t="n"/>
      <c r="C147" s="20" t="n"/>
      <c r="D147" s="20" t="n"/>
      <c r="E147" s="5" t="n"/>
      <c r="F147" s="21">
        <f>IF(A147="",F146,F146+IF(D147="Ingreso",E147,IF(D147="Egreso",-E147,0)))</f>
        <v/>
      </c>
      <c r="G147" s="19" t="n"/>
    </row>
    <row r="148">
      <c r="A148" s="18" t="n"/>
      <c r="B148" s="19" t="n"/>
      <c r="C148" s="20" t="n"/>
      <c r="D148" s="20" t="n"/>
      <c r="E148" s="5" t="n"/>
      <c r="F148" s="21">
        <f>IF(A148="",F147,F147+IF(D148="Ingreso",E148,IF(D148="Egreso",-E148,0)))</f>
        <v/>
      </c>
      <c r="G148" s="19" t="n"/>
    </row>
    <row r="149">
      <c r="A149" s="18" t="n"/>
      <c r="B149" s="19" t="n"/>
      <c r="C149" s="20" t="n"/>
      <c r="D149" s="20" t="n"/>
      <c r="E149" s="5" t="n"/>
      <c r="F149" s="21">
        <f>IF(A149="",F148,F148+IF(D149="Ingreso",E149,IF(D149="Egreso",-E149,0)))</f>
        <v/>
      </c>
      <c r="G149" s="19" t="n"/>
    </row>
    <row r="150">
      <c r="A150" s="18" t="n"/>
      <c r="B150" s="19" t="n"/>
      <c r="C150" s="20" t="n"/>
      <c r="D150" s="20" t="n"/>
      <c r="E150" s="5" t="n"/>
      <c r="F150" s="21">
        <f>IF(A150="",F149,F149+IF(D150="Ingreso",E150,IF(D150="Egreso",-E150,0)))</f>
        <v/>
      </c>
      <c r="G150" s="19" t="n"/>
    </row>
    <row r="151">
      <c r="A151" s="18" t="n"/>
      <c r="B151" s="19" t="n"/>
      <c r="C151" s="20" t="n"/>
      <c r="D151" s="20" t="n"/>
      <c r="E151" s="5" t="n"/>
      <c r="F151" s="21">
        <f>IF(A151="",F150,F150+IF(D151="Ingreso",E151,IF(D151="Egreso",-E151,0)))</f>
        <v/>
      </c>
      <c r="G151" s="19" t="n"/>
    </row>
    <row r="152">
      <c r="A152" s="18" t="n"/>
      <c r="B152" s="19" t="n"/>
      <c r="C152" s="20" t="n"/>
      <c r="D152" s="20" t="n"/>
      <c r="E152" s="5" t="n"/>
      <c r="F152" s="21">
        <f>IF(A152="",F151,F151+IF(D152="Ingreso",E152,IF(D152="Egreso",-E152,0)))</f>
        <v/>
      </c>
      <c r="G152" s="19" t="n"/>
    </row>
    <row r="153">
      <c r="A153" s="18" t="n"/>
      <c r="B153" s="19" t="n"/>
      <c r="C153" s="20" t="n"/>
      <c r="D153" s="20" t="n"/>
      <c r="E153" s="5" t="n"/>
      <c r="F153" s="21">
        <f>IF(A153="",F152,F152+IF(D153="Ingreso",E153,IF(D153="Egreso",-E153,0)))</f>
        <v/>
      </c>
      <c r="G153" s="19" t="n"/>
    </row>
    <row r="154">
      <c r="A154" s="18" t="n"/>
      <c r="B154" s="19" t="n"/>
      <c r="C154" s="20" t="n"/>
      <c r="D154" s="20" t="n"/>
      <c r="E154" s="5" t="n"/>
      <c r="F154" s="21">
        <f>IF(A154="",F153,F153+IF(D154="Ingreso",E154,IF(D154="Egreso",-E154,0)))</f>
        <v/>
      </c>
      <c r="G154" s="19" t="n"/>
    </row>
    <row r="155">
      <c r="A155" s="18" t="n"/>
      <c r="B155" s="19" t="n"/>
      <c r="C155" s="20" t="n"/>
      <c r="D155" s="20" t="n"/>
      <c r="E155" s="5" t="n"/>
      <c r="F155" s="21">
        <f>IF(A155="",F154,F154+IF(D155="Ingreso",E155,IF(D155="Egreso",-E155,0)))</f>
        <v/>
      </c>
      <c r="G155" s="19" t="n"/>
    </row>
    <row r="156">
      <c r="A156" s="18" t="n"/>
      <c r="B156" s="19" t="n"/>
      <c r="C156" s="20" t="n"/>
      <c r="D156" s="20" t="n"/>
      <c r="E156" s="5" t="n"/>
      <c r="F156" s="21">
        <f>IF(A156="",F155,F155+IF(D156="Ingreso",E156,IF(D156="Egreso",-E156,0)))</f>
        <v/>
      </c>
      <c r="G156" s="19" t="n"/>
    </row>
    <row r="157">
      <c r="A157" s="18" t="n"/>
      <c r="B157" s="19" t="n"/>
      <c r="C157" s="20" t="n"/>
      <c r="D157" s="20" t="n"/>
      <c r="E157" s="5" t="n"/>
      <c r="F157" s="21">
        <f>IF(A157="",F156,F156+IF(D157="Ingreso",E157,IF(D157="Egreso",-E157,0)))</f>
        <v/>
      </c>
      <c r="G157" s="19" t="n"/>
    </row>
    <row r="158">
      <c r="A158" s="18" t="n"/>
      <c r="B158" s="19" t="n"/>
      <c r="C158" s="20" t="n"/>
      <c r="D158" s="20" t="n"/>
      <c r="E158" s="5" t="n"/>
      <c r="F158" s="21">
        <f>IF(A158="",F157,F157+IF(D158="Ingreso",E158,IF(D158="Egreso",-E158,0)))</f>
        <v/>
      </c>
      <c r="G158" s="19" t="n"/>
    </row>
    <row r="159">
      <c r="A159" s="18" t="n"/>
      <c r="B159" s="19" t="n"/>
      <c r="C159" s="20" t="n"/>
      <c r="D159" s="20" t="n"/>
      <c r="E159" s="5" t="n"/>
      <c r="F159" s="21">
        <f>IF(A159="",F158,F158+IF(D159="Ingreso",E159,IF(D159="Egreso",-E159,0)))</f>
        <v/>
      </c>
      <c r="G159" s="19" t="n"/>
    </row>
    <row r="160">
      <c r="A160" s="18" t="n"/>
      <c r="B160" s="19" t="n"/>
      <c r="C160" s="20" t="n"/>
      <c r="D160" s="20" t="n"/>
      <c r="E160" s="5" t="n"/>
      <c r="F160" s="21">
        <f>IF(A160="",F159,F159+IF(D160="Ingreso",E160,IF(D160="Egreso",-E160,0)))</f>
        <v/>
      </c>
      <c r="G160" s="19" t="n"/>
    </row>
    <row r="161">
      <c r="A161" s="18" t="n"/>
      <c r="B161" s="19" t="n"/>
      <c r="C161" s="20" t="n"/>
      <c r="D161" s="20" t="n"/>
      <c r="E161" s="5" t="n"/>
      <c r="F161" s="21">
        <f>IF(A161="",F160,F160+IF(D161="Ingreso",E161,IF(D161="Egreso",-E161,0)))</f>
        <v/>
      </c>
      <c r="G161" s="19" t="n"/>
    </row>
    <row r="162">
      <c r="A162" s="18" t="n"/>
      <c r="B162" s="19" t="n"/>
      <c r="C162" s="20" t="n"/>
      <c r="D162" s="20" t="n"/>
      <c r="E162" s="5" t="n"/>
      <c r="F162" s="21">
        <f>IF(A162="",F161,F161+IF(D162="Ingreso",E162,IF(D162="Egreso",-E162,0)))</f>
        <v/>
      </c>
      <c r="G162" s="19" t="n"/>
    </row>
    <row r="163">
      <c r="A163" s="18" t="n"/>
      <c r="B163" s="19" t="n"/>
      <c r="C163" s="20" t="n"/>
      <c r="D163" s="20" t="n"/>
      <c r="E163" s="5" t="n"/>
      <c r="F163" s="21">
        <f>IF(A163="",F162,F162+IF(D163="Ingreso",E163,IF(D163="Egreso",-E163,0)))</f>
        <v/>
      </c>
      <c r="G163" s="19" t="n"/>
    </row>
    <row r="164">
      <c r="A164" s="18" t="n"/>
      <c r="B164" s="19" t="n"/>
      <c r="C164" s="20" t="n"/>
      <c r="D164" s="20" t="n"/>
      <c r="E164" s="5" t="n"/>
      <c r="F164" s="21">
        <f>IF(A164="",F163,F163+IF(D164="Ingreso",E164,IF(D164="Egreso",-E164,0)))</f>
        <v/>
      </c>
      <c r="G164" s="19" t="n"/>
    </row>
    <row r="165">
      <c r="A165" s="18" t="n"/>
      <c r="B165" s="19" t="n"/>
      <c r="C165" s="20" t="n"/>
      <c r="D165" s="20" t="n"/>
      <c r="E165" s="5" t="n"/>
      <c r="F165" s="21">
        <f>IF(A165="",F164,F164+IF(D165="Ingreso",E165,IF(D165="Egreso",-E165,0)))</f>
        <v/>
      </c>
      <c r="G165" s="19" t="n"/>
    </row>
    <row r="166">
      <c r="A166" s="18" t="n"/>
      <c r="B166" s="19" t="n"/>
      <c r="C166" s="20" t="n"/>
      <c r="D166" s="20" t="n"/>
      <c r="E166" s="5" t="n"/>
      <c r="F166" s="21">
        <f>IF(A166="",F165,F165+IF(D166="Ingreso",E166,IF(D166="Egreso",-E166,0)))</f>
        <v/>
      </c>
      <c r="G166" s="19" t="n"/>
    </row>
    <row r="167">
      <c r="A167" s="18" t="n"/>
      <c r="B167" s="19" t="n"/>
      <c r="C167" s="20" t="n"/>
      <c r="D167" s="20" t="n"/>
      <c r="E167" s="5" t="n"/>
      <c r="F167" s="21">
        <f>IF(A167="",F166,F166+IF(D167="Ingreso",E167,IF(D167="Egreso",-E167,0)))</f>
        <v/>
      </c>
      <c r="G167" s="19" t="n"/>
    </row>
    <row r="168">
      <c r="A168" s="18" t="n"/>
      <c r="B168" s="19" t="n"/>
      <c r="C168" s="20" t="n"/>
      <c r="D168" s="20" t="n"/>
      <c r="E168" s="5" t="n"/>
      <c r="F168" s="21">
        <f>IF(A168="",F167,F167+IF(D168="Ingreso",E168,IF(D168="Egreso",-E168,0)))</f>
        <v/>
      </c>
      <c r="G168" s="19" t="n"/>
    </row>
    <row r="169">
      <c r="A169" s="18" t="n"/>
      <c r="B169" s="19" t="n"/>
      <c r="C169" s="20" t="n"/>
      <c r="D169" s="20" t="n"/>
      <c r="E169" s="5" t="n"/>
      <c r="F169" s="21">
        <f>IF(A169="",F168,F168+IF(D169="Ingreso",E169,IF(D169="Egreso",-E169,0)))</f>
        <v/>
      </c>
      <c r="G169" s="19" t="n"/>
    </row>
    <row r="170">
      <c r="A170" s="18" t="n"/>
      <c r="B170" s="19" t="n"/>
      <c r="C170" s="20" t="n"/>
      <c r="D170" s="20" t="n"/>
      <c r="E170" s="5" t="n"/>
      <c r="F170" s="21">
        <f>IF(A170="",F169,F169+IF(D170="Ingreso",E170,IF(D170="Egreso",-E170,0)))</f>
        <v/>
      </c>
      <c r="G170" s="19" t="n"/>
    </row>
    <row r="171">
      <c r="A171" s="18" t="n"/>
      <c r="B171" s="19" t="n"/>
      <c r="C171" s="20" t="n"/>
      <c r="D171" s="20" t="n"/>
      <c r="E171" s="5" t="n"/>
      <c r="F171" s="21">
        <f>IF(A171="",F170,F170+IF(D171="Ingreso",E171,IF(D171="Egreso",-E171,0)))</f>
        <v/>
      </c>
      <c r="G171" s="19" t="n"/>
    </row>
    <row r="172">
      <c r="A172" s="18" t="n"/>
      <c r="B172" s="19" t="n"/>
      <c r="C172" s="20" t="n"/>
      <c r="D172" s="20" t="n"/>
      <c r="E172" s="5" t="n"/>
      <c r="F172" s="21">
        <f>IF(A172="",F171,F171+IF(D172="Ingreso",E172,IF(D172="Egreso",-E172,0)))</f>
        <v/>
      </c>
      <c r="G172" s="19" t="n"/>
    </row>
    <row r="173">
      <c r="A173" s="18" t="n"/>
      <c r="B173" s="19" t="n"/>
      <c r="C173" s="20" t="n"/>
      <c r="D173" s="20" t="n"/>
      <c r="E173" s="5" t="n"/>
      <c r="F173" s="21">
        <f>IF(A173="",F172,F172+IF(D173="Ingreso",E173,IF(D173="Egreso",-E173,0)))</f>
        <v/>
      </c>
      <c r="G173" s="19" t="n"/>
    </row>
    <row r="174">
      <c r="A174" s="18" t="n"/>
      <c r="B174" s="19" t="n"/>
      <c r="C174" s="20" t="n"/>
      <c r="D174" s="20" t="n"/>
      <c r="E174" s="5" t="n"/>
      <c r="F174" s="21">
        <f>IF(A174="",F173,F173+IF(D174="Ingreso",E174,IF(D174="Egreso",-E174,0)))</f>
        <v/>
      </c>
      <c r="G174" s="19" t="n"/>
    </row>
    <row r="175">
      <c r="A175" s="18" t="n"/>
      <c r="B175" s="19" t="n"/>
      <c r="C175" s="20" t="n"/>
      <c r="D175" s="20" t="n"/>
      <c r="E175" s="5" t="n"/>
      <c r="F175" s="21">
        <f>IF(A175="",F174,F174+IF(D175="Ingreso",E175,IF(D175="Egreso",-E175,0)))</f>
        <v/>
      </c>
      <c r="G175" s="19" t="n"/>
    </row>
    <row r="176">
      <c r="A176" s="18" t="n"/>
      <c r="B176" s="19" t="n"/>
      <c r="C176" s="20" t="n"/>
      <c r="D176" s="20" t="n"/>
      <c r="E176" s="5" t="n"/>
      <c r="F176" s="21">
        <f>IF(A176="",F175,F175+IF(D176="Ingreso",E176,IF(D176="Egreso",-E176,0)))</f>
        <v/>
      </c>
      <c r="G176" s="19" t="n"/>
    </row>
    <row r="177">
      <c r="A177" s="18" t="n"/>
      <c r="B177" s="19" t="n"/>
      <c r="C177" s="20" t="n"/>
      <c r="D177" s="20" t="n"/>
      <c r="E177" s="5" t="n"/>
      <c r="F177" s="21">
        <f>IF(A177="",F176,F176+IF(D177="Ingreso",E177,IF(D177="Egreso",-E177,0)))</f>
        <v/>
      </c>
      <c r="G177" s="19" t="n"/>
    </row>
    <row r="178">
      <c r="A178" s="18" t="n"/>
      <c r="B178" s="19" t="n"/>
      <c r="C178" s="20" t="n"/>
      <c r="D178" s="20" t="n"/>
      <c r="E178" s="5" t="n"/>
      <c r="F178" s="21">
        <f>IF(A178="",F177,F177+IF(D178="Ingreso",E178,IF(D178="Egreso",-E178,0)))</f>
        <v/>
      </c>
      <c r="G178" s="19" t="n"/>
    </row>
    <row r="179">
      <c r="A179" s="18" t="n"/>
      <c r="B179" s="19" t="n"/>
      <c r="C179" s="20" t="n"/>
      <c r="D179" s="20" t="n"/>
      <c r="E179" s="5" t="n"/>
      <c r="F179" s="21">
        <f>IF(A179="",F178,F178+IF(D179="Ingreso",E179,IF(D179="Egreso",-E179,0)))</f>
        <v/>
      </c>
      <c r="G179" s="19" t="n"/>
    </row>
    <row r="180">
      <c r="A180" s="18" t="n"/>
      <c r="B180" s="19" t="n"/>
      <c r="C180" s="20" t="n"/>
      <c r="D180" s="20" t="n"/>
      <c r="E180" s="5" t="n"/>
      <c r="F180" s="21">
        <f>IF(A180="",F179,F179+IF(D180="Ingreso",E180,IF(D180="Egreso",-E180,0)))</f>
        <v/>
      </c>
      <c r="G180" s="19" t="n"/>
    </row>
    <row r="181">
      <c r="A181" s="18" t="n"/>
      <c r="B181" s="19" t="n"/>
      <c r="C181" s="20" t="n"/>
      <c r="D181" s="20" t="n"/>
      <c r="E181" s="5" t="n"/>
      <c r="F181" s="21">
        <f>IF(A181="",F180,F180+IF(D181="Ingreso",E181,IF(D181="Egreso",-E181,0)))</f>
        <v/>
      </c>
      <c r="G181" s="19" t="n"/>
    </row>
    <row r="182">
      <c r="A182" s="18" t="n"/>
      <c r="B182" s="19" t="n"/>
      <c r="C182" s="20" t="n"/>
      <c r="D182" s="20" t="n"/>
      <c r="E182" s="5" t="n"/>
      <c r="F182" s="21">
        <f>IF(A182="",F181,F181+IF(D182="Ingreso",E182,IF(D182="Egreso",-E182,0)))</f>
        <v/>
      </c>
      <c r="G182" s="19" t="n"/>
    </row>
    <row r="183">
      <c r="A183" s="18" t="n"/>
      <c r="B183" s="19" t="n"/>
      <c r="C183" s="20" t="n"/>
      <c r="D183" s="20" t="n"/>
      <c r="E183" s="5" t="n"/>
      <c r="F183" s="21">
        <f>IF(A183="",F182,F182+IF(D183="Ingreso",E183,IF(D183="Egreso",-E183,0)))</f>
        <v/>
      </c>
      <c r="G183" s="19" t="n"/>
    </row>
    <row r="184">
      <c r="A184" s="18" t="n"/>
      <c r="B184" s="19" t="n"/>
      <c r="C184" s="20" t="n"/>
      <c r="D184" s="20" t="n"/>
      <c r="E184" s="5" t="n"/>
      <c r="F184" s="21">
        <f>IF(A184="",F183,F183+IF(D184="Ingreso",E184,IF(D184="Egreso",-E184,0)))</f>
        <v/>
      </c>
      <c r="G184" s="19" t="n"/>
    </row>
    <row r="185">
      <c r="A185" s="18" t="n"/>
      <c r="B185" s="19" t="n"/>
      <c r="C185" s="20" t="n"/>
      <c r="D185" s="20" t="n"/>
      <c r="E185" s="5" t="n"/>
      <c r="F185" s="21">
        <f>IF(A185="",F184,F184+IF(D185="Ingreso",E185,IF(D185="Egreso",-E185,0)))</f>
        <v/>
      </c>
      <c r="G185" s="19" t="n"/>
    </row>
    <row r="186">
      <c r="A186" s="18" t="n"/>
      <c r="B186" s="19" t="n"/>
      <c r="C186" s="20" t="n"/>
      <c r="D186" s="20" t="n"/>
      <c r="E186" s="5" t="n"/>
      <c r="F186" s="21">
        <f>IF(A186="",F185,F185+IF(D186="Ingreso",E186,IF(D186="Egreso",-E186,0)))</f>
        <v/>
      </c>
      <c r="G186" s="19" t="n"/>
    </row>
    <row r="187">
      <c r="A187" s="18" t="n"/>
      <c r="B187" s="19" t="n"/>
      <c r="C187" s="20" t="n"/>
      <c r="D187" s="20" t="n"/>
      <c r="E187" s="5" t="n"/>
      <c r="F187" s="21">
        <f>IF(A187="",F186,F186+IF(D187="Ingreso",E187,IF(D187="Egreso",-E187,0)))</f>
        <v/>
      </c>
      <c r="G187" s="19" t="n"/>
    </row>
    <row r="188">
      <c r="A188" s="18" t="n"/>
      <c r="B188" s="19" t="n"/>
      <c r="C188" s="20" t="n"/>
      <c r="D188" s="20" t="n"/>
      <c r="E188" s="5" t="n"/>
      <c r="F188" s="21">
        <f>IF(A188="",F187,F187+IF(D188="Ingreso",E188,IF(D188="Egreso",-E188,0)))</f>
        <v/>
      </c>
      <c r="G188" s="19" t="n"/>
    </row>
    <row r="189">
      <c r="A189" s="18" t="n"/>
      <c r="B189" s="19" t="n"/>
      <c r="C189" s="20" t="n"/>
      <c r="D189" s="20" t="n"/>
      <c r="E189" s="5" t="n"/>
      <c r="F189" s="21">
        <f>IF(A189="",F188,F188+IF(D189="Ingreso",E189,IF(D189="Egreso",-E189,0)))</f>
        <v/>
      </c>
      <c r="G189" s="19" t="n"/>
    </row>
    <row r="190">
      <c r="A190" s="18" t="n"/>
      <c r="B190" s="19" t="n"/>
      <c r="C190" s="20" t="n"/>
      <c r="D190" s="20" t="n"/>
      <c r="E190" s="5" t="n"/>
      <c r="F190" s="21">
        <f>IF(A190="",F189,F189+IF(D190="Ingreso",E190,IF(D190="Egreso",-E190,0)))</f>
        <v/>
      </c>
      <c r="G190" s="19" t="n"/>
    </row>
    <row r="191">
      <c r="A191" s="18" t="n"/>
      <c r="B191" s="19" t="n"/>
      <c r="C191" s="20" t="n"/>
      <c r="D191" s="20" t="n"/>
      <c r="E191" s="5" t="n"/>
      <c r="F191" s="21">
        <f>IF(A191="",F190,F190+IF(D191="Ingreso",E191,IF(D191="Egreso",-E191,0)))</f>
        <v/>
      </c>
      <c r="G191" s="19" t="n"/>
    </row>
    <row r="192">
      <c r="A192" s="18" t="n"/>
      <c r="B192" s="19" t="n"/>
      <c r="C192" s="20" t="n"/>
      <c r="D192" s="20" t="n"/>
      <c r="E192" s="5" t="n"/>
      <c r="F192" s="21">
        <f>IF(A192="",F191,F191+IF(D192="Ingreso",E192,IF(D192="Egreso",-E192,0)))</f>
        <v/>
      </c>
      <c r="G192" s="19" t="n"/>
    </row>
    <row r="193">
      <c r="A193" s="18" t="n"/>
      <c r="B193" s="19" t="n"/>
      <c r="C193" s="20" t="n"/>
      <c r="D193" s="20" t="n"/>
      <c r="E193" s="5" t="n"/>
      <c r="F193" s="21">
        <f>IF(A193="",F192,F192+IF(D193="Ingreso",E193,IF(D193="Egreso",-E193,0)))</f>
        <v/>
      </c>
      <c r="G193" s="19" t="n"/>
    </row>
    <row r="194">
      <c r="A194" s="18" t="n"/>
      <c r="B194" s="19" t="n"/>
      <c r="C194" s="20" t="n"/>
      <c r="D194" s="20" t="n"/>
      <c r="E194" s="5" t="n"/>
      <c r="F194" s="21">
        <f>IF(A194="",F193,F193+IF(D194="Ingreso",E194,IF(D194="Egreso",-E194,0)))</f>
        <v/>
      </c>
      <c r="G194" s="19" t="n"/>
    </row>
    <row r="195">
      <c r="A195" s="18" t="n"/>
      <c r="B195" s="19" t="n"/>
      <c r="C195" s="20" t="n"/>
      <c r="D195" s="20" t="n"/>
      <c r="E195" s="5" t="n"/>
      <c r="F195" s="21">
        <f>IF(A195="",F194,F194+IF(D195="Ingreso",E195,IF(D195="Egreso",-E195,0)))</f>
        <v/>
      </c>
      <c r="G195" s="19" t="n"/>
    </row>
    <row r="196">
      <c r="A196" s="18" t="n"/>
      <c r="B196" s="19" t="n"/>
      <c r="C196" s="20" t="n"/>
      <c r="D196" s="20" t="n"/>
      <c r="E196" s="5" t="n"/>
      <c r="F196" s="21">
        <f>IF(A196="",F195,F195+IF(D196="Ingreso",E196,IF(D196="Egreso",-E196,0)))</f>
        <v/>
      </c>
      <c r="G196" s="19" t="n"/>
    </row>
    <row r="197">
      <c r="A197" s="18" t="n"/>
      <c r="B197" s="19" t="n"/>
      <c r="C197" s="20" t="n"/>
      <c r="D197" s="20" t="n"/>
      <c r="E197" s="5" t="n"/>
      <c r="F197" s="21">
        <f>IF(A197="",F196,F196+IF(D197="Ingreso",E197,IF(D197="Egreso",-E197,0)))</f>
        <v/>
      </c>
      <c r="G197" s="19" t="n"/>
    </row>
    <row r="198">
      <c r="A198" s="18" t="n"/>
      <c r="B198" s="19" t="n"/>
      <c r="C198" s="20" t="n"/>
      <c r="D198" s="20" t="n"/>
      <c r="E198" s="5" t="n"/>
      <c r="F198" s="21">
        <f>IF(A198="",F197,F197+IF(D198="Ingreso",E198,IF(D198="Egreso",-E198,0)))</f>
        <v/>
      </c>
      <c r="G198" s="19" t="n"/>
    </row>
    <row r="199">
      <c r="A199" s="18" t="n"/>
      <c r="B199" s="19" t="n"/>
      <c r="C199" s="20" t="n"/>
      <c r="D199" s="20" t="n"/>
      <c r="E199" s="5" t="n"/>
      <c r="F199" s="21">
        <f>IF(A199="",F198,F198+IF(D199="Ingreso",E199,IF(D199="Egreso",-E199,0)))</f>
        <v/>
      </c>
      <c r="G199" s="19" t="n"/>
    </row>
    <row r="200">
      <c r="A200" s="18" t="n"/>
      <c r="B200" s="19" t="n"/>
      <c r="C200" s="20" t="n"/>
      <c r="D200" s="20" t="n"/>
      <c r="E200" s="5" t="n"/>
      <c r="F200" s="21">
        <f>IF(A200="",F199,F199+IF(D200="Ingreso",E200,IF(D200="Egreso",-E200,0)))</f>
        <v/>
      </c>
      <c r="G200" s="19" t="n"/>
    </row>
    <row r="201">
      <c r="A201" s="18" t="n"/>
      <c r="B201" s="19" t="n"/>
      <c r="C201" s="20" t="n"/>
      <c r="D201" s="20" t="n"/>
      <c r="E201" s="5" t="n"/>
      <c r="F201" s="21">
        <f>IF(A201="",F200,F200+IF(D201="Ingreso",E201,IF(D201="Egreso",-E201,0)))</f>
        <v/>
      </c>
      <c r="G201" s="19" t="n"/>
    </row>
    <row r="202">
      <c r="A202" s="18" t="n"/>
      <c r="B202" s="19" t="n"/>
      <c r="C202" s="20" t="n"/>
      <c r="D202" s="20" t="n"/>
      <c r="E202" s="5" t="n"/>
      <c r="F202" s="21">
        <f>IF(A202="",F201,F201+IF(D202="Ingreso",E202,IF(D202="Egreso",-E202,0)))</f>
        <v/>
      </c>
      <c r="G202" s="19" t="n"/>
    </row>
    <row r="203">
      <c r="A203" s="18" t="n"/>
      <c r="B203" s="19" t="n"/>
      <c r="C203" s="20" t="n"/>
      <c r="D203" s="20" t="n"/>
      <c r="E203" s="5" t="n"/>
      <c r="F203" s="21">
        <f>IF(A203="",F202,F202+IF(D203="Ingreso",E203,IF(D203="Egreso",-E203,0)))</f>
        <v/>
      </c>
      <c r="G203" s="1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2">
    <mergeCell ref="A2:G2"/>
    <mergeCell ref="A1:G1"/>
  </mergeCells>
  <conditionalFormatting sqref="F4:F203">
    <cfRule type="cellIs" priority="1" operator="lessThan" dxfId="0">
      <formula>0</formula>
    </cfRule>
  </conditionalFormatting>
  <conditionalFormatting sqref="D4:D203">
    <cfRule type="cellIs" priority="2" operator="equal" dxfId="1">
      <formula>"Ingreso"</formula>
    </cfRule>
    <cfRule type="cellIs" priority="3" operator="equal" dxfId="0">
      <formula>"Egreso"</formula>
    </cfRule>
  </conditionalFormatting>
  <dataValidations count="3">
    <dataValidation sqref="D4:D203" showDropDown="0" showInputMessage="0" showErrorMessage="0" allowBlank="1" promptTitle="Tipo" prompt="Ingreso = entrada, Egreso = salida" type="list">
      <formula1>"Ingreso,Egreso"</formula1>
    </dataValidation>
    <dataValidation sqref="C4:C203" showDropDown="0" showInputMessage="0" showErrorMessage="0" allowBlank="1" promptTitle="Categoria" prompt="Categoria del movimiento" type="list">
      <formula1>"Ventas,Servicios,Alquiler,Sueldos,Compras,Impuestos,Prestamos,Otros"</formula1>
    </dataValidation>
    <dataValidation sqref="E4:E203" showDropDown="0" showInputMessage="0" showErrorMessage="0" allowBlank="1" error="El monto no puede ser negativo" type="decimal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G20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12" customWidth="1" min="4" max="4"/>
    <col width="18" customWidth="1" min="5" max="5"/>
    <col width="18" customWidth="1" min="6" max="6"/>
    <col width="28" customWidth="1" min="7" max="7"/>
  </cols>
  <sheetData>
    <row r="1" ht="35" customHeight="1">
      <c r="A1" s="15" t="inlineStr">
        <is>
          <t>FLUJO DE CAJA EN DOLARES</t>
        </is>
      </c>
    </row>
    <row r="2">
      <c r="A2" s="16" t="inlineStr">
        <is>
          <t>Registra todos los ingresos y egresos en DOLARES.</t>
        </is>
      </c>
    </row>
    <row r="3" ht="28" customHeight="1">
      <c r="A3" s="17" t="inlineStr">
        <is>
          <t>FECHA</t>
        </is>
      </c>
      <c r="B3" s="17" t="inlineStr">
        <is>
          <t>CONCEPTO</t>
        </is>
      </c>
      <c r="C3" s="17" t="inlineStr">
        <is>
          <t>CATEGORIA</t>
        </is>
      </c>
      <c r="D3" s="17" t="inlineStr">
        <is>
          <t>TIPO</t>
        </is>
      </c>
      <c r="E3" s="17" t="inlineStr">
        <is>
          <t>MONTO (USD)</t>
        </is>
      </c>
      <c r="F3" s="17" t="inlineStr">
        <is>
          <t>SALDO ACUMULADO</t>
        </is>
      </c>
      <c r="G3" s="17" t="inlineStr">
        <is>
          <t>OBSERVACION</t>
        </is>
      </c>
    </row>
    <row r="4">
      <c r="A4" s="18" t="n">
        <v>45660</v>
      </c>
      <c r="B4" s="19" t="inlineStr">
        <is>
          <t>Pago cliente exportacion</t>
        </is>
      </c>
      <c r="C4" s="20" t="inlineStr">
        <is>
          <t>Ventas</t>
        </is>
      </c>
      <c r="D4" s="20" t="inlineStr">
        <is>
          <t>Ingreso</t>
        </is>
      </c>
      <c r="E4" s="5" t="n">
        <v>2000</v>
      </c>
      <c r="F4" s="21">
        <f>IF(D4="Ingreso",E4,IF(D4="Egreso",-E4,0))</f>
        <v/>
      </c>
      <c r="G4" s="19" t="inlineStr"/>
    </row>
    <row r="5">
      <c r="A5" s="18" t="n">
        <v>45667</v>
      </c>
      <c r="B5" s="19" t="inlineStr">
        <is>
          <t>Compra insumos importados</t>
        </is>
      </c>
      <c r="C5" s="20" t="inlineStr">
        <is>
          <t>Compras</t>
        </is>
      </c>
      <c r="D5" s="20" t="inlineStr">
        <is>
          <t>Egreso</t>
        </is>
      </c>
      <c r="E5" s="5" t="n">
        <v>800</v>
      </c>
      <c r="F5" s="21">
        <f>IF(A5="",F4,F4+IF(D5="Ingreso",E5,IF(D5="Egreso",-E5,0)))</f>
        <v/>
      </c>
      <c r="G5" s="19" t="inlineStr"/>
    </row>
    <row r="6">
      <c r="A6" s="18" t="n">
        <v>45677</v>
      </c>
      <c r="B6" s="19" t="inlineStr">
        <is>
          <t>Comision plataforma</t>
        </is>
      </c>
      <c r="C6" s="20" t="inlineStr">
        <is>
          <t>Servicios</t>
        </is>
      </c>
      <c r="D6" s="20" t="inlineStr">
        <is>
          <t>Egreso</t>
        </is>
      </c>
      <c r="E6" s="5" t="n">
        <v>150</v>
      </c>
      <c r="F6" s="21">
        <f>IF(A6="",F5,F5+IF(D6="Ingreso",E6,IF(D6="Egreso",-E6,0)))</f>
        <v/>
      </c>
      <c r="G6" s="19" t="inlineStr">
        <is>
          <t>Stripe</t>
        </is>
      </c>
    </row>
    <row r="7">
      <c r="A7" s="18" t="n">
        <v>45691</v>
      </c>
      <c r="B7" s="19" t="inlineStr">
        <is>
          <t>Pago cliente exportacion</t>
        </is>
      </c>
      <c r="C7" s="20" t="inlineStr">
        <is>
          <t>Ventas</t>
        </is>
      </c>
      <c r="D7" s="20" t="inlineStr">
        <is>
          <t>Ingreso</t>
        </is>
      </c>
      <c r="E7" s="5" t="n">
        <v>2500</v>
      </c>
      <c r="F7" s="21">
        <f>IF(A7="",F6,F6+IF(D7="Ingreso",E7,IF(D7="Egreso",-E7,0)))</f>
        <v/>
      </c>
      <c r="G7" s="19" t="inlineStr"/>
    </row>
    <row r="8">
      <c r="A8" s="18" t="n"/>
      <c r="B8" s="19" t="n"/>
      <c r="C8" s="20" t="n"/>
      <c r="D8" s="20" t="n"/>
      <c r="E8" s="5" t="n"/>
      <c r="F8" s="21">
        <f>IF(A8="",F7,F7+IF(D8="Ingreso",E8,IF(D8="Egreso",-E8,0)))</f>
        <v/>
      </c>
      <c r="G8" s="19" t="n"/>
    </row>
    <row r="9">
      <c r="A9" s="18" t="n"/>
      <c r="B9" s="19" t="n"/>
      <c r="C9" s="20" t="n"/>
      <c r="D9" s="20" t="n"/>
      <c r="E9" s="5" t="n"/>
      <c r="F9" s="21">
        <f>IF(A9="",F8,F8+IF(D9="Ingreso",E9,IF(D9="Egreso",-E9,0)))</f>
        <v/>
      </c>
      <c r="G9" s="19" t="n"/>
    </row>
    <row r="10">
      <c r="A10" s="18" t="n"/>
      <c r="B10" s="19" t="n"/>
      <c r="C10" s="20" t="n"/>
      <c r="D10" s="20" t="n"/>
      <c r="E10" s="5" t="n"/>
      <c r="F10" s="21">
        <f>IF(A10="",F9,F9+IF(D10="Ingreso",E10,IF(D10="Egreso",-E10,0)))</f>
        <v/>
      </c>
      <c r="G10" s="19" t="n"/>
    </row>
    <row r="11">
      <c r="A11" s="18" t="n"/>
      <c r="B11" s="19" t="n"/>
      <c r="C11" s="20" t="n"/>
      <c r="D11" s="20" t="n"/>
      <c r="E11" s="5" t="n"/>
      <c r="F11" s="21">
        <f>IF(A11="",F10,F10+IF(D11="Ingreso",E11,IF(D11="Egreso",-E11,0)))</f>
        <v/>
      </c>
      <c r="G11" s="19" t="n"/>
    </row>
    <row r="12">
      <c r="A12" s="18" t="n"/>
      <c r="B12" s="19" t="n"/>
      <c r="C12" s="20" t="n"/>
      <c r="D12" s="20" t="n"/>
      <c r="E12" s="5" t="n"/>
      <c r="F12" s="21">
        <f>IF(A12="",F11,F11+IF(D12="Ingreso",E12,IF(D12="Egreso",-E12,0)))</f>
        <v/>
      </c>
      <c r="G12" s="19" t="n"/>
    </row>
    <row r="13">
      <c r="A13" s="18" t="n"/>
      <c r="B13" s="19" t="n"/>
      <c r="C13" s="20" t="n"/>
      <c r="D13" s="20" t="n"/>
      <c r="E13" s="5" t="n"/>
      <c r="F13" s="21">
        <f>IF(A13="",F12,F12+IF(D13="Ingreso",E13,IF(D13="Egreso",-E13,0)))</f>
        <v/>
      </c>
      <c r="G13" s="19" t="n"/>
    </row>
    <row r="14">
      <c r="A14" s="18" t="n"/>
      <c r="B14" s="19" t="n"/>
      <c r="C14" s="20" t="n"/>
      <c r="D14" s="20" t="n"/>
      <c r="E14" s="5" t="n"/>
      <c r="F14" s="21">
        <f>IF(A14="",F13,F13+IF(D14="Ingreso",E14,IF(D14="Egreso",-E14,0)))</f>
        <v/>
      </c>
      <c r="G14" s="19" t="n"/>
    </row>
    <row r="15">
      <c r="A15" s="18" t="n"/>
      <c r="B15" s="19" t="n"/>
      <c r="C15" s="20" t="n"/>
      <c r="D15" s="20" t="n"/>
      <c r="E15" s="5" t="n"/>
      <c r="F15" s="21">
        <f>IF(A15="",F14,F14+IF(D15="Ingreso",E15,IF(D15="Egreso",-E15,0)))</f>
        <v/>
      </c>
      <c r="G15" s="19" t="n"/>
    </row>
    <row r="16">
      <c r="A16" s="18" t="n"/>
      <c r="B16" s="19" t="n"/>
      <c r="C16" s="20" t="n"/>
      <c r="D16" s="20" t="n"/>
      <c r="E16" s="5" t="n"/>
      <c r="F16" s="21">
        <f>IF(A16="",F15,F15+IF(D16="Ingreso",E16,IF(D16="Egreso",-E16,0)))</f>
        <v/>
      </c>
      <c r="G16" s="19" t="n"/>
    </row>
    <row r="17">
      <c r="A17" s="18" t="n"/>
      <c r="B17" s="19" t="n"/>
      <c r="C17" s="20" t="n"/>
      <c r="D17" s="20" t="n"/>
      <c r="E17" s="5" t="n"/>
      <c r="F17" s="21">
        <f>IF(A17="",F16,F16+IF(D17="Ingreso",E17,IF(D17="Egreso",-E17,0)))</f>
        <v/>
      </c>
      <c r="G17" s="19" t="n"/>
    </row>
    <row r="18">
      <c r="A18" s="18" t="n"/>
      <c r="B18" s="19" t="n"/>
      <c r="C18" s="20" t="n"/>
      <c r="D18" s="20" t="n"/>
      <c r="E18" s="5" t="n"/>
      <c r="F18" s="21">
        <f>IF(A18="",F17,F17+IF(D18="Ingreso",E18,IF(D18="Egreso",-E18,0)))</f>
        <v/>
      </c>
      <c r="G18" s="19" t="n"/>
    </row>
    <row r="19">
      <c r="A19" s="18" t="n"/>
      <c r="B19" s="19" t="n"/>
      <c r="C19" s="20" t="n"/>
      <c r="D19" s="20" t="n"/>
      <c r="E19" s="5" t="n"/>
      <c r="F19" s="21">
        <f>IF(A19="",F18,F18+IF(D19="Ingreso",E19,IF(D19="Egreso",-E19,0)))</f>
        <v/>
      </c>
      <c r="G19" s="19" t="n"/>
    </row>
    <row r="20">
      <c r="A20" s="18" t="n"/>
      <c r="B20" s="19" t="n"/>
      <c r="C20" s="20" t="n"/>
      <c r="D20" s="20" t="n"/>
      <c r="E20" s="5" t="n"/>
      <c r="F20" s="21">
        <f>IF(A20="",F19,F19+IF(D20="Ingreso",E20,IF(D20="Egreso",-E20,0)))</f>
        <v/>
      </c>
      <c r="G20" s="19" t="n"/>
    </row>
    <row r="21">
      <c r="A21" s="18" t="n"/>
      <c r="B21" s="19" t="n"/>
      <c r="C21" s="20" t="n"/>
      <c r="D21" s="20" t="n"/>
      <c r="E21" s="5" t="n"/>
      <c r="F21" s="21">
        <f>IF(A21="",F20,F20+IF(D21="Ingreso",E21,IF(D21="Egreso",-E21,0)))</f>
        <v/>
      </c>
      <c r="G21" s="19" t="n"/>
    </row>
    <row r="22">
      <c r="A22" s="18" t="n"/>
      <c r="B22" s="19" t="n"/>
      <c r="C22" s="20" t="n"/>
      <c r="D22" s="20" t="n"/>
      <c r="E22" s="5" t="n"/>
      <c r="F22" s="21">
        <f>IF(A22="",F21,F21+IF(D22="Ingreso",E22,IF(D22="Egreso",-E22,0)))</f>
        <v/>
      </c>
      <c r="G22" s="19" t="n"/>
    </row>
    <row r="23">
      <c r="A23" s="18" t="n"/>
      <c r="B23" s="19" t="n"/>
      <c r="C23" s="20" t="n"/>
      <c r="D23" s="20" t="n"/>
      <c r="E23" s="5" t="n"/>
      <c r="F23" s="21">
        <f>IF(A23="",F22,F22+IF(D23="Ingreso",E23,IF(D23="Egreso",-E23,0)))</f>
        <v/>
      </c>
      <c r="G23" s="19" t="n"/>
    </row>
    <row r="24">
      <c r="A24" s="18" t="n"/>
      <c r="B24" s="19" t="n"/>
      <c r="C24" s="20" t="n"/>
      <c r="D24" s="20" t="n"/>
      <c r="E24" s="5" t="n"/>
      <c r="F24" s="21">
        <f>IF(A24="",F23,F23+IF(D24="Ingreso",E24,IF(D24="Egreso",-E24,0)))</f>
        <v/>
      </c>
      <c r="G24" s="19" t="n"/>
    </row>
    <row r="25">
      <c r="A25" s="18" t="n"/>
      <c r="B25" s="19" t="n"/>
      <c r="C25" s="20" t="n"/>
      <c r="D25" s="20" t="n"/>
      <c r="E25" s="5" t="n"/>
      <c r="F25" s="21">
        <f>IF(A25="",F24,F24+IF(D25="Ingreso",E25,IF(D25="Egreso",-E25,0)))</f>
        <v/>
      </c>
      <c r="G25" s="19" t="n"/>
    </row>
    <row r="26">
      <c r="A26" s="18" t="n"/>
      <c r="B26" s="19" t="n"/>
      <c r="C26" s="20" t="n"/>
      <c r="D26" s="20" t="n"/>
      <c r="E26" s="5" t="n"/>
      <c r="F26" s="21">
        <f>IF(A26="",F25,F25+IF(D26="Ingreso",E26,IF(D26="Egreso",-E26,0)))</f>
        <v/>
      </c>
      <c r="G26" s="19" t="n"/>
    </row>
    <row r="27">
      <c r="A27" s="18" t="n"/>
      <c r="B27" s="19" t="n"/>
      <c r="C27" s="20" t="n"/>
      <c r="D27" s="20" t="n"/>
      <c r="E27" s="5" t="n"/>
      <c r="F27" s="21">
        <f>IF(A27="",F26,F26+IF(D27="Ingreso",E27,IF(D27="Egreso",-E27,0)))</f>
        <v/>
      </c>
      <c r="G27" s="19" t="n"/>
    </row>
    <row r="28">
      <c r="A28" s="18" t="n"/>
      <c r="B28" s="19" t="n"/>
      <c r="C28" s="20" t="n"/>
      <c r="D28" s="20" t="n"/>
      <c r="E28" s="5" t="n"/>
      <c r="F28" s="21">
        <f>IF(A28="",F27,F27+IF(D28="Ingreso",E28,IF(D28="Egreso",-E28,0)))</f>
        <v/>
      </c>
      <c r="G28" s="19" t="n"/>
    </row>
    <row r="29">
      <c r="A29" s="18" t="n"/>
      <c r="B29" s="19" t="n"/>
      <c r="C29" s="20" t="n"/>
      <c r="D29" s="20" t="n"/>
      <c r="E29" s="5" t="n"/>
      <c r="F29" s="21">
        <f>IF(A29="",F28,F28+IF(D29="Ingreso",E29,IF(D29="Egreso",-E29,0)))</f>
        <v/>
      </c>
      <c r="G29" s="19" t="n"/>
    </row>
    <row r="30">
      <c r="A30" s="18" t="n"/>
      <c r="B30" s="19" t="n"/>
      <c r="C30" s="20" t="n"/>
      <c r="D30" s="20" t="n"/>
      <c r="E30" s="5" t="n"/>
      <c r="F30" s="21">
        <f>IF(A30="",F29,F29+IF(D30="Ingreso",E30,IF(D30="Egreso",-E30,0)))</f>
        <v/>
      </c>
      <c r="G30" s="19" t="n"/>
    </row>
    <row r="31">
      <c r="A31" s="18" t="n"/>
      <c r="B31" s="19" t="n"/>
      <c r="C31" s="20" t="n"/>
      <c r="D31" s="20" t="n"/>
      <c r="E31" s="5" t="n"/>
      <c r="F31" s="21">
        <f>IF(A31="",F30,F30+IF(D31="Ingreso",E31,IF(D31="Egreso",-E31,0)))</f>
        <v/>
      </c>
      <c r="G31" s="19" t="n"/>
    </row>
    <row r="32">
      <c r="A32" s="18" t="n"/>
      <c r="B32" s="19" t="n"/>
      <c r="C32" s="20" t="n"/>
      <c r="D32" s="20" t="n"/>
      <c r="E32" s="5" t="n"/>
      <c r="F32" s="21">
        <f>IF(A32="",F31,F31+IF(D32="Ingreso",E32,IF(D32="Egreso",-E32,0)))</f>
        <v/>
      </c>
      <c r="G32" s="19" t="n"/>
    </row>
    <row r="33">
      <c r="A33" s="18" t="n"/>
      <c r="B33" s="19" t="n"/>
      <c r="C33" s="20" t="n"/>
      <c r="D33" s="20" t="n"/>
      <c r="E33" s="5" t="n"/>
      <c r="F33" s="21">
        <f>IF(A33="",F32,F32+IF(D33="Ingreso",E33,IF(D33="Egreso",-E33,0)))</f>
        <v/>
      </c>
      <c r="G33" s="19" t="n"/>
    </row>
    <row r="34">
      <c r="A34" s="18" t="n"/>
      <c r="B34" s="19" t="n"/>
      <c r="C34" s="20" t="n"/>
      <c r="D34" s="20" t="n"/>
      <c r="E34" s="5" t="n"/>
      <c r="F34" s="21">
        <f>IF(A34="",F33,F33+IF(D34="Ingreso",E34,IF(D34="Egreso",-E34,0)))</f>
        <v/>
      </c>
      <c r="G34" s="19" t="n"/>
    </row>
    <row r="35">
      <c r="A35" s="18" t="n"/>
      <c r="B35" s="19" t="n"/>
      <c r="C35" s="20" t="n"/>
      <c r="D35" s="20" t="n"/>
      <c r="E35" s="5" t="n"/>
      <c r="F35" s="21">
        <f>IF(A35="",F34,F34+IF(D35="Ingreso",E35,IF(D35="Egreso",-E35,0)))</f>
        <v/>
      </c>
      <c r="G35" s="19" t="n"/>
    </row>
    <row r="36">
      <c r="A36" s="18" t="n"/>
      <c r="B36" s="19" t="n"/>
      <c r="C36" s="20" t="n"/>
      <c r="D36" s="20" t="n"/>
      <c r="E36" s="5" t="n"/>
      <c r="F36" s="21">
        <f>IF(A36="",F35,F35+IF(D36="Ingreso",E36,IF(D36="Egreso",-E36,0)))</f>
        <v/>
      </c>
      <c r="G36" s="19" t="n"/>
    </row>
    <row r="37">
      <c r="A37" s="18" t="n"/>
      <c r="B37" s="19" t="n"/>
      <c r="C37" s="20" t="n"/>
      <c r="D37" s="20" t="n"/>
      <c r="E37" s="5" t="n"/>
      <c r="F37" s="21">
        <f>IF(A37="",F36,F36+IF(D37="Ingreso",E37,IF(D37="Egreso",-E37,0)))</f>
        <v/>
      </c>
      <c r="G37" s="19" t="n"/>
    </row>
    <row r="38">
      <c r="A38" s="18" t="n"/>
      <c r="B38" s="19" t="n"/>
      <c r="C38" s="20" t="n"/>
      <c r="D38" s="20" t="n"/>
      <c r="E38" s="5" t="n"/>
      <c r="F38" s="21">
        <f>IF(A38="",F37,F37+IF(D38="Ingreso",E38,IF(D38="Egreso",-E38,0)))</f>
        <v/>
      </c>
      <c r="G38" s="19" t="n"/>
    </row>
    <row r="39">
      <c r="A39" s="18" t="n"/>
      <c r="B39" s="19" t="n"/>
      <c r="C39" s="20" t="n"/>
      <c r="D39" s="20" t="n"/>
      <c r="E39" s="5" t="n"/>
      <c r="F39" s="21">
        <f>IF(A39="",F38,F38+IF(D39="Ingreso",E39,IF(D39="Egreso",-E39,0)))</f>
        <v/>
      </c>
      <c r="G39" s="19" t="n"/>
    </row>
    <row r="40">
      <c r="A40" s="18" t="n"/>
      <c r="B40" s="19" t="n"/>
      <c r="C40" s="20" t="n"/>
      <c r="D40" s="20" t="n"/>
      <c r="E40" s="5" t="n"/>
      <c r="F40" s="21">
        <f>IF(A40="",F39,F39+IF(D40="Ingreso",E40,IF(D40="Egreso",-E40,0)))</f>
        <v/>
      </c>
      <c r="G40" s="19" t="n"/>
    </row>
    <row r="41">
      <c r="A41" s="18" t="n"/>
      <c r="B41" s="19" t="n"/>
      <c r="C41" s="20" t="n"/>
      <c r="D41" s="20" t="n"/>
      <c r="E41" s="5" t="n"/>
      <c r="F41" s="21">
        <f>IF(A41="",F40,F40+IF(D41="Ingreso",E41,IF(D41="Egreso",-E41,0)))</f>
        <v/>
      </c>
      <c r="G41" s="19" t="n"/>
    </row>
    <row r="42">
      <c r="A42" s="18" t="n"/>
      <c r="B42" s="19" t="n"/>
      <c r="C42" s="20" t="n"/>
      <c r="D42" s="20" t="n"/>
      <c r="E42" s="5" t="n"/>
      <c r="F42" s="21">
        <f>IF(A42="",F41,F41+IF(D42="Ingreso",E42,IF(D42="Egreso",-E42,0)))</f>
        <v/>
      </c>
      <c r="G42" s="19" t="n"/>
    </row>
    <row r="43">
      <c r="A43" s="18" t="n"/>
      <c r="B43" s="19" t="n"/>
      <c r="C43" s="20" t="n"/>
      <c r="D43" s="20" t="n"/>
      <c r="E43" s="5" t="n"/>
      <c r="F43" s="21">
        <f>IF(A43="",F42,F42+IF(D43="Ingreso",E43,IF(D43="Egreso",-E43,0)))</f>
        <v/>
      </c>
      <c r="G43" s="19" t="n"/>
    </row>
    <row r="44">
      <c r="A44" s="18" t="n"/>
      <c r="B44" s="19" t="n"/>
      <c r="C44" s="20" t="n"/>
      <c r="D44" s="20" t="n"/>
      <c r="E44" s="5" t="n"/>
      <c r="F44" s="21">
        <f>IF(A44="",F43,F43+IF(D44="Ingreso",E44,IF(D44="Egreso",-E44,0)))</f>
        <v/>
      </c>
      <c r="G44" s="19" t="n"/>
    </row>
    <row r="45">
      <c r="A45" s="18" t="n"/>
      <c r="B45" s="19" t="n"/>
      <c r="C45" s="20" t="n"/>
      <c r="D45" s="20" t="n"/>
      <c r="E45" s="5" t="n"/>
      <c r="F45" s="21">
        <f>IF(A45="",F44,F44+IF(D45="Ingreso",E45,IF(D45="Egreso",-E45,0)))</f>
        <v/>
      </c>
      <c r="G45" s="19" t="n"/>
    </row>
    <row r="46">
      <c r="A46" s="18" t="n"/>
      <c r="B46" s="19" t="n"/>
      <c r="C46" s="20" t="n"/>
      <c r="D46" s="20" t="n"/>
      <c r="E46" s="5" t="n"/>
      <c r="F46" s="21">
        <f>IF(A46="",F45,F45+IF(D46="Ingreso",E46,IF(D46="Egreso",-E46,0)))</f>
        <v/>
      </c>
      <c r="G46" s="19" t="n"/>
    </row>
    <row r="47">
      <c r="A47" s="18" t="n"/>
      <c r="B47" s="19" t="n"/>
      <c r="C47" s="20" t="n"/>
      <c r="D47" s="20" t="n"/>
      <c r="E47" s="5" t="n"/>
      <c r="F47" s="21">
        <f>IF(A47="",F46,F46+IF(D47="Ingreso",E47,IF(D47="Egreso",-E47,0)))</f>
        <v/>
      </c>
      <c r="G47" s="19" t="n"/>
    </row>
    <row r="48">
      <c r="A48" s="18" t="n"/>
      <c r="B48" s="19" t="n"/>
      <c r="C48" s="20" t="n"/>
      <c r="D48" s="20" t="n"/>
      <c r="E48" s="5" t="n"/>
      <c r="F48" s="21">
        <f>IF(A48="",F47,F47+IF(D48="Ingreso",E48,IF(D48="Egreso",-E48,0)))</f>
        <v/>
      </c>
      <c r="G48" s="19" t="n"/>
    </row>
    <row r="49">
      <c r="A49" s="18" t="n"/>
      <c r="B49" s="19" t="n"/>
      <c r="C49" s="20" t="n"/>
      <c r="D49" s="20" t="n"/>
      <c r="E49" s="5" t="n"/>
      <c r="F49" s="21">
        <f>IF(A49="",F48,F48+IF(D49="Ingreso",E49,IF(D49="Egreso",-E49,0)))</f>
        <v/>
      </c>
      <c r="G49" s="19" t="n"/>
    </row>
    <row r="50">
      <c r="A50" s="18" t="n"/>
      <c r="B50" s="19" t="n"/>
      <c r="C50" s="20" t="n"/>
      <c r="D50" s="20" t="n"/>
      <c r="E50" s="5" t="n"/>
      <c r="F50" s="21">
        <f>IF(A50="",F49,F49+IF(D50="Ingreso",E50,IF(D50="Egreso",-E50,0)))</f>
        <v/>
      </c>
      <c r="G50" s="19" t="n"/>
    </row>
    <row r="51">
      <c r="A51" s="18" t="n"/>
      <c r="B51" s="19" t="n"/>
      <c r="C51" s="20" t="n"/>
      <c r="D51" s="20" t="n"/>
      <c r="E51" s="5" t="n"/>
      <c r="F51" s="21">
        <f>IF(A51="",F50,F50+IF(D51="Ingreso",E51,IF(D51="Egreso",-E51,0)))</f>
        <v/>
      </c>
      <c r="G51" s="19" t="n"/>
    </row>
    <row r="52">
      <c r="A52" s="18" t="n"/>
      <c r="B52" s="19" t="n"/>
      <c r="C52" s="20" t="n"/>
      <c r="D52" s="20" t="n"/>
      <c r="E52" s="5" t="n"/>
      <c r="F52" s="21">
        <f>IF(A52="",F51,F51+IF(D52="Ingreso",E52,IF(D52="Egreso",-E52,0)))</f>
        <v/>
      </c>
      <c r="G52" s="19" t="n"/>
    </row>
    <row r="53">
      <c r="A53" s="18" t="n"/>
      <c r="B53" s="19" t="n"/>
      <c r="C53" s="20" t="n"/>
      <c r="D53" s="20" t="n"/>
      <c r="E53" s="5" t="n"/>
      <c r="F53" s="21">
        <f>IF(A53="",F52,F52+IF(D53="Ingreso",E53,IF(D53="Egreso",-E53,0)))</f>
        <v/>
      </c>
      <c r="G53" s="19" t="n"/>
    </row>
    <row r="54">
      <c r="A54" s="18" t="n"/>
      <c r="B54" s="19" t="n"/>
      <c r="C54" s="20" t="n"/>
      <c r="D54" s="20" t="n"/>
      <c r="E54" s="5" t="n"/>
      <c r="F54" s="21">
        <f>IF(A54="",F53,F53+IF(D54="Ingreso",E54,IF(D54="Egreso",-E54,0)))</f>
        <v/>
      </c>
      <c r="G54" s="19" t="n"/>
    </row>
    <row r="55">
      <c r="A55" s="18" t="n"/>
      <c r="B55" s="19" t="n"/>
      <c r="C55" s="20" t="n"/>
      <c r="D55" s="20" t="n"/>
      <c r="E55" s="5" t="n"/>
      <c r="F55" s="21">
        <f>IF(A55="",F54,F54+IF(D55="Ingreso",E55,IF(D55="Egreso",-E55,0)))</f>
        <v/>
      </c>
      <c r="G55" s="19" t="n"/>
    </row>
    <row r="56">
      <c r="A56" s="18" t="n"/>
      <c r="B56" s="19" t="n"/>
      <c r="C56" s="20" t="n"/>
      <c r="D56" s="20" t="n"/>
      <c r="E56" s="5" t="n"/>
      <c r="F56" s="21">
        <f>IF(A56="",F55,F55+IF(D56="Ingreso",E56,IF(D56="Egreso",-E56,0)))</f>
        <v/>
      </c>
      <c r="G56" s="19" t="n"/>
    </row>
    <row r="57">
      <c r="A57" s="18" t="n"/>
      <c r="B57" s="19" t="n"/>
      <c r="C57" s="20" t="n"/>
      <c r="D57" s="20" t="n"/>
      <c r="E57" s="5" t="n"/>
      <c r="F57" s="21">
        <f>IF(A57="",F56,F56+IF(D57="Ingreso",E57,IF(D57="Egreso",-E57,0)))</f>
        <v/>
      </c>
      <c r="G57" s="19" t="n"/>
    </row>
    <row r="58">
      <c r="A58" s="18" t="n"/>
      <c r="B58" s="19" t="n"/>
      <c r="C58" s="20" t="n"/>
      <c r="D58" s="20" t="n"/>
      <c r="E58" s="5" t="n"/>
      <c r="F58" s="21">
        <f>IF(A58="",F57,F57+IF(D58="Ingreso",E58,IF(D58="Egreso",-E58,0)))</f>
        <v/>
      </c>
      <c r="G58" s="19" t="n"/>
    </row>
    <row r="59">
      <c r="A59" s="18" t="n"/>
      <c r="B59" s="19" t="n"/>
      <c r="C59" s="20" t="n"/>
      <c r="D59" s="20" t="n"/>
      <c r="E59" s="5" t="n"/>
      <c r="F59" s="21">
        <f>IF(A59="",F58,F58+IF(D59="Ingreso",E59,IF(D59="Egreso",-E59,0)))</f>
        <v/>
      </c>
      <c r="G59" s="19" t="n"/>
    </row>
    <row r="60">
      <c r="A60" s="18" t="n"/>
      <c r="B60" s="19" t="n"/>
      <c r="C60" s="20" t="n"/>
      <c r="D60" s="20" t="n"/>
      <c r="E60" s="5" t="n"/>
      <c r="F60" s="21">
        <f>IF(A60="",F59,F59+IF(D60="Ingreso",E60,IF(D60="Egreso",-E60,0)))</f>
        <v/>
      </c>
      <c r="G60" s="19" t="n"/>
    </row>
    <row r="61">
      <c r="A61" s="18" t="n"/>
      <c r="B61" s="19" t="n"/>
      <c r="C61" s="20" t="n"/>
      <c r="D61" s="20" t="n"/>
      <c r="E61" s="5" t="n"/>
      <c r="F61" s="21">
        <f>IF(A61="",F60,F60+IF(D61="Ingreso",E61,IF(D61="Egreso",-E61,0)))</f>
        <v/>
      </c>
      <c r="G61" s="19" t="n"/>
    </row>
    <row r="62">
      <c r="A62" s="18" t="n"/>
      <c r="B62" s="19" t="n"/>
      <c r="C62" s="20" t="n"/>
      <c r="D62" s="20" t="n"/>
      <c r="E62" s="5" t="n"/>
      <c r="F62" s="21">
        <f>IF(A62="",F61,F61+IF(D62="Ingreso",E62,IF(D62="Egreso",-E62,0)))</f>
        <v/>
      </c>
      <c r="G62" s="19" t="n"/>
    </row>
    <row r="63">
      <c r="A63" s="18" t="n"/>
      <c r="B63" s="19" t="n"/>
      <c r="C63" s="20" t="n"/>
      <c r="D63" s="20" t="n"/>
      <c r="E63" s="5" t="n"/>
      <c r="F63" s="21">
        <f>IF(A63="",F62,F62+IF(D63="Ingreso",E63,IF(D63="Egreso",-E63,0)))</f>
        <v/>
      </c>
      <c r="G63" s="19" t="n"/>
    </row>
    <row r="64">
      <c r="A64" s="18" t="n"/>
      <c r="B64" s="19" t="n"/>
      <c r="C64" s="20" t="n"/>
      <c r="D64" s="20" t="n"/>
      <c r="E64" s="5" t="n"/>
      <c r="F64" s="21">
        <f>IF(A64="",F63,F63+IF(D64="Ingreso",E64,IF(D64="Egreso",-E64,0)))</f>
        <v/>
      </c>
      <c r="G64" s="19" t="n"/>
    </row>
    <row r="65">
      <c r="A65" s="18" t="n"/>
      <c r="B65" s="19" t="n"/>
      <c r="C65" s="20" t="n"/>
      <c r="D65" s="20" t="n"/>
      <c r="E65" s="5" t="n"/>
      <c r="F65" s="21">
        <f>IF(A65="",F64,F64+IF(D65="Ingreso",E65,IF(D65="Egreso",-E65,0)))</f>
        <v/>
      </c>
      <c r="G65" s="19" t="n"/>
    </row>
    <row r="66">
      <c r="A66" s="18" t="n"/>
      <c r="B66" s="19" t="n"/>
      <c r="C66" s="20" t="n"/>
      <c r="D66" s="20" t="n"/>
      <c r="E66" s="5" t="n"/>
      <c r="F66" s="21">
        <f>IF(A66="",F65,F65+IF(D66="Ingreso",E66,IF(D66="Egreso",-E66,0)))</f>
        <v/>
      </c>
      <c r="G66" s="19" t="n"/>
    </row>
    <row r="67">
      <c r="A67" s="18" t="n"/>
      <c r="B67" s="19" t="n"/>
      <c r="C67" s="20" t="n"/>
      <c r="D67" s="20" t="n"/>
      <c r="E67" s="5" t="n"/>
      <c r="F67" s="21">
        <f>IF(A67="",F66,F66+IF(D67="Ingreso",E67,IF(D67="Egreso",-E67,0)))</f>
        <v/>
      </c>
      <c r="G67" s="19" t="n"/>
    </row>
    <row r="68">
      <c r="A68" s="18" t="n"/>
      <c r="B68" s="19" t="n"/>
      <c r="C68" s="20" t="n"/>
      <c r="D68" s="20" t="n"/>
      <c r="E68" s="5" t="n"/>
      <c r="F68" s="21">
        <f>IF(A68="",F67,F67+IF(D68="Ingreso",E68,IF(D68="Egreso",-E68,0)))</f>
        <v/>
      </c>
      <c r="G68" s="19" t="n"/>
    </row>
    <row r="69">
      <c r="A69" s="18" t="n"/>
      <c r="B69" s="19" t="n"/>
      <c r="C69" s="20" t="n"/>
      <c r="D69" s="20" t="n"/>
      <c r="E69" s="5" t="n"/>
      <c r="F69" s="21">
        <f>IF(A69="",F68,F68+IF(D69="Ingreso",E69,IF(D69="Egreso",-E69,0)))</f>
        <v/>
      </c>
      <c r="G69" s="19" t="n"/>
    </row>
    <row r="70">
      <c r="A70" s="18" t="n"/>
      <c r="B70" s="19" t="n"/>
      <c r="C70" s="20" t="n"/>
      <c r="D70" s="20" t="n"/>
      <c r="E70" s="5" t="n"/>
      <c r="F70" s="21">
        <f>IF(A70="",F69,F69+IF(D70="Ingreso",E70,IF(D70="Egreso",-E70,0)))</f>
        <v/>
      </c>
      <c r="G70" s="19" t="n"/>
    </row>
    <row r="71">
      <c r="A71" s="18" t="n"/>
      <c r="B71" s="19" t="n"/>
      <c r="C71" s="20" t="n"/>
      <c r="D71" s="20" t="n"/>
      <c r="E71" s="5" t="n"/>
      <c r="F71" s="21">
        <f>IF(A71="",F70,F70+IF(D71="Ingreso",E71,IF(D71="Egreso",-E71,0)))</f>
        <v/>
      </c>
      <c r="G71" s="19" t="n"/>
    </row>
    <row r="72">
      <c r="A72" s="18" t="n"/>
      <c r="B72" s="19" t="n"/>
      <c r="C72" s="20" t="n"/>
      <c r="D72" s="20" t="n"/>
      <c r="E72" s="5" t="n"/>
      <c r="F72" s="21">
        <f>IF(A72="",F71,F71+IF(D72="Ingreso",E72,IF(D72="Egreso",-E72,0)))</f>
        <v/>
      </c>
      <c r="G72" s="19" t="n"/>
    </row>
    <row r="73">
      <c r="A73" s="18" t="n"/>
      <c r="B73" s="19" t="n"/>
      <c r="C73" s="20" t="n"/>
      <c r="D73" s="20" t="n"/>
      <c r="E73" s="5" t="n"/>
      <c r="F73" s="21">
        <f>IF(A73="",F72,F72+IF(D73="Ingreso",E73,IF(D73="Egreso",-E73,0)))</f>
        <v/>
      </c>
      <c r="G73" s="19" t="n"/>
    </row>
    <row r="74">
      <c r="A74" s="18" t="n"/>
      <c r="B74" s="19" t="n"/>
      <c r="C74" s="20" t="n"/>
      <c r="D74" s="20" t="n"/>
      <c r="E74" s="5" t="n"/>
      <c r="F74" s="21">
        <f>IF(A74="",F73,F73+IF(D74="Ingreso",E74,IF(D74="Egreso",-E74,0)))</f>
        <v/>
      </c>
      <c r="G74" s="19" t="n"/>
    </row>
    <row r="75">
      <c r="A75" s="18" t="n"/>
      <c r="B75" s="19" t="n"/>
      <c r="C75" s="20" t="n"/>
      <c r="D75" s="20" t="n"/>
      <c r="E75" s="5" t="n"/>
      <c r="F75" s="21">
        <f>IF(A75="",F74,F74+IF(D75="Ingreso",E75,IF(D75="Egreso",-E75,0)))</f>
        <v/>
      </c>
      <c r="G75" s="19" t="n"/>
    </row>
    <row r="76">
      <c r="A76" s="18" t="n"/>
      <c r="B76" s="19" t="n"/>
      <c r="C76" s="20" t="n"/>
      <c r="D76" s="20" t="n"/>
      <c r="E76" s="5" t="n"/>
      <c r="F76" s="21">
        <f>IF(A76="",F75,F75+IF(D76="Ingreso",E76,IF(D76="Egreso",-E76,0)))</f>
        <v/>
      </c>
      <c r="G76" s="19" t="n"/>
    </row>
    <row r="77">
      <c r="A77" s="18" t="n"/>
      <c r="B77" s="19" t="n"/>
      <c r="C77" s="20" t="n"/>
      <c r="D77" s="20" t="n"/>
      <c r="E77" s="5" t="n"/>
      <c r="F77" s="21">
        <f>IF(A77="",F76,F76+IF(D77="Ingreso",E77,IF(D77="Egreso",-E77,0)))</f>
        <v/>
      </c>
      <c r="G77" s="19" t="n"/>
    </row>
    <row r="78">
      <c r="A78" s="18" t="n"/>
      <c r="B78" s="19" t="n"/>
      <c r="C78" s="20" t="n"/>
      <c r="D78" s="20" t="n"/>
      <c r="E78" s="5" t="n"/>
      <c r="F78" s="21">
        <f>IF(A78="",F77,F77+IF(D78="Ingreso",E78,IF(D78="Egreso",-E78,0)))</f>
        <v/>
      </c>
      <c r="G78" s="19" t="n"/>
    </row>
    <row r="79">
      <c r="A79" s="18" t="n"/>
      <c r="B79" s="19" t="n"/>
      <c r="C79" s="20" t="n"/>
      <c r="D79" s="20" t="n"/>
      <c r="E79" s="5" t="n"/>
      <c r="F79" s="21">
        <f>IF(A79="",F78,F78+IF(D79="Ingreso",E79,IF(D79="Egreso",-E79,0)))</f>
        <v/>
      </c>
      <c r="G79" s="19" t="n"/>
    </row>
    <row r="80">
      <c r="A80" s="18" t="n"/>
      <c r="B80" s="19" t="n"/>
      <c r="C80" s="20" t="n"/>
      <c r="D80" s="20" t="n"/>
      <c r="E80" s="5" t="n"/>
      <c r="F80" s="21">
        <f>IF(A80="",F79,F79+IF(D80="Ingreso",E80,IF(D80="Egreso",-E80,0)))</f>
        <v/>
      </c>
      <c r="G80" s="19" t="n"/>
    </row>
    <row r="81">
      <c r="A81" s="18" t="n"/>
      <c r="B81" s="19" t="n"/>
      <c r="C81" s="20" t="n"/>
      <c r="D81" s="20" t="n"/>
      <c r="E81" s="5" t="n"/>
      <c r="F81" s="21">
        <f>IF(A81="",F80,F80+IF(D81="Ingreso",E81,IF(D81="Egreso",-E81,0)))</f>
        <v/>
      </c>
      <c r="G81" s="19" t="n"/>
    </row>
    <row r="82">
      <c r="A82" s="18" t="n"/>
      <c r="B82" s="19" t="n"/>
      <c r="C82" s="20" t="n"/>
      <c r="D82" s="20" t="n"/>
      <c r="E82" s="5" t="n"/>
      <c r="F82" s="21">
        <f>IF(A82="",F81,F81+IF(D82="Ingreso",E82,IF(D82="Egreso",-E82,0)))</f>
        <v/>
      </c>
      <c r="G82" s="19" t="n"/>
    </row>
    <row r="83">
      <c r="A83" s="18" t="n"/>
      <c r="B83" s="19" t="n"/>
      <c r="C83" s="20" t="n"/>
      <c r="D83" s="20" t="n"/>
      <c r="E83" s="5" t="n"/>
      <c r="F83" s="21">
        <f>IF(A83="",F82,F82+IF(D83="Ingreso",E83,IF(D83="Egreso",-E83,0)))</f>
        <v/>
      </c>
      <c r="G83" s="19" t="n"/>
    </row>
    <row r="84">
      <c r="A84" s="18" t="n"/>
      <c r="B84" s="19" t="n"/>
      <c r="C84" s="20" t="n"/>
      <c r="D84" s="20" t="n"/>
      <c r="E84" s="5" t="n"/>
      <c r="F84" s="21">
        <f>IF(A84="",F83,F83+IF(D84="Ingreso",E84,IF(D84="Egreso",-E84,0)))</f>
        <v/>
      </c>
      <c r="G84" s="19" t="n"/>
    </row>
    <row r="85">
      <c r="A85" s="18" t="n"/>
      <c r="B85" s="19" t="n"/>
      <c r="C85" s="20" t="n"/>
      <c r="D85" s="20" t="n"/>
      <c r="E85" s="5" t="n"/>
      <c r="F85" s="21">
        <f>IF(A85="",F84,F84+IF(D85="Ingreso",E85,IF(D85="Egreso",-E85,0)))</f>
        <v/>
      </c>
      <c r="G85" s="19" t="n"/>
    </row>
    <row r="86">
      <c r="A86" s="18" t="n"/>
      <c r="B86" s="19" t="n"/>
      <c r="C86" s="20" t="n"/>
      <c r="D86" s="20" t="n"/>
      <c r="E86" s="5" t="n"/>
      <c r="F86" s="21">
        <f>IF(A86="",F85,F85+IF(D86="Ingreso",E86,IF(D86="Egreso",-E86,0)))</f>
        <v/>
      </c>
      <c r="G86" s="19" t="n"/>
    </row>
    <row r="87">
      <c r="A87" s="18" t="n"/>
      <c r="B87" s="19" t="n"/>
      <c r="C87" s="20" t="n"/>
      <c r="D87" s="20" t="n"/>
      <c r="E87" s="5" t="n"/>
      <c r="F87" s="21">
        <f>IF(A87="",F86,F86+IF(D87="Ingreso",E87,IF(D87="Egreso",-E87,0)))</f>
        <v/>
      </c>
      <c r="G87" s="19" t="n"/>
    </row>
    <row r="88">
      <c r="A88" s="18" t="n"/>
      <c r="B88" s="19" t="n"/>
      <c r="C88" s="20" t="n"/>
      <c r="D88" s="20" t="n"/>
      <c r="E88" s="5" t="n"/>
      <c r="F88" s="21">
        <f>IF(A88="",F87,F87+IF(D88="Ingreso",E88,IF(D88="Egreso",-E88,0)))</f>
        <v/>
      </c>
      <c r="G88" s="19" t="n"/>
    </row>
    <row r="89">
      <c r="A89" s="18" t="n"/>
      <c r="B89" s="19" t="n"/>
      <c r="C89" s="20" t="n"/>
      <c r="D89" s="20" t="n"/>
      <c r="E89" s="5" t="n"/>
      <c r="F89" s="21">
        <f>IF(A89="",F88,F88+IF(D89="Ingreso",E89,IF(D89="Egreso",-E89,0)))</f>
        <v/>
      </c>
      <c r="G89" s="19" t="n"/>
    </row>
    <row r="90">
      <c r="A90" s="18" t="n"/>
      <c r="B90" s="19" t="n"/>
      <c r="C90" s="20" t="n"/>
      <c r="D90" s="20" t="n"/>
      <c r="E90" s="5" t="n"/>
      <c r="F90" s="21">
        <f>IF(A90="",F89,F89+IF(D90="Ingreso",E90,IF(D90="Egreso",-E90,0)))</f>
        <v/>
      </c>
      <c r="G90" s="19" t="n"/>
    </row>
    <row r="91">
      <c r="A91" s="18" t="n"/>
      <c r="B91" s="19" t="n"/>
      <c r="C91" s="20" t="n"/>
      <c r="D91" s="20" t="n"/>
      <c r="E91" s="5" t="n"/>
      <c r="F91" s="21">
        <f>IF(A91="",F90,F90+IF(D91="Ingreso",E91,IF(D91="Egreso",-E91,0)))</f>
        <v/>
      </c>
      <c r="G91" s="19" t="n"/>
    </row>
    <row r="92">
      <c r="A92" s="18" t="n"/>
      <c r="B92" s="19" t="n"/>
      <c r="C92" s="20" t="n"/>
      <c r="D92" s="20" t="n"/>
      <c r="E92" s="5" t="n"/>
      <c r="F92" s="21">
        <f>IF(A92="",F91,F91+IF(D92="Ingreso",E92,IF(D92="Egreso",-E92,0)))</f>
        <v/>
      </c>
      <c r="G92" s="19" t="n"/>
    </row>
    <row r="93">
      <c r="A93" s="18" t="n"/>
      <c r="B93" s="19" t="n"/>
      <c r="C93" s="20" t="n"/>
      <c r="D93" s="20" t="n"/>
      <c r="E93" s="5" t="n"/>
      <c r="F93" s="21">
        <f>IF(A93="",F92,F92+IF(D93="Ingreso",E93,IF(D93="Egreso",-E93,0)))</f>
        <v/>
      </c>
      <c r="G93" s="19" t="n"/>
    </row>
    <row r="94">
      <c r="A94" s="18" t="n"/>
      <c r="B94" s="19" t="n"/>
      <c r="C94" s="20" t="n"/>
      <c r="D94" s="20" t="n"/>
      <c r="E94" s="5" t="n"/>
      <c r="F94" s="21">
        <f>IF(A94="",F93,F93+IF(D94="Ingreso",E94,IF(D94="Egreso",-E94,0)))</f>
        <v/>
      </c>
      <c r="G94" s="19" t="n"/>
    </row>
    <row r="95">
      <c r="A95" s="18" t="n"/>
      <c r="B95" s="19" t="n"/>
      <c r="C95" s="20" t="n"/>
      <c r="D95" s="20" t="n"/>
      <c r="E95" s="5" t="n"/>
      <c r="F95" s="21">
        <f>IF(A95="",F94,F94+IF(D95="Ingreso",E95,IF(D95="Egreso",-E95,0)))</f>
        <v/>
      </c>
      <c r="G95" s="19" t="n"/>
    </row>
    <row r="96">
      <c r="A96" s="18" t="n"/>
      <c r="B96" s="19" t="n"/>
      <c r="C96" s="20" t="n"/>
      <c r="D96" s="20" t="n"/>
      <c r="E96" s="5" t="n"/>
      <c r="F96" s="21">
        <f>IF(A96="",F95,F95+IF(D96="Ingreso",E96,IF(D96="Egreso",-E96,0)))</f>
        <v/>
      </c>
      <c r="G96" s="19" t="n"/>
    </row>
    <row r="97">
      <c r="A97" s="18" t="n"/>
      <c r="B97" s="19" t="n"/>
      <c r="C97" s="20" t="n"/>
      <c r="D97" s="20" t="n"/>
      <c r="E97" s="5" t="n"/>
      <c r="F97" s="21">
        <f>IF(A97="",F96,F96+IF(D97="Ingreso",E97,IF(D97="Egreso",-E97,0)))</f>
        <v/>
      </c>
      <c r="G97" s="19" t="n"/>
    </row>
    <row r="98">
      <c r="A98" s="18" t="n"/>
      <c r="B98" s="19" t="n"/>
      <c r="C98" s="20" t="n"/>
      <c r="D98" s="20" t="n"/>
      <c r="E98" s="5" t="n"/>
      <c r="F98" s="21">
        <f>IF(A98="",F97,F97+IF(D98="Ingreso",E98,IF(D98="Egreso",-E98,0)))</f>
        <v/>
      </c>
      <c r="G98" s="19" t="n"/>
    </row>
    <row r="99">
      <c r="A99" s="18" t="n"/>
      <c r="B99" s="19" t="n"/>
      <c r="C99" s="20" t="n"/>
      <c r="D99" s="20" t="n"/>
      <c r="E99" s="5" t="n"/>
      <c r="F99" s="21">
        <f>IF(A99="",F98,F98+IF(D99="Ingreso",E99,IF(D99="Egreso",-E99,0)))</f>
        <v/>
      </c>
      <c r="G99" s="19" t="n"/>
    </row>
    <row r="100">
      <c r="A100" s="18" t="n"/>
      <c r="B100" s="19" t="n"/>
      <c r="C100" s="20" t="n"/>
      <c r="D100" s="20" t="n"/>
      <c r="E100" s="5" t="n"/>
      <c r="F100" s="21">
        <f>IF(A100="",F99,F99+IF(D100="Ingreso",E100,IF(D100="Egreso",-E100,0)))</f>
        <v/>
      </c>
      <c r="G100" s="19" t="n"/>
    </row>
    <row r="101">
      <c r="A101" s="18" t="n"/>
      <c r="B101" s="19" t="n"/>
      <c r="C101" s="20" t="n"/>
      <c r="D101" s="20" t="n"/>
      <c r="E101" s="5" t="n"/>
      <c r="F101" s="21">
        <f>IF(A101="",F100,F100+IF(D101="Ingreso",E101,IF(D101="Egreso",-E101,0)))</f>
        <v/>
      </c>
      <c r="G101" s="19" t="n"/>
    </row>
    <row r="102">
      <c r="A102" s="18" t="n"/>
      <c r="B102" s="19" t="n"/>
      <c r="C102" s="20" t="n"/>
      <c r="D102" s="20" t="n"/>
      <c r="E102" s="5" t="n"/>
      <c r="F102" s="21">
        <f>IF(A102="",F101,F101+IF(D102="Ingreso",E102,IF(D102="Egreso",-E102,0)))</f>
        <v/>
      </c>
      <c r="G102" s="19" t="n"/>
    </row>
    <row r="103">
      <c r="A103" s="18" t="n"/>
      <c r="B103" s="19" t="n"/>
      <c r="C103" s="20" t="n"/>
      <c r="D103" s="20" t="n"/>
      <c r="E103" s="5" t="n"/>
      <c r="F103" s="21">
        <f>IF(A103="",F102,F102+IF(D103="Ingreso",E103,IF(D103="Egreso",-E103,0)))</f>
        <v/>
      </c>
      <c r="G103" s="19" t="n"/>
    </row>
    <row r="104">
      <c r="A104" s="18" t="n"/>
      <c r="B104" s="19" t="n"/>
      <c r="C104" s="20" t="n"/>
      <c r="D104" s="20" t="n"/>
      <c r="E104" s="5" t="n"/>
      <c r="F104" s="21">
        <f>IF(A104="",F103,F103+IF(D104="Ingreso",E104,IF(D104="Egreso",-E104,0)))</f>
        <v/>
      </c>
      <c r="G104" s="19" t="n"/>
    </row>
    <row r="105">
      <c r="A105" s="18" t="n"/>
      <c r="B105" s="19" t="n"/>
      <c r="C105" s="20" t="n"/>
      <c r="D105" s="20" t="n"/>
      <c r="E105" s="5" t="n"/>
      <c r="F105" s="21">
        <f>IF(A105="",F104,F104+IF(D105="Ingreso",E105,IF(D105="Egreso",-E105,0)))</f>
        <v/>
      </c>
      <c r="G105" s="19" t="n"/>
    </row>
    <row r="106">
      <c r="A106" s="18" t="n"/>
      <c r="B106" s="19" t="n"/>
      <c r="C106" s="20" t="n"/>
      <c r="D106" s="20" t="n"/>
      <c r="E106" s="5" t="n"/>
      <c r="F106" s="21">
        <f>IF(A106="",F105,F105+IF(D106="Ingreso",E106,IF(D106="Egreso",-E106,0)))</f>
        <v/>
      </c>
      <c r="G106" s="19" t="n"/>
    </row>
    <row r="107">
      <c r="A107" s="18" t="n"/>
      <c r="B107" s="19" t="n"/>
      <c r="C107" s="20" t="n"/>
      <c r="D107" s="20" t="n"/>
      <c r="E107" s="5" t="n"/>
      <c r="F107" s="21">
        <f>IF(A107="",F106,F106+IF(D107="Ingreso",E107,IF(D107="Egreso",-E107,0)))</f>
        <v/>
      </c>
      <c r="G107" s="19" t="n"/>
    </row>
    <row r="108">
      <c r="A108" s="18" t="n"/>
      <c r="B108" s="19" t="n"/>
      <c r="C108" s="20" t="n"/>
      <c r="D108" s="20" t="n"/>
      <c r="E108" s="5" t="n"/>
      <c r="F108" s="21">
        <f>IF(A108="",F107,F107+IF(D108="Ingreso",E108,IF(D108="Egreso",-E108,0)))</f>
        <v/>
      </c>
      <c r="G108" s="19" t="n"/>
    </row>
    <row r="109">
      <c r="A109" s="18" t="n"/>
      <c r="B109" s="19" t="n"/>
      <c r="C109" s="20" t="n"/>
      <c r="D109" s="20" t="n"/>
      <c r="E109" s="5" t="n"/>
      <c r="F109" s="21">
        <f>IF(A109="",F108,F108+IF(D109="Ingreso",E109,IF(D109="Egreso",-E109,0)))</f>
        <v/>
      </c>
      <c r="G109" s="19" t="n"/>
    </row>
    <row r="110">
      <c r="A110" s="18" t="n"/>
      <c r="B110" s="19" t="n"/>
      <c r="C110" s="20" t="n"/>
      <c r="D110" s="20" t="n"/>
      <c r="E110" s="5" t="n"/>
      <c r="F110" s="21">
        <f>IF(A110="",F109,F109+IF(D110="Ingreso",E110,IF(D110="Egreso",-E110,0)))</f>
        <v/>
      </c>
      <c r="G110" s="19" t="n"/>
    </row>
    <row r="111">
      <c r="A111" s="18" t="n"/>
      <c r="B111" s="19" t="n"/>
      <c r="C111" s="20" t="n"/>
      <c r="D111" s="20" t="n"/>
      <c r="E111" s="5" t="n"/>
      <c r="F111" s="21">
        <f>IF(A111="",F110,F110+IF(D111="Ingreso",E111,IF(D111="Egreso",-E111,0)))</f>
        <v/>
      </c>
      <c r="G111" s="19" t="n"/>
    </row>
    <row r="112">
      <c r="A112" s="18" t="n"/>
      <c r="B112" s="19" t="n"/>
      <c r="C112" s="20" t="n"/>
      <c r="D112" s="20" t="n"/>
      <c r="E112" s="5" t="n"/>
      <c r="F112" s="21">
        <f>IF(A112="",F111,F111+IF(D112="Ingreso",E112,IF(D112="Egreso",-E112,0)))</f>
        <v/>
      </c>
      <c r="G112" s="19" t="n"/>
    </row>
    <row r="113">
      <c r="A113" s="18" t="n"/>
      <c r="B113" s="19" t="n"/>
      <c r="C113" s="20" t="n"/>
      <c r="D113" s="20" t="n"/>
      <c r="E113" s="5" t="n"/>
      <c r="F113" s="21">
        <f>IF(A113="",F112,F112+IF(D113="Ingreso",E113,IF(D113="Egreso",-E113,0)))</f>
        <v/>
      </c>
      <c r="G113" s="19" t="n"/>
    </row>
    <row r="114">
      <c r="A114" s="18" t="n"/>
      <c r="B114" s="19" t="n"/>
      <c r="C114" s="20" t="n"/>
      <c r="D114" s="20" t="n"/>
      <c r="E114" s="5" t="n"/>
      <c r="F114" s="21">
        <f>IF(A114="",F113,F113+IF(D114="Ingreso",E114,IF(D114="Egreso",-E114,0)))</f>
        <v/>
      </c>
      <c r="G114" s="19" t="n"/>
    </row>
    <row r="115">
      <c r="A115" s="18" t="n"/>
      <c r="B115" s="19" t="n"/>
      <c r="C115" s="20" t="n"/>
      <c r="D115" s="20" t="n"/>
      <c r="E115" s="5" t="n"/>
      <c r="F115" s="21">
        <f>IF(A115="",F114,F114+IF(D115="Ingreso",E115,IF(D115="Egreso",-E115,0)))</f>
        <v/>
      </c>
      <c r="G115" s="19" t="n"/>
    </row>
    <row r="116">
      <c r="A116" s="18" t="n"/>
      <c r="B116" s="19" t="n"/>
      <c r="C116" s="20" t="n"/>
      <c r="D116" s="20" t="n"/>
      <c r="E116" s="5" t="n"/>
      <c r="F116" s="21">
        <f>IF(A116="",F115,F115+IF(D116="Ingreso",E116,IF(D116="Egreso",-E116,0)))</f>
        <v/>
      </c>
      <c r="G116" s="19" t="n"/>
    </row>
    <row r="117">
      <c r="A117" s="18" t="n"/>
      <c r="B117" s="19" t="n"/>
      <c r="C117" s="20" t="n"/>
      <c r="D117" s="20" t="n"/>
      <c r="E117" s="5" t="n"/>
      <c r="F117" s="21">
        <f>IF(A117="",F116,F116+IF(D117="Ingreso",E117,IF(D117="Egreso",-E117,0)))</f>
        <v/>
      </c>
      <c r="G117" s="19" t="n"/>
    </row>
    <row r="118">
      <c r="A118" s="18" t="n"/>
      <c r="B118" s="19" t="n"/>
      <c r="C118" s="20" t="n"/>
      <c r="D118" s="20" t="n"/>
      <c r="E118" s="5" t="n"/>
      <c r="F118" s="21">
        <f>IF(A118="",F117,F117+IF(D118="Ingreso",E118,IF(D118="Egreso",-E118,0)))</f>
        <v/>
      </c>
      <c r="G118" s="19" t="n"/>
    </row>
    <row r="119">
      <c r="A119" s="18" t="n"/>
      <c r="B119" s="19" t="n"/>
      <c r="C119" s="20" t="n"/>
      <c r="D119" s="20" t="n"/>
      <c r="E119" s="5" t="n"/>
      <c r="F119" s="21">
        <f>IF(A119="",F118,F118+IF(D119="Ingreso",E119,IF(D119="Egreso",-E119,0)))</f>
        <v/>
      </c>
      <c r="G119" s="19" t="n"/>
    </row>
    <row r="120">
      <c r="A120" s="18" t="n"/>
      <c r="B120" s="19" t="n"/>
      <c r="C120" s="20" t="n"/>
      <c r="D120" s="20" t="n"/>
      <c r="E120" s="5" t="n"/>
      <c r="F120" s="21">
        <f>IF(A120="",F119,F119+IF(D120="Ingreso",E120,IF(D120="Egreso",-E120,0)))</f>
        <v/>
      </c>
      <c r="G120" s="19" t="n"/>
    </row>
    <row r="121">
      <c r="A121" s="18" t="n"/>
      <c r="B121" s="19" t="n"/>
      <c r="C121" s="20" t="n"/>
      <c r="D121" s="20" t="n"/>
      <c r="E121" s="5" t="n"/>
      <c r="F121" s="21">
        <f>IF(A121="",F120,F120+IF(D121="Ingreso",E121,IF(D121="Egreso",-E121,0)))</f>
        <v/>
      </c>
      <c r="G121" s="19" t="n"/>
    </row>
    <row r="122">
      <c r="A122" s="18" t="n"/>
      <c r="B122" s="19" t="n"/>
      <c r="C122" s="20" t="n"/>
      <c r="D122" s="20" t="n"/>
      <c r="E122" s="5" t="n"/>
      <c r="F122" s="21">
        <f>IF(A122="",F121,F121+IF(D122="Ingreso",E122,IF(D122="Egreso",-E122,0)))</f>
        <v/>
      </c>
      <c r="G122" s="19" t="n"/>
    </row>
    <row r="123">
      <c r="A123" s="18" t="n"/>
      <c r="B123" s="19" t="n"/>
      <c r="C123" s="20" t="n"/>
      <c r="D123" s="20" t="n"/>
      <c r="E123" s="5" t="n"/>
      <c r="F123" s="21">
        <f>IF(A123="",F122,F122+IF(D123="Ingreso",E123,IF(D123="Egreso",-E123,0)))</f>
        <v/>
      </c>
      <c r="G123" s="19" t="n"/>
    </row>
    <row r="124">
      <c r="A124" s="18" t="n"/>
      <c r="B124" s="19" t="n"/>
      <c r="C124" s="20" t="n"/>
      <c r="D124" s="20" t="n"/>
      <c r="E124" s="5" t="n"/>
      <c r="F124" s="21">
        <f>IF(A124="",F123,F123+IF(D124="Ingreso",E124,IF(D124="Egreso",-E124,0)))</f>
        <v/>
      </c>
      <c r="G124" s="19" t="n"/>
    </row>
    <row r="125">
      <c r="A125" s="18" t="n"/>
      <c r="B125" s="19" t="n"/>
      <c r="C125" s="20" t="n"/>
      <c r="D125" s="20" t="n"/>
      <c r="E125" s="5" t="n"/>
      <c r="F125" s="21">
        <f>IF(A125="",F124,F124+IF(D125="Ingreso",E125,IF(D125="Egreso",-E125,0)))</f>
        <v/>
      </c>
      <c r="G125" s="19" t="n"/>
    </row>
    <row r="126">
      <c r="A126" s="18" t="n"/>
      <c r="B126" s="19" t="n"/>
      <c r="C126" s="20" t="n"/>
      <c r="D126" s="20" t="n"/>
      <c r="E126" s="5" t="n"/>
      <c r="F126" s="21">
        <f>IF(A126="",F125,F125+IF(D126="Ingreso",E126,IF(D126="Egreso",-E126,0)))</f>
        <v/>
      </c>
      <c r="G126" s="19" t="n"/>
    </row>
    <row r="127">
      <c r="A127" s="18" t="n"/>
      <c r="B127" s="19" t="n"/>
      <c r="C127" s="20" t="n"/>
      <c r="D127" s="20" t="n"/>
      <c r="E127" s="5" t="n"/>
      <c r="F127" s="21">
        <f>IF(A127="",F126,F126+IF(D127="Ingreso",E127,IF(D127="Egreso",-E127,0)))</f>
        <v/>
      </c>
      <c r="G127" s="19" t="n"/>
    </row>
    <row r="128">
      <c r="A128" s="18" t="n"/>
      <c r="B128" s="19" t="n"/>
      <c r="C128" s="20" t="n"/>
      <c r="D128" s="20" t="n"/>
      <c r="E128" s="5" t="n"/>
      <c r="F128" s="21">
        <f>IF(A128="",F127,F127+IF(D128="Ingreso",E128,IF(D128="Egreso",-E128,0)))</f>
        <v/>
      </c>
      <c r="G128" s="19" t="n"/>
    </row>
    <row r="129">
      <c r="A129" s="18" t="n"/>
      <c r="B129" s="19" t="n"/>
      <c r="C129" s="20" t="n"/>
      <c r="D129" s="20" t="n"/>
      <c r="E129" s="5" t="n"/>
      <c r="F129" s="21">
        <f>IF(A129="",F128,F128+IF(D129="Ingreso",E129,IF(D129="Egreso",-E129,0)))</f>
        <v/>
      </c>
      <c r="G129" s="19" t="n"/>
    </row>
    <row r="130">
      <c r="A130" s="18" t="n"/>
      <c r="B130" s="19" t="n"/>
      <c r="C130" s="20" t="n"/>
      <c r="D130" s="20" t="n"/>
      <c r="E130" s="5" t="n"/>
      <c r="F130" s="21">
        <f>IF(A130="",F129,F129+IF(D130="Ingreso",E130,IF(D130="Egreso",-E130,0)))</f>
        <v/>
      </c>
      <c r="G130" s="19" t="n"/>
    </row>
    <row r="131">
      <c r="A131" s="18" t="n"/>
      <c r="B131" s="19" t="n"/>
      <c r="C131" s="20" t="n"/>
      <c r="D131" s="20" t="n"/>
      <c r="E131" s="5" t="n"/>
      <c r="F131" s="21">
        <f>IF(A131="",F130,F130+IF(D131="Ingreso",E131,IF(D131="Egreso",-E131,0)))</f>
        <v/>
      </c>
      <c r="G131" s="19" t="n"/>
    </row>
    <row r="132">
      <c r="A132" s="18" t="n"/>
      <c r="B132" s="19" t="n"/>
      <c r="C132" s="20" t="n"/>
      <c r="D132" s="20" t="n"/>
      <c r="E132" s="5" t="n"/>
      <c r="F132" s="21">
        <f>IF(A132="",F131,F131+IF(D132="Ingreso",E132,IF(D132="Egreso",-E132,0)))</f>
        <v/>
      </c>
      <c r="G132" s="19" t="n"/>
    </row>
    <row r="133">
      <c r="A133" s="18" t="n"/>
      <c r="B133" s="19" t="n"/>
      <c r="C133" s="20" t="n"/>
      <c r="D133" s="20" t="n"/>
      <c r="E133" s="5" t="n"/>
      <c r="F133" s="21">
        <f>IF(A133="",F132,F132+IF(D133="Ingreso",E133,IF(D133="Egreso",-E133,0)))</f>
        <v/>
      </c>
      <c r="G133" s="19" t="n"/>
    </row>
    <row r="134">
      <c r="A134" s="18" t="n"/>
      <c r="B134" s="19" t="n"/>
      <c r="C134" s="20" t="n"/>
      <c r="D134" s="20" t="n"/>
      <c r="E134" s="5" t="n"/>
      <c r="F134" s="21">
        <f>IF(A134="",F133,F133+IF(D134="Ingreso",E134,IF(D134="Egreso",-E134,0)))</f>
        <v/>
      </c>
      <c r="G134" s="19" t="n"/>
    </row>
    <row r="135">
      <c r="A135" s="18" t="n"/>
      <c r="B135" s="19" t="n"/>
      <c r="C135" s="20" t="n"/>
      <c r="D135" s="20" t="n"/>
      <c r="E135" s="5" t="n"/>
      <c r="F135" s="21">
        <f>IF(A135="",F134,F134+IF(D135="Ingreso",E135,IF(D135="Egreso",-E135,0)))</f>
        <v/>
      </c>
      <c r="G135" s="19" t="n"/>
    </row>
    <row r="136">
      <c r="A136" s="18" t="n"/>
      <c r="B136" s="19" t="n"/>
      <c r="C136" s="20" t="n"/>
      <c r="D136" s="20" t="n"/>
      <c r="E136" s="5" t="n"/>
      <c r="F136" s="21">
        <f>IF(A136="",F135,F135+IF(D136="Ingreso",E136,IF(D136="Egreso",-E136,0)))</f>
        <v/>
      </c>
      <c r="G136" s="19" t="n"/>
    </row>
    <row r="137">
      <c r="A137" s="18" t="n"/>
      <c r="B137" s="19" t="n"/>
      <c r="C137" s="20" t="n"/>
      <c r="D137" s="20" t="n"/>
      <c r="E137" s="5" t="n"/>
      <c r="F137" s="21">
        <f>IF(A137="",F136,F136+IF(D137="Ingreso",E137,IF(D137="Egreso",-E137,0)))</f>
        <v/>
      </c>
      <c r="G137" s="19" t="n"/>
    </row>
    <row r="138">
      <c r="A138" s="18" t="n"/>
      <c r="B138" s="19" t="n"/>
      <c r="C138" s="20" t="n"/>
      <c r="D138" s="20" t="n"/>
      <c r="E138" s="5" t="n"/>
      <c r="F138" s="21">
        <f>IF(A138="",F137,F137+IF(D138="Ingreso",E138,IF(D138="Egreso",-E138,0)))</f>
        <v/>
      </c>
      <c r="G138" s="19" t="n"/>
    </row>
    <row r="139">
      <c r="A139" s="18" t="n"/>
      <c r="B139" s="19" t="n"/>
      <c r="C139" s="20" t="n"/>
      <c r="D139" s="20" t="n"/>
      <c r="E139" s="5" t="n"/>
      <c r="F139" s="21">
        <f>IF(A139="",F138,F138+IF(D139="Ingreso",E139,IF(D139="Egreso",-E139,0)))</f>
        <v/>
      </c>
      <c r="G139" s="19" t="n"/>
    </row>
    <row r="140">
      <c r="A140" s="18" t="n"/>
      <c r="B140" s="19" t="n"/>
      <c r="C140" s="20" t="n"/>
      <c r="D140" s="20" t="n"/>
      <c r="E140" s="5" t="n"/>
      <c r="F140" s="21">
        <f>IF(A140="",F139,F139+IF(D140="Ingreso",E140,IF(D140="Egreso",-E140,0)))</f>
        <v/>
      </c>
      <c r="G140" s="19" t="n"/>
    </row>
    <row r="141">
      <c r="A141" s="18" t="n"/>
      <c r="B141" s="19" t="n"/>
      <c r="C141" s="20" t="n"/>
      <c r="D141" s="20" t="n"/>
      <c r="E141" s="5" t="n"/>
      <c r="F141" s="21">
        <f>IF(A141="",F140,F140+IF(D141="Ingreso",E141,IF(D141="Egreso",-E141,0)))</f>
        <v/>
      </c>
      <c r="G141" s="19" t="n"/>
    </row>
    <row r="142">
      <c r="A142" s="18" t="n"/>
      <c r="B142" s="19" t="n"/>
      <c r="C142" s="20" t="n"/>
      <c r="D142" s="20" t="n"/>
      <c r="E142" s="5" t="n"/>
      <c r="F142" s="21">
        <f>IF(A142="",F141,F141+IF(D142="Ingreso",E142,IF(D142="Egreso",-E142,0)))</f>
        <v/>
      </c>
      <c r="G142" s="19" t="n"/>
    </row>
    <row r="143">
      <c r="A143" s="18" t="n"/>
      <c r="B143" s="19" t="n"/>
      <c r="C143" s="20" t="n"/>
      <c r="D143" s="20" t="n"/>
      <c r="E143" s="5" t="n"/>
      <c r="F143" s="21">
        <f>IF(A143="",F142,F142+IF(D143="Ingreso",E143,IF(D143="Egreso",-E143,0)))</f>
        <v/>
      </c>
      <c r="G143" s="19" t="n"/>
    </row>
    <row r="144">
      <c r="A144" s="18" t="n"/>
      <c r="B144" s="19" t="n"/>
      <c r="C144" s="20" t="n"/>
      <c r="D144" s="20" t="n"/>
      <c r="E144" s="5" t="n"/>
      <c r="F144" s="21">
        <f>IF(A144="",F143,F143+IF(D144="Ingreso",E144,IF(D144="Egreso",-E144,0)))</f>
        <v/>
      </c>
      <c r="G144" s="19" t="n"/>
    </row>
    <row r="145">
      <c r="A145" s="18" t="n"/>
      <c r="B145" s="19" t="n"/>
      <c r="C145" s="20" t="n"/>
      <c r="D145" s="20" t="n"/>
      <c r="E145" s="5" t="n"/>
      <c r="F145" s="21">
        <f>IF(A145="",F144,F144+IF(D145="Ingreso",E145,IF(D145="Egreso",-E145,0)))</f>
        <v/>
      </c>
      <c r="G145" s="19" t="n"/>
    </row>
    <row r="146">
      <c r="A146" s="18" t="n"/>
      <c r="B146" s="19" t="n"/>
      <c r="C146" s="20" t="n"/>
      <c r="D146" s="20" t="n"/>
      <c r="E146" s="5" t="n"/>
      <c r="F146" s="21">
        <f>IF(A146="",F145,F145+IF(D146="Ingreso",E146,IF(D146="Egreso",-E146,0)))</f>
        <v/>
      </c>
      <c r="G146" s="19" t="n"/>
    </row>
    <row r="147">
      <c r="A147" s="18" t="n"/>
      <c r="B147" s="19" t="n"/>
      <c r="C147" s="20" t="n"/>
      <c r="D147" s="20" t="n"/>
      <c r="E147" s="5" t="n"/>
      <c r="F147" s="21">
        <f>IF(A147="",F146,F146+IF(D147="Ingreso",E147,IF(D147="Egreso",-E147,0)))</f>
        <v/>
      </c>
      <c r="G147" s="19" t="n"/>
    </row>
    <row r="148">
      <c r="A148" s="18" t="n"/>
      <c r="B148" s="19" t="n"/>
      <c r="C148" s="20" t="n"/>
      <c r="D148" s="20" t="n"/>
      <c r="E148" s="5" t="n"/>
      <c r="F148" s="21">
        <f>IF(A148="",F147,F147+IF(D148="Ingreso",E148,IF(D148="Egreso",-E148,0)))</f>
        <v/>
      </c>
      <c r="G148" s="19" t="n"/>
    </row>
    <row r="149">
      <c r="A149" s="18" t="n"/>
      <c r="B149" s="19" t="n"/>
      <c r="C149" s="20" t="n"/>
      <c r="D149" s="20" t="n"/>
      <c r="E149" s="5" t="n"/>
      <c r="F149" s="21">
        <f>IF(A149="",F148,F148+IF(D149="Ingreso",E149,IF(D149="Egreso",-E149,0)))</f>
        <v/>
      </c>
      <c r="G149" s="19" t="n"/>
    </row>
    <row r="150">
      <c r="A150" s="18" t="n"/>
      <c r="B150" s="19" t="n"/>
      <c r="C150" s="20" t="n"/>
      <c r="D150" s="20" t="n"/>
      <c r="E150" s="5" t="n"/>
      <c r="F150" s="21">
        <f>IF(A150="",F149,F149+IF(D150="Ingreso",E150,IF(D150="Egreso",-E150,0)))</f>
        <v/>
      </c>
      <c r="G150" s="19" t="n"/>
    </row>
    <row r="151">
      <c r="A151" s="18" t="n"/>
      <c r="B151" s="19" t="n"/>
      <c r="C151" s="20" t="n"/>
      <c r="D151" s="20" t="n"/>
      <c r="E151" s="5" t="n"/>
      <c r="F151" s="21">
        <f>IF(A151="",F150,F150+IF(D151="Ingreso",E151,IF(D151="Egreso",-E151,0)))</f>
        <v/>
      </c>
      <c r="G151" s="19" t="n"/>
    </row>
    <row r="152">
      <c r="A152" s="18" t="n"/>
      <c r="B152" s="19" t="n"/>
      <c r="C152" s="20" t="n"/>
      <c r="D152" s="20" t="n"/>
      <c r="E152" s="5" t="n"/>
      <c r="F152" s="21">
        <f>IF(A152="",F151,F151+IF(D152="Ingreso",E152,IF(D152="Egreso",-E152,0)))</f>
        <v/>
      </c>
      <c r="G152" s="19" t="n"/>
    </row>
    <row r="153">
      <c r="A153" s="18" t="n"/>
      <c r="B153" s="19" t="n"/>
      <c r="C153" s="20" t="n"/>
      <c r="D153" s="20" t="n"/>
      <c r="E153" s="5" t="n"/>
      <c r="F153" s="21">
        <f>IF(A153="",F152,F152+IF(D153="Ingreso",E153,IF(D153="Egreso",-E153,0)))</f>
        <v/>
      </c>
      <c r="G153" s="19" t="n"/>
    </row>
    <row r="154">
      <c r="A154" s="18" t="n"/>
      <c r="B154" s="19" t="n"/>
      <c r="C154" s="20" t="n"/>
      <c r="D154" s="20" t="n"/>
      <c r="E154" s="5" t="n"/>
      <c r="F154" s="21">
        <f>IF(A154="",F153,F153+IF(D154="Ingreso",E154,IF(D154="Egreso",-E154,0)))</f>
        <v/>
      </c>
      <c r="G154" s="19" t="n"/>
    </row>
    <row r="155">
      <c r="A155" s="18" t="n"/>
      <c r="B155" s="19" t="n"/>
      <c r="C155" s="20" t="n"/>
      <c r="D155" s="20" t="n"/>
      <c r="E155" s="5" t="n"/>
      <c r="F155" s="21">
        <f>IF(A155="",F154,F154+IF(D155="Ingreso",E155,IF(D155="Egreso",-E155,0)))</f>
        <v/>
      </c>
      <c r="G155" s="19" t="n"/>
    </row>
    <row r="156">
      <c r="A156" s="18" t="n"/>
      <c r="B156" s="19" t="n"/>
      <c r="C156" s="20" t="n"/>
      <c r="D156" s="20" t="n"/>
      <c r="E156" s="5" t="n"/>
      <c r="F156" s="21">
        <f>IF(A156="",F155,F155+IF(D156="Ingreso",E156,IF(D156="Egreso",-E156,0)))</f>
        <v/>
      </c>
      <c r="G156" s="19" t="n"/>
    </row>
    <row r="157">
      <c r="A157" s="18" t="n"/>
      <c r="B157" s="19" t="n"/>
      <c r="C157" s="20" t="n"/>
      <c r="D157" s="20" t="n"/>
      <c r="E157" s="5" t="n"/>
      <c r="F157" s="21">
        <f>IF(A157="",F156,F156+IF(D157="Ingreso",E157,IF(D157="Egreso",-E157,0)))</f>
        <v/>
      </c>
      <c r="G157" s="19" t="n"/>
    </row>
    <row r="158">
      <c r="A158" s="18" t="n"/>
      <c r="B158" s="19" t="n"/>
      <c r="C158" s="20" t="n"/>
      <c r="D158" s="20" t="n"/>
      <c r="E158" s="5" t="n"/>
      <c r="F158" s="21">
        <f>IF(A158="",F157,F157+IF(D158="Ingreso",E158,IF(D158="Egreso",-E158,0)))</f>
        <v/>
      </c>
      <c r="G158" s="19" t="n"/>
    </row>
    <row r="159">
      <c r="A159" s="18" t="n"/>
      <c r="B159" s="19" t="n"/>
      <c r="C159" s="20" t="n"/>
      <c r="D159" s="20" t="n"/>
      <c r="E159" s="5" t="n"/>
      <c r="F159" s="21">
        <f>IF(A159="",F158,F158+IF(D159="Ingreso",E159,IF(D159="Egreso",-E159,0)))</f>
        <v/>
      </c>
      <c r="G159" s="19" t="n"/>
    </row>
    <row r="160">
      <c r="A160" s="18" t="n"/>
      <c r="B160" s="19" t="n"/>
      <c r="C160" s="20" t="n"/>
      <c r="D160" s="20" t="n"/>
      <c r="E160" s="5" t="n"/>
      <c r="F160" s="21">
        <f>IF(A160="",F159,F159+IF(D160="Ingreso",E160,IF(D160="Egreso",-E160,0)))</f>
        <v/>
      </c>
      <c r="G160" s="19" t="n"/>
    </row>
    <row r="161">
      <c r="A161" s="18" t="n"/>
      <c r="B161" s="19" t="n"/>
      <c r="C161" s="20" t="n"/>
      <c r="D161" s="20" t="n"/>
      <c r="E161" s="5" t="n"/>
      <c r="F161" s="21">
        <f>IF(A161="",F160,F160+IF(D161="Ingreso",E161,IF(D161="Egreso",-E161,0)))</f>
        <v/>
      </c>
      <c r="G161" s="19" t="n"/>
    </row>
    <row r="162">
      <c r="A162" s="18" t="n"/>
      <c r="B162" s="19" t="n"/>
      <c r="C162" s="20" t="n"/>
      <c r="D162" s="20" t="n"/>
      <c r="E162" s="5" t="n"/>
      <c r="F162" s="21">
        <f>IF(A162="",F161,F161+IF(D162="Ingreso",E162,IF(D162="Egreso",-E162,0)))</f>
        <v/>
      </c>
      <c r="G162" s="19" t="n"/>
    </row>
    <row r="163">
      <c r="A163" s="18" t="n"/>
      <c r="B163" s="19" t="n"/>
      <c r="C163" s="20" t="n"/>
      <c r="D163" s="20" t="n"/>
      <c r="E163" s="5" t="n"/>
      <c r="F163" s="21">
        <f>IF(A163="",F162,F162+IF(D163="Ingreso",E163,IF(D163="Egreso",-E163,0)))</f>
        <v/>
      </c>
      <c r="G163" s="19" t="n"/>
    </row>
    <row r="164">
      <c r="A164" s="18" t="n"/>
      <c r="B164" s="19" t="n"/>
      <c r="C164" s="20" t="n"/>
      <c r="D164" s="20" t="n"/>
      <c r="E164" s="5" t="n"/>
      <c r="F164" s="21">
        <f>IF(A164="",F163,F163+IF(D164="Ingreso",E164,IF(D164="Egreso",-E164,0)))</f>
        <v/>
      </c>
      <c r="G164" s="19" t="n"/>
    </row>
    <row r="165">
      <c r="A165" s="18" t="n"/>
      <c r="B165" s="19" t="n"/>
      <c r="C165" s="20" t="n"/>
      <c r="D165" s="20" t="n"/>
      <c r="E165" s="5" t="n"/>
      <c r="F165" s="21">
        <f>IF(A165="",F164,F164+IF(D165="Ingreso",E165,IF(D165="Egreso",-E165,0)))</f>
        <v/>
      </c>
      <c r="G165" s="19" t="n"/>
    </row>
    <row r="166">
      <c r="A166" s="18" t="n"/>
      <c r="B166" s="19" t="n"/>
      <c r="C166" s="20" t="n"/>
      <c r="D166" s="20" t="n"/>
      <c r="E166" s="5" t="n"/>
      <c r="F166" s="21">
        <f>IF(A166="",F165,F165+IF(D166="Ingreso",E166,IF(D166="Egreso",-E166,0)))</f>
        <v/>
      </c>
      <c r="G166" s="19" t="n"/>
    </row>
    <row r="167">
      <c r="A167" s="18" t="n"/>
      <c r="B167" s="19" t="n"/>
      <c r="C167" s="20" t="n"/>
      <c r="D167" s="20" t="n"/>
      <c r="E167" s="5" t="n"/>
      <c r="F167" s="21">
        <f>IF(A167="",F166,F166+IF(D167="Ingreso",E167,IF(D167="Egreso",-E167,0)))</f>
        <v/>
      </c>
      <c r="G167" s="19" t="n"/>
    </row>
    <row r="168">
      <c r="A168" s="18" t="n"/>
      <c r="B168" s="19" t="n"/>
      <c r="C168" s="20" t="n"/>
      <c r="D168" s="20" t="n"/>
      <c r="E168" s="5" t="n"/>
      <c r="F168" s="21">
        <f>IF(A168="",F167,F167+IF(D168="Ingreso",E168,IF(D168="Egreso",-E168,0)))</f>
        <v/>
      </c>
      <c r="G168" s="19" t="n"/>
    </row>
    <row r="169">
      <c r="A169" s="18" t="n"/>
      <c r="B169" s="19" t="n"/>
      <c r="C169" s="20" t="n"/>
      <c r="D169" s="20" t="n"/>
      <c r="E169" s="5" t="n"/>
      <c r="F169" s="21">
        <f>IF(A169="",F168,F168+IF(D169="Ingreso",E169,IF(D169="Egreso",-E169,0)))</f>
        <v/>
      </c>
      <c r="G169" s="19" t="n"/>
    </row>
    <row r="170">
      <c r="A170" s="18" t="n"/>
      <c r="B170" s="19" t="n"/>
      <c r="C170" s="20" t="n"/>
      <c r="D170" s="20" t="n"/>
      <c r="E170" s="5" t="n"/>
      <c r="F170" s="21">
        <f>IF(A170="",F169,F169+IF(D170="Ingreso",E170,IF(D170="Egreso",-E170,0)))</f>
        <v/>
      </c>
      <c r="G170" s="19" t="n"/>
    </row>
    <row r="171">
      <c r="A171" s="18" t="n"/>
      <c r="B171" s="19" t="n"/>
      <c r="C171" s="20" t="n"/>
      <c r="D171" s="20" t="n"/>
      <c r="E171" s="5" t="n"/>
      <c r="F171" s="21">
        <f>IF(A171="",F170,F170+IF(D171="Ingreso",E171,IF(D171="Egreso",-E171,0)))</f>
        <v/>
      </c>
      <c r="G171" s="19" t="n"/>
    </row>
    <row r="172">
      <c r="A172" s="18" t="n"/>
      <c r="B172" s="19" t="n"/>
      <c r="C172" s="20" t="n"/>
      <c r="D172" s="20" t="n"/>
      <c r="E172" s="5" t="n"/>
      <c r="F172" s="21">
        <f>IF(A172="",F171,F171+IF(D172="Ingreso",E172,IF(D172="Egreso",-E172,0)))</f>
        <v/>
      </c>
      <c r="G172" s="19" t="n"/>
    </row>
    <row r="173">
      <c r="A173" s="18" t="n"/>
      <c r="B173" s="19" t="n"/>
      <c r="C173" s="20" t="n"/>
      <c r="D173" s="20" t="n"/>
      <c r="E173" s="5" t="n"/>
      <c r="F173" s="21">
        <f>IF(A173="",F172,F172+IF(D173="Ingreso",E173,IF(D173="Egreso",-E173,0)))</f>
        <v/>
      </c>
      <c r="G173" s="19" t="n"/>
    </row>
    <row r="174">
      <c r="A174" s="18" t="n"/>
      <c r="B174" s="19" t="n"/>
      <c r="C174" s="20" t="n"/>
      <c r="D174" s="20" t="n"/>
      <c r="E174" s="5" t="n"/>
      <c r="F174" s="21">
        <f>IF(A174="",F173,F173+IF(D174="Ingreso",E174,IF(D174="Egreso",-E174,0)))</f>
        <v/>
      </c>
      <c r="G174" s="19" t="n"/>
    </row>
    <row r="175">
      <c r="A175" s="18" t="n"/>
      <c r="B175" s="19" t="n"/>
      <c r="C175" s="20" t="n"/>
      <c r="D175" s="20" t="n"/>
      <c r="E175" s="5" t="n"/>
      <c r="F175" s="21">
        <f>IF(A175="",F174,F174+IF(D175="Ingreso",E175,IF(D175="Egreso",-E175,0)))</f>
        <v/>
      </c>
      <c r="G175" s="19" t="n"/>
    </row>
    <row r="176">
      <c r="A176" s="18" t="n"/>
      <c r="B176" s="19" t="n"/>
      <c r="C176" s="20" t="n"/>
      <c r="D176" s="20" t="n"/>
      <c r="E176" s="5" t="n"/>
      <c r="F176" s="21">
        <f>IF(A176="",F175,F175+IF(D176="Ingreso",E176,IF(D176="Egreso",-E176,0)))</f>
        <v/>
      </c>
      <c r="G176" s="19" t="n"/>
    </row>
    <row r="177">
      <c r="A177" s="18" t="n"/>
      <c r="B177" s="19" t="n"/>
      <c r="C177" s="20" t="n"/>
      <c r="D177" s="20" t="n"/>
      <c r="E177" s="5" t="n"/>
      <c r="F177" s="21">
        <f>IF(A177="",F176,F176+IF(D177="Ingreso",E177,IF(D177="Egreso",-E177,0)))</f>
        <v/>
      </c>
      <c r="G177" s="19" t="n"/>
    </row>
    <row r="178">
      <c r="A178" s="18" t="n"/>
      <c r="B178" s="19" t="n"/>
      <c r="C178" s="20" t="n"/>
      <c r="D178" s="20" t="n"/>
      <c r="E178" s="5" t="n"/>
      <c r="F178" s="21">
        <f>IF(A178="",F177,F177+IF(D178="Ingreso",E178,IF(D178="Egreso",-E178,0)))</f>
        <v/>
      </c>
      <c r="G178" s="19" t="n"/>
    </row>
    <row r="179">
      <c r="A179" s="18" t="n"/>
      <c r="B179" s="19" t="n"/>
      <c r="C179" s="20" t="n"/>
      <c r="D179" s="20" t="n"/>
      <c r="E179" s="5" t="n"/>
      <c r="F179" s="21">
        <f>IF(A179="",F178,F178+IF(D179="Ingreso",E179,IF(D179="Egreso",-E179,0)))</f>
        <v/>
      </c>
      <c r="G179" s="19" t="n"/>
    </row>
    <row r="180">
      <c r="A180" s="18" t="n"/>
      <c r="B180" s="19" t="n"/>
      <c r="C180" s="20" t="n"/>
      <c r="D180" s="20" t="n"/>
      <c r="E180" s="5" t="n"/>
      <c r="F180" s="21">
        <f>IF(A180="",F179,F179+IF(D180="Ingreso",E180,IF(D180="Egreso",-E180,0)))</f>
        <v/>
      </c>
      <c r="G180" s="19" t="n"/>
    </row>
    <row r="181">
      <c r="A181" s="18" t="n"/>
      <c r="B181" s="19" t="n"/>
      <c r="C181" s="20" t="n"/>
      <c r="D181" s="20" t="n"/>
      <c r="E181" s="5" t="n"/>
      <c r="F181" s="21">
        <f>IF(A181="",F180,F180+IF(D181="Ingreso",E181,IF(D181="Egreso",-E181,0)))</f>
        <v/>
      </c>
      <c r="G181" s="19" t="n"/>
    </row>
    <row r="182">
      <c r="A182" s="18" t="n"/>
      <c r="B182" s="19" t="n"/>
      <c r="C182" s="20" t="n"/>
      <c r="D182" s="20" t="n"/>
      <c r="E182" s="5" t="n"/>
      <c r="F182" s="21">
        <f>IF(A182="",F181,F181+IF(D182="Ingreso",E182,IF(D182="Egreso",-E182,0)))</f>
        <v/>
      </c>
      <c r="G182" s="19" t="n"/>
    </row>
    <row r="183">
      <c r="A183" s="18" t="n"/>
      <c r="B183" s="19" t="n"/>
      <c r="C183" s="20" t="n"/>
      <c r="D183" s="20" t="n"/>
      <c r="E183" s="5" t="n"/>
      <c r="F183" s="21">
        <f>IF(A183="",F182,F182+IF(D183="Ingreso",E183,IF(D183="Egreso",-E183,0)))</f>
        <v/>
      </c>
      <c r="G183" s="19" t="n"/>
    </row>
    <row r="184">
      <c r="A184" s="18" t="n"/>
      <c r="B184" s="19" t="n"/>
      <c r="C184" s="20" t="n"/>
      <c r="D184" s="20" t="n"/>
      <c r="E184" s="5" t="n"/>
      <c r="F184" s="21">
        <f>IF(A184="",F183,F183+IF(D184="Ingreso",E184,IF(D184="Egreso",-E184,0)))</f>
        <v/>
      </c>
      <c r="G184" s="19" t="n"/>
    </row>
    <row r="185">
      <c r="A185" s="18" t="n"/>
      <c r="B185" s="19" t="n"/>
      <c r="C185" s="20" t="n"/>
      <c r="D185" s="20" t="n"/>
      <c r="E185" s="5" t="n"/>
      <c r="F185" s="21">
        <f>IF(A185="",F184,F184+IF(D185="Ingreso",E185,IF(D185="Egreso",-E185,0)))</f>
        <v/>
      </c>
      <c r="G185" s="19" t="n"/>
    </row>
    <row r="186">
      <c r="A186" s="18" t="n"/>
      <c r="B186" s="19" t="n"/>
      <c r="C186" s="20" t="n"/>
      <c r="D186" s="20" t="n"/>
      <c r="E186" s="5" t="n"/>
      <c r="F186" s="21">
        <f>IF(A186="",F185,F185+IF(D186="Ingreso",E186,IF(D186="Egreso",-E186,0)))</f>
        <v/>
      </c>
      <c r="G186" s="19" t="n"/>
    </row>
    <row r="187">
      <c r="A187" s="18" t="n"/>
      <c r="B187" s="19" t="n"/>
      <c r="C187" s="20" t="n"/>
      <c r="D187" s="20" t="n"/>
      <c r="E187" s="5" t="n"/>
      <c r="F187" s="21">
        <f>IF(A187="",F186,F186+IF(D187="Ingreso",E187,IF(D187="Egreso",-E187,0)))</f>
        <v/>
      </c>
      <c r="G187" s="19" t="n"/>
    </row>
    <row r="188">
      <c r="A188" s="18" t="n"/>
      <c r="B188" s="19" t="n"/>
      <c r="C188" s="20" t="n"/>
      <c r="D188" s="20" t="n"/>
      <c r="E188" s="5" t="n"/>
      <c r="F188" s="21">
        <f>IF(A188="",F187,F187+IF(D188="Ingreso",E188,IF(D188="Egreso",-E188,0)))</f>
        <v/>
      </c>
      <c r="G188" s="19" t="n"/>
    </row>
    <row r="189">
      <c r="A189" s="18" t="n"/>
      <c r="B189" s="19" t="n"/>
      <c r="C189" s="20" t="n"/>
      <c r="D189" s="20" t="n"/>
      <c r="E189" s="5" t="n"/>
      <c r="F189" s="21">
        <f>IF(A189="",F188,F188+IF(D189="Ingreso",E189,IF(D189="Egreso",-E189,0)))</f>
        <v/>
      </c>
      <c r="G189" s="19" t="n"/>
    </row>
    <row r="190">
      <c r="A190" s="18" t="n"/>
      <c r="B190" s="19" t="n"/>
      <c r="C190" s="20" t="n"/>
      <c r="D190" s="20" t="n"/>
      <c r="E190" s="5" t="n"/>
      <c r="F190" s="21">
        <f>IF(A190="",F189,F189+IF(D190="Ingreso",E190,IF(D190="Egreso",-E190,0)))</f>
        <v/>
      </c>
      <c r="G190" s="19" t="n"/>
    </row>
    <row r="191">
      <c r="A191" s="18" t="n"/>
      <c r="B191" s="19" t="n"/>
      <c r="C191" s="20" t="n"/>
      <c r="D191" s="20" t="n"/>
      <c r="E191" s="5" t="n"/>
      <c r="F191" s="21">
        <f>IF(A191="",F190,F190+IF(D191="Ingreso",E191,IF(D191="Egreso",-E191,0)))</f>
        <v/>
      </c>
      <c r="G191" s="19" t="n"/>
    </row>
    <row r="192">
      <c r="A192" s="18" t="n"/>
      <c r="B192" s="19" t="n"/>
      <c r="C192" s="20" t="n"/>
      <c r="D192" s="20" t="n"/>
      <c r="E192" s="5" t="n"/>
      <c r="F192" s="21">
        <f>IF(A192="",F191,F191+IF(D192="Ingreso",E192,IF(D192="Egreso",-E192,0)))</f>
        <v/>
      </c>
      <c r="G192" s="19" t="n"/>
    </row>
    <row r="193">
      <c r="A193" s="18" t="n"/>
      <c r="B193" s="19" t="n"/>
      <c r="C193" s="20" t="n"/>
      <c r="D193" s="20" t="n"/>
      <c r="E193" s="5" t="n"/>
      <c r="F193" s="21">
        <f>IF(A193="",F192,F192+IF(D193="Ingreso",E193,IF(D193="Egreso",-E193,0)))</f>
        <v/>
      </c>
      <c r="G193" s="19" t="n"/>
    </row>
    <row r="194">
      <c r="A194" s="18" t="n"/>
      <c r="B194" s="19" t="n"/>
      <c r="C194" s="20" t="n"/>
      <c r="D194" s="20" t="n"/>
      <c r="E194" s="5" t="n"/>
      <c r="F194" s="21">
        <f>IF(A194="",F193,F193+IF(D194="Ingreso",E194,IF(D194="Egreso",-E194,0)))</f>
        <v/>
      </c>
      <c r="G194" s="19" t="n"/>
    </row>
    <row r="195">
      <c r="A195" s="18" t="n"/>
      <c r="B195" s="19" t="n"/>
      <c r="C195" s="20" t="n"/>
      <c r="D195" s="20" t="n"/>
      <c r="E195" s="5" t="n"/>
      <c r="F195" s="21">
        <f>IF(A195="",F194,F194+IF(D195="Ingreso",E195,IF(D195="Egreso",-E195,0)))</f>
        <v/>
      </c>
      <c r="G195" s="19" t="n"/>
    </row>
    <row r="196">
      <c r="A196" s="18" t="n"/>
      <c r="B196" s="19" t="n"/>
      <c r="C196" s="20" t="n"/>
      <c r="D196" s="20" t="n"/>
      <c r="E196" s="5" t="n"/>
      <c r="F196" s="21">
        <f>IF(A196="",F195,F195+IF(D196="Ingreso",E196,IF(D196="Egreso",-E196,0)))</f>
        <v/>
      </c>
      <c r="G196" s="19" t="n"/>
    </row>
    <row r="197">
      <c r="A197" s="18" t="n"/>
      <c r="B197" s="19" t="n"/>
      <c r="C197" s="20" t="n"/>
      <c r="D197" s="20" t="n"/>
      <c r="E197" s="5" t="n"/>
      <c r="F197" s="21">
        <f>IF(A197="",F196,F196+IF(D197="Ingreso",E197,IF(D197="Egreso",-E197,0)))</f>
        <v/>
      </c>
      <c r="G197" s="19" t="n"/>
    </row>
    <row r="198">
      <c r="A198" s="18" t="n"/>
      <c r="B198" s="19" t="n"/>
      <c r="C198" s="20" t="n"/>
      <c r="D198" s="20" t="n"/>
      <c r="E198" s="5" t="n"/>
      <c r="F198" s="21">
        <f>IF(A198="",F197,F197+IF(D198="Ingreso",E198,IF(D198="Egreso",-E198,0)))</f>
        <v/>
      </c>
      <c r="G198" s="19" t="n"/>
    </row>
    <row r="199">
      <c r="A199" s="18" t="n"/>
      <c r="B199" s="19" t="n"/>
      <c r="C199" s="20" t="n"/>
      <c r="D199" s="20" t="n"/>
      <c r="E199" s="5" t="n"/>
      <c r="F199" s="21">
        <f>IF(A199="",F198,F198+IF(D199="Ingreso",E199,IF(D199="Egreso",-E199,0)))</f>
        <v/>
      </c>
      <c r="G199" s="19" t="n"/>
    </row>
    <row r="200">
      <c r="A200" s="18" t="n"/>
      <c r="B200" s="19" t="n"/>
      <c r="C200" s="20" t="n"/>
      <c r="D200" s="20" t="n"/>
      <c r="E200" s="5" t="n"/>
      <c r="F200" s="21">
        <f>IF(A200="",F199,F199+IF(D200="Ingreso",E200,IF(D200="Egreso",-E200,0)))</f>
        <v/>
      </c>
      <c r="G200" s="19" t="n"/>
    </row>
    <row r="201">
      <c r="A201" s="18" t="n"/>
      <c r="B201" s="19" t="n"/>
      <c r="C201" s="20" t="n"/>
      <c r="D201" s="20" t="n"/>
      <c r="E201" s="5" t="n"/>
      <c r="F201" s="21">
        <f>IF(A201="",F200,F200+IF(D201="Ingreso",E201,IF(D201="Egreso",-E201,0)))</f>
        <v/>
      </c>
      <c r="G201" s="19" t="n"/>
    </row>
    <row r="202">
      <c r="A202" s="18" t="n"/>
      <c r="B202" s="19" t="n"/>
      <c r="C202" s="20" t="n"/>
      <c r="D202" s="20" t="n"/>
      <c r="E202" s="5" t="n"/>
      <c r="F202" s="21">
        <f>IF(A202="",F201,F201+IF(D202="Ingreso",E202,IF(D202="Egreso",-E202,0)))</f>
        <v/>
      </c>
      <c r="G202" s="19" t="n"/>
    </row>
    <row r="203">
      <c r="A203" s="18" t="n"/>
      <c r="B203" s="19" t="n"/>
      <c r="C203" s="20" t="n"/>
      <c r="D203" s="20" t="n"/>
      <c r="E203" s="5" t="n"/>
      <c r="F203" s="21">
        <f>IF(A203="",F202,F202+IF(D203="Ingreso",E203,IF(D203="Egreso",-E203,0)))</f>
        <v/>
      </c>
      <c r="G203" s="1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2">
    <mergeCell ref="A2:G2"/>
    <mergeCell ref="A1:G1"/>
  </mergeCells>
  <conditionalFormatting sqref="F4:F203">
    <cfRule type="cellIs" priority="1" operator="lessThan" dxfId="0">
      <formula>0</formula>
    </cfRule>
  </conditionalFormatting>
  <conditionalFormatting sqref="D4:D203">
    <cfRule type="cellIs" priority="2" operator="equal" dxfId="1">
      <formula>"Ingreso"</formula>
    </cfRule>
    <cfRule type="cellIs" priority="3" operator="equal" dxfId="0">
      <formula>"Egreso"</formula>
    </cfRule>
  </conditionalFormatting>
  <dataValidations count="3">
    <dataValidation sqref="D4:D203" showDropDown="0" showInputMessage="0" showErrorMessage="0" allowBlank="1" promptTitle="Tipo" prompt="Ingreso = entrada, Egreso = salida" type="list">
      <formula1>"Ingreso,Egreso"</formula1>
    </dataValidation>
    <dataValidation sqref="C4:C203" showDropDown="0" showInputMessage="0" showErrorMessage="0" allowBlank="1" promptTitle="Categoria" prompt="Categoria del movimiento" type="list">
      <formula1>"Ventas,Servicios,Alquiler,Sueldos,Compras,Impuestos,Prestamos,Otros"</formula1>
    </dataValidation>
    <dataValidation sqref="E4:E203" showDropDown="0" showInputMessage="0" showErrorMessage="0" allowBlank="1" error="El monto no puede ser negativo" type="decimal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E44AD"/>
    <outlinePr summaryBelow="1" summaryRight="1"/>
    <pageSetUpPr/>
  </sheetPr>
  <dimension ref="A1:E4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5" customHeight="1">
      <c r="A1" s="15" t="inlineStr">
        <is>
          <t>HISTORIAL TIPO DE CAMBIO</t>
        </is>
      </c>
    </row>
    <row r="2">
      <c r="A2" s="16" t="inlineStr">
        <is>
          <t>Registra el tipo de cambio mensual Bs/USD para referencia.</t>
        </is>
      </c>
    </row>
    <row r="3" ht="28" customHeight="1">
      <c r="A3" s="17" t="inlineStr">
        <is>
          <t>MES</t>
        </is>
      </c>
      <c r="B3" s="17" t="inlineStr">
        <is>
          <t>COMPRA</t>
        </is>
      </c>
      <c r="C3" s="17" t="inlineStr">
        <is>
          <t>VENTA</t>
        </is>
      </c>
      <c r="D3" s="17" t="inlineStr">
        <is>
          <t>PROMEDIO</t>
        </is>
      </c>
      <c r="E3" s="17" t="inlineStr">
        <is>
          <t>VARIACION</t>
        </is>
      </c>
    </row>
    <row r="4">
      <c r="A4" s="13" t="inlineStr">
        <is>
          <t>Ene</t>
        </is>
      </c>
      <c r="B4" s="5" t="n">
        <v>6.86</v>
      </c>
      <c r="C4" s="5" t="n">
        <v>6.96</v>
      </c>
      <c r="D4" s="21">
        <f>IFERROR((B4+C4)/2,0)</f>
        <v/>
      </c>
      <c r="E4" s="22">
        <f>0</f>
        <v/>
      </c>
    </row>
    <row r="5">
      <c r="A5" s="13" t="inlineStr">
        <is>
          <t>Feb</t>
        </is>
      </c>
      <c r="B5" s="5" t="n">
        <v>6.86</v>
      </c>
      <c r="C5" s="5" t="n">
        <v>6.96</v>
      </c>
      <c r="D5" s="21">
        <f>IFERROR((B5+C5)/2,0)</f>
        <v/>
      </c>
      <c r="E5" s="22">
        <f>IFERROR((D5-D4)/D4,0)</f>
        <v/>
      </c>
    </row>
    <row r="6">
      <c r="A6" s="13" t="inlineStr">
        <is>
          <t>Mar</t>
        </is>
      </c>
      <c r="B6" s="5" t="n">
        <v>6.86</v>
      </c>
      <c r="C6" s="5" t="n">
        <v>6.96</v>
      </c>
      <c r="D6" s="21">
        <f>IFERROR((B6+C6)/2,0)</f>
        <v/>
      </c>
      <c r="E6" s="22">
        <f>IFERROR((D6-D5)/D5,0)</f>
        <v/>
      </c>
    </row>
    <row r="7">
      <c r="A7" s="13" t="inlineStr">
        <is>
          <t>Abr</t>
        </is>
      </c>
      <c r="B7" s="5" t="n">
        <v>6.86</v>
      </c>
      <c r="C7" s="5" t="n">
        <v>6.96</v>
      </c>
      <c r="D7" s="21">
        <f>IFERROR((B7+C7)/2,0)</f>
        <v/>
      </c>
      <c r="E7" s="22">
        <f>IFERROR((D7-D6)/D6,0)</f>
        <v/>
      </c>
    </row>
    <row r="8">
      <c r="A8" s="13" t="inlineStr">
        <is>
          <t>May</t>
        </is>
      </c>
      <c r="B8" s="5" t="n">
        <v>6.86</v>
      </c>
      <c r="C8" s="5" t="n">
        <v>6.96</v>
      </c>
      <c r="D8" s="21">
        <f>IFERROR((B8+C8)/2,0)</f>
        <v/>
      </c>
      <c r="E8" s="22">
        <f>IFERROR((D8-D7)/D7,0)</f>
        <v/>
      </c>
    </row>
    <row r="9">
      <c r="A9" s="13" t="inlineStr">
        <is>
          <t>Jun</t>
        </is>
      </c>
      <c r="B9" s="5" t="n">
        <v>6.86</v>
      </c>
      <c r="C9" s="5" t="n">
        <v>6.96</v>
      </c>
      <c r="D9" s="21">
        <f>IFERROR((B9+C9)/2,0)</f>
        <v/>
      </c>
      <c r="E9" s="22">
        <f>IFERROR((D9-D8)/D8,0)</f>
        <v/>
      </c>
    </row>
    <row r="10">
      <c r="A10" s="13" t="inlineStr">
        <is>
          <t>Jul</t>
        </is>
      </c>
      <c r="B10" s="5" t="n">
        <v>6.86</v>
      </c>
      <c r="C10" s="5" t="n">
        <v>6.96</v>
      </c>
      <c r="D10" s="21">
        <f>IFERROR((B10+C10)/2,0)</f>
        <v/>
      </c>
      <c r="E10" s="22">
        <f>IFERROR((D10-D9)/D9,0)</f>
        <v/>
      </c>
    </row>
    <row r="11">
      <c r="A11" s="13" t="inlineStr">
        <is>
          <t>Ago</t>
        </is>
      </c>
      <c r="B11" s="5" t="n">
        <v>6.86</v>
      </c>
      <c r="C11" s="5" t="n">
        <v>6.96</v>
      </c>
      <c r="D11" s="21">
        <f>IFERROR((B11+C11)/2,0)</f>
        <v/>
      </c>
      <c r="E11" s="22">
        <f>IFERROR((D11-D10)/D10,0)</f>
        <v/>
      </c>
    </row>
    <row r="12">
      <c r="A12" s="13" t="inlineStr">
        <is>
          <t>Sep</t>
        </is>
      </c>
      <c r="B12" s="5" t="n">
        <v>6.86</v>
      </c>
      <c r="C12" s="5" t="n">
        <v>6.96</v>
      </c>
      <c r="D12" s="21">
        <f>IFERROR((B12+C12)/2,0)</f>
        <v/>
      </c>
      <c r="E12" s="22">
        <f>IFERROR((D12-D11)/D11,0)</f>
        <v/>
      </c>
    </row>
    <row r="13">
      <c r="A13" s="13" t="inlineStr">
        <is>
          <t>Oct</t>
        </is>
      </c>
      <c r="B13" s="5" t="n">
        <v>6.86</v>
      </c>
      <c r="C13" s="5" t="n">
        <v>6.96</v>
      </c>
      <c r="D13" s="21">
        <f>IFERROR((B13+C13)/2,0)</f>
        <v/>
      </c>
      <c r="E13" s="22">
        <f>IFERROR((D13-D12)/D12,0)</f>
        <v/>
      </c>
    </row>
    <row r="14">
      <c r="A14" s="13" t="inlineStr">
        <is>
          <t>Nov</t>
        </is>
      </c>
      <c r="B14" s="5" t="n">
        <v>6.86</v>
      </c>
      <c r="C14" s="5" t="n">
        <v>6.96</v>
      </c>
      <c r="D14" s="21">
        <f>IFERROR((B14+C14)/2,0)</f>
        <v/>
      </c>
      <c r="E14" s="22">
        <f>IFERROR((D14-D13)/D13,0)</f>
        <v/>
      </c>
    </row>
    <row r="15">
      <c r="A15" s="13" t="inlineStr">
        <is>
          <t>Dic</t>
        </is>
      </c>
      <c r="B15" s="5" t="n">
        <v>6.86</v>
      </c>
      <c r="C15" s="5" t="n">
        <v>6.96</v>
      </c>
      <c r="D15" s="21">
        <f>IFERROR((B15+C15)/2,0)</f>
        <v/>
      </c>
      <c r="E15" s="22">
        <f>IFERROR((D15-D14)/D14,0)</f>
        <v/>
      </c>
    </row>
    <row r="16">
      <c r="A16" s="1" t="n"/>
      <c r="B16" s="1" t="n"/>
      <c r="C16" s="1" t="n"/>
      <c r="D16" s="1" t="n"/>
      <c r="E16" s="1" t="n"/>
    </row>
    <row r="17">
      <c r="A17" s="1" t="n"/>
      <c r="B17" s="1" t="n"/>
      <c r="C17" s="1" t="n"/>
      <c r="D17" s="1" t="n"/>
      <c r="E17" s="1" t="n"/>
    </row>
    <row r="18">
      <c r="A18" s="1" t="n"/>
      <c r="B18" s="1" t="n"/>
      <c r="C18" s="1" t="n"/>
      <c r="D18" s="1" t="n"/>
      <c r="E18" s="1" t="n"/>
    </row>
    <row r="19">
      <c r="A19" s="1" t="n"/>
      <c r="B19" s="1" t="n"/>
      <c r="C19" s="1" t="n"/>
      <c r="D19" s="1" t="n"/>
      <c r="E19" s="1" t="n"/>
    </row>
    <row r="20">
      <c r="A20" s="1" t="n"/>
      <c r="B20" s="1" t="n"/>
      <c r="C20" s="1" t="n"/>
      <c r="D20" s="1" t="n"/>
      <c r="E20" s="1" t="n"/>
    </row>
    <row r="21">
      <c r="A21" s="1" t="n"/>
      <c r="B21" s="1" t="n"/>
      <c r="C21" s="1" t="n"/>
      <c r="D21" s="1" t="n"/>
      <c r="E21" s="1" t="n"/>
    </row>
    <row r="22">
      <c r="A22" s="1" t="n"/>
      <c r="B22" s="1" t="n"/>
      <c r="C22" s="1" t="n"/>
      <c r="D22" s="1" t="n"/>
      <c r="E22" s="1" t="n"/>
    </row>
    <row r="23">
      <c r="A23" s="1" t="n"/>
      <c r="B23" s="1" t="n"/>
      <c r="C23" s="1" t="n"/>
      <c r="D23" s="1" t="n"/>
      <c r="E23" s="1" t="n"/>
    </row>
    <row r="24">
      <c r="A24" s="1" t="n"/>
      <c r="B24" s="1" t="n"/>
      <c r="C24" s="1" t="n"/>
      <c r="D24" s="1" t="n"/>
      <c r="E24" s="1" t="n"/>
    </row>
    <row r="25">
      <c r="A25" s="1" t="n"/>
      <c r="B25" s="1" t="n"/>
      <c r="C25" s="1" t="n"/>
      <c r="D25" s="1" t="n"/>
      <c r="E25" s="1" t="n"/>
    </row>
    <row r="26">
      <c r="A26" s="1" t="n"/>
      <c r="B26" s="1" t="n"/>
      <c r="C26" s="1" t="n"/>
      <c r="D26" s="1" t="n"/>
      <c r="E26" s="1" t="n"/>
    </row>
    <row r="27">
      <c r="A27" s="1" t="n"/>
      <c r="B27" s="1" t="n"/>
      <c r="C27" s="1" t="n"/>
      <c r="D27" s="1" t="n"/>
      <c r="E27" s="1" t="n"/>
    </row>
    <row r="28">
      <c r="A28" s="1" t="n"/>
      <c r="B28" s="1" t="n"/>
      <c r="C28" s="1" t="n"/>
      <c r="D28" s="1" t="n"/>
      <c r="E28" s="1" t="n"/>
    </row>
    <row r="29">
      <c r="A29" s="1" t="n"/>
      <c r="B29" s="1" t="n"/>
      <c r="C29" s="1" t="n"/>
      <c r="D29" s="1" t="n"/>
      <c r="E29" s="1" t="n"/>
    </row>
    <row r="30">
      <c r="A30" s="1" t="n"/>
      <c r="B30" s="1" t="n"/>
      <c r="C30" s="1" t="n"/>
      <c r="D30" s="1" t="n"/>
      <c r="E30" s="1" t="n"/>
    </row>
    <row r="31">
      <c r="A31" s="1" t="n"/>
      <c r="B31" s="1" t="n"/>
      <c r="C31" s="1" t="n"/>
      <c r="D31" s="1" t="n"/>
      <c r="E31" s="1" t="n"/>
    </row>
    <row r="32">
      <c r="A32" s="1" t="n"/>
      <c r="B32" s="1" t="n"/>
      <c r="C32" s="1" t="n"/>
      <c r="D32" s="1" t="n"/>
      <c r="E32" s="1" t="n"/>
    </row>
    <row r="33">
      <c r="A33" s="1" t="n"/>
      <c r="B33" s="1" t="n"/>
      <c r="C33" s="1" t="n"/>
      <c r="D33" s="1" t="n"/>
      <c r="E33" s="1" t="n"/>
    </row>
    <row r="34">
      <c r="A34" s="1" t="n"/>
      <c r="B34" s="1" t="n"/>
      <c r="C34" s="1" t="n"/>
      <c r="D34" s="1" t="n"/>
      <c r="E34" s="1" t="n"/>
    </row>
    <row r="35">
      <c r="A35" s="1" t="n"/>
      <c r="B35" s="1" t="n"/>
      <c r="C35" s="1" t="n"/>
      <c r="D35" s="1" t="n"/>
      <c r="E35" s="1" t="n"/>
    </row>
    <row r="36">
      <c r="A36" s="1" t="n"/>
      <c r="B36" s="1" t="n"/>
      <c r="C36" s="1" t="n"/>
      <c r="D36" s="1" t="n"/>
      <c r="E36" s="1" t="n"/>
    </row>
    <row r="37">
      <c r="A37" s="1" t="n"/>
      <c r="B37" s="1" t="n"/>
      <c r="C37" s="1" t="n"/>
      <c r="D37" s="1" t="n"/>
      <c r="E37" s="1" t="n"/>
    </row>
    <row r="38">
      <c r="A38" s="1" t="n"/>
      <c r="B38" s="1" t="n"/>
      <c r="C38" s="1" t="n"/>
      <c r="D38" s="1" t="n"/>
      <c r="E38" s="1" t="n"/>
    </row>
    <row r="39">
      <c r="A39" s="1" t="n"/>
      <c r="B39" s="1" t="n"/>
      <c r="C39" s="1" t="n"/>
      <c r="D39" s="1" t="n"/>
      <c r="E39" s="1" t="n"/>
    </row>
    <row r="40">
      <c r="A40" s="1" t="n"/>
      <c r="B40" s="1" t="n"/>
      <c r="C40" s="1" t="n"/>
      <c r="D40" s="1" t="n"/>
      <c r="E40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498DB"/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16" customWidth="1" min="4" max="4"/>
    <col width="16" customWidth="1" min="5" max="5"/>
  </cols>
  <sheetData>
    <row r="1" ht="35" customHeight="1">
      <c r="A1" s="1" t="n"/>
      <c r="B1" s="15" t="inlineStr">
        <is>
          <t>PROYECCION DE FLUJO DE CAJA</t>
        </is>
      </c>
    </row>
    <row r="2">
      <c r="A2" s="1" t="n"/>
      <c r="B2" s="16" t="inlineStr">
        <is>
          <t>Ingresa tus estimaciones de ingresos y egresos para los proximos meses.</t>
        </is>
      </c>
    </row>
    <row r="3">
      <c r="A3" s="1" t="n"/>
      <c r="B3" s="1" t="n"/>
      <c r="C3" s="1" t="n"/>
      <c r="D3" s="1" t="n"/>
      <c r="E3" s="1" t="n"/>
    </row>
    <row r="4" ht="28" customHeight="1">
      <c r="A4" s="1" t="n"/>
      <c r="B4" s="17" t="inlineStr">
        <is>
          <t>MES</t>
        </is>
      </c>
      <c r="C4" s="17" t="inlineStr">
        <is>
          <t>INGRESOS PROY. (Bs.)</t>
        </is>
      </c>
      <c r="D4" s="17" t="inlineStr">
        <is>
          <t>EGRESOS PROY. (Bs.)</t>
        </is>
      </c>
      <c r="E4" s="17" t="inlineStr">
        <is>
          <t>SALDO PROY.</t>
        </is>
      </c>
    </row>
    <row r="5">
      <c r="A5" s="1" t="n"/>
      <c r="B5" s="13" t="inlineStr">
        <is>
          <t>Ene</t>
        </is>
      </c>
      <c r="C5" s="5" t="n"/>
      <c r="D5" s="5" t="n"/>
      <c r="E5" s="23">
        <f>C5-D5</f>
        <v/>
      </c>
    </row>
    <row r="6">
      <c r="A6" s="1" t="n"/>
      <c r="B6" s="13" t="inlineStr">
        <is>
          <t>Feb</t>
        </is>
      </c>
      <c r="C6" s="5" t="n"/>
      <c r="D6" s="5" t="n"/>
      <c r="E6" s="23">
        <f>E5+C6-D6</f>
        <v/>
      </c>
    </row>
    <row r="7">
      <c r="A7" s="1" t="n"/>
      <c r="B7" s="13" t="inlineStr">
        <is>
          <t>Mar</t>
        </is>
      </c>
      <c r="C7" s="5" t="n"/>
      <c r="D7" s="5" t="n"/>
      <c r="E7" s="23">
        <f>E6+C7-D7</f>
        <v/>
      </c>
    </row>
    <row r="8">
      <c r="A8" s="1" t="n"/>
      <c r="B8" s="13" t="inlineStr">
        <is>
          <t>Abr</t>
        </is>
      </c>
      <c r="C8" s="5" t="n"/>
      <c r="D8" s="5" t="n"/>
      <c r="E8" s="23">
        <f>E7+C8-D8</f>
        <v/>
      </c>
    </row>
    <row r="9">
      <c r="A9" s="1" t="n"/>
      <c r="B9" s="13" t="inlineStr">
        <is>
          <t>May</t>
        </is>
      </c>
      <c r="C9" s="5" t="n"/>
      <c r="D9" s="5" t="n"/>
      <c r="E9" s="23">
        <f>E8+C9-D9</f>
        <v/>
      </c>
    </row>
    <row r="10">
      <c r="A10" s="1" t="n"/>
      <c r="B10" s="13" t="inlineStr">
        <is>
          <t>Jun</t>
        </is>
      </c>
      <c r="C10" s="5" t="n"/>
      <c r="D10" s="5" t="n"/>
      <c r="E10" s="23">
        <f>E9+C10-D10</f>
        <v/>
      </c>
    </row>
    <row r="11">
      <c r="A11" s="1" t="n"/>
      <c r="B11" s="13" t="inlineStr">
        <is>
          <t>Jul</t>
        </is>
      </c>
      <c r="C11" s="5" t="n"/>
      <c r="D11" s="5" t="n"/>
      <c r="E11" s="23">
        <f>E10+C11-D11</f>
        <v/>
      </c>
    </row>
    <row r="12">
      <c r="A12" s="1" t="n"/>
      <c r="B12" s="13" t="inlineStr">
        <is>
          <t>Ago</t>
        </is>
      </c>
      <c r="C12" s="5" t="n"/>
      <c r="D12" s="5" t="n"/>
      <c r="E12" s="23">
        <f>E11+C12-D12</f>
        <v/>
      </c>
    </row>
    <row r="13">
      <c r="A13" s="1" t="n"/>
      <c r="B13" s="13" t="inlineStr">
        <is>
          <t>Sep</t>
        </is>
      </c>
      <c r="C13" s="5" t="n"/>
      <c r="D13" s="5" t="n"/>
      <c r="E13" s="23">
        <f>E12+C13-D13</f>
        <v/>
      </c>
    </row>
    <row r="14">
      <c r="A14" s="1" t="n"/>
      <c r="B14" s="13" t="inlineStr">
        <is>
          <t>Oct</t>
        </is>
      </c>
      <c r="C14" s="5" t="n"/>
      <c r="D14" s="5" t="n"/>
      <c r="E14" s="23">
        <f>E13+C14-D14</f>
        <v/>
      </c>
    </row>
    <row r="15">
      <c r="A15" s="1" t="n"/>
      <c r="B15" s="13" t="inlineStr">
        <is>
          <t>Nov</t>
        </is>
      </c>
      <c r="C15" s="5" t="n"/>
      <c r="D15" s="5" t="n"/>
      <c r="E15" s="23">
        <f>E14+C15-D15</f>
        <v/>
      </c>
    </row>
    <row r="16">
      <c r="A16" s="1" t="n"/>
      <c r="B16" s="13" t="inlineStr">
        <is>
          <t>Dic</t>
        </is>
      </c>
      <c r="C16" s="5" t="n"/>
      <c r="D16" s="5" t="n"/>
      <c r="E16" s="23">
        <f>E15+C16-D16</f>
        <v/>
      </c>
    </row>
    <row r="17">
      <c r="A17" s="1" t="n"/>
      <c r="B17" s="1" t="n"/>
      <c r="C17" s="1" t="n"/>
      <c r="D17" s="1" t="n"/>
      <c r="E17" s="1" t="n"/>
    </row>
    <row r="18">
      <c r="A18" s="1" t="n"/>
      <c r="B18" s="1" t="n"/>
      <c r="C18" s="1" t="n"/>
      <c r="D18" s="1" t="n"/>
      <c r="E18" s="1" t="n"/>
    </row>
    <row r="19">
      <c r="A19" s="1" t="n"/>
      <c r="B19" s="1" t="n"/>
      <c r="C19" s="1" t="n"/>
      <c r="D19" s="1" t="n"/>
      <c r="E19" s="1" t="n"/>
    </row>
    <row r="20">
      <c r="A20" s="1" t="n"/>
      <c r="B20" s="1" t="n"/>
      <c r="C20" s="1" t="n"/>
      <c r="D20" s="1" t="n"/>
      <c r="E20" s="1" t="n"/>
    </row>
    <row r="21">
      <c r="A21" s="1" t="n"/>
      <c r="B21" s="1" t="n"/>
      <c r="C21" s="1" t="n"/>
      <c r="D21" s="1" t="n"/>
      <c r="E21" s="1" t="n"/>
    </row>
    <row r="22">
      <c r="A22" s="1" t="n"/>
      <c r="B22" s="1" t="n"/>
      <c r="C22" s="1" t="n"/>
      <c r="D22" s="1" t="n"/>
      <c r="E22" s="1" t="n"/>
    </row>
    <row r="23">
      <c r="A23" s="1" t="n"/>
      <c r="B23" s="1" t="n"/>
      <c r="C23" s="1" t="n"/>
      <c r="D23" s="1" t="n"/>
      <c r="E23" s="1" t="n"/>
    </row>
    <row r="24">
      <c r="A24" s="1" t="n"/>
      <c r="B24" s="1" t="n"/>
      <c r="C24" s="1" t="n"/>
      <c r="D24" s="1" t="n"/>
      <c r="E24" s="1" t="n"/>
    </row>
    <row r="25">
      <c r="A25" s="1" t="n"/>
      <c r="B25" s="1" t="n"/>
      <c r="C25" s="1" t="n"/>
      <c r="D25" s="1" t="n"/>
      <c r="E25" s="1" t="n"/>
    </row>
    <row r="26">
      <c r="A26" s="1" t="n"/>
      <c r="B26" s="1" t="n"/>
      <c r="C26" s="1" t="n"/>
      <c r="D26" s="1" t="n"/>
      <c r="E26" s="1" t="n"/>
    </row>
    <row r="27">
      <c r="A27" s="1" t="n"/>
      <c r="B27" s="1" t="n"/>
      <c r="C27" s="1" t="n"/>
      <c r="D27" s="1" t="n"/>
      <c r="E27" s="1" t="n"/>
    </row>
    <row r="28">
      <c r="A28" s="1" t="n"/>
      <c r="B28" s="1" t="n"/>
      <c r="C28" s="1" t="n"/>
      <c r="D28" s="1" t="n"/>
      <c r="E28" s="1" t="n"/>
    </row>
    <row r="29">
      <c r="A29" s="1" t="n"/>
      <c r="B29" s="1" t="n"/>
      <c r="C29" s="1" t="n"/>
      <c r="D29" s="1" t="n"/>
      <c r="E29" s="1" t="n"/>
    </row>
    <row r="30">
      <c r="A30" s="1" t="n"/>
      <c r="B30" s="1" t="n"/>
      <c r="C30" s="1" t="n"/>
      <c r="D30" s="1" t="n"/>
      <c r="E30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2">
    <mergeCell ref="B1:E1"/>
    <mergeCell ref="B2:E2"/>
  </mergeCells>
  <conditionalFormatting sqref="E5:E16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B7280"/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24" t="inlineStr">
        <is>
          <t>v1.0.0</t>
        </is>
      </c>
      <c r="B1" s="1" t="n"/>
      <c r="C1" s="1" t="n"/>
    </row>
    <row r="2">
      <c r="A2" s="1" t="n"/>
      <c r="B2" s="1" t="n"/>
      <c r="C2" s="1" t="n"/>
    </row>
    <row r="3">
      <c r="A3" s="25" t="inlineStr">
        <is>
          <t>CONFIGURACION</t>
        </is>
      </c>
      <c r="C3" s="1" t="n"/>
    </row>
    <row r="4">
      <c r="A4" s="1" t="n"/>
      <c r="B4" s="1" t="n"/>
      <c r="C4" s="1" t="n"/>
    </row>
    <row r="5">
      <c r="A5" s="4" t="inlineStr">
        <is>
          <t>Producto</t>
        </is>
      </c>
      <c r="B5" s="26" t="inlineStr">
        <is>
          <t>Flujo de Caja Dual Bs/USD</t>
        </is>
      </c>
      <c r="C5" s="1" t="n"/>
    </row>
    <row r="6">
      <c r="A6" s="4" t="inlineStr">
        <is>
          <t>Version</t>
        </is>
      </c>
      <c r="B6" s="26" t="inlineStr">
        <is>
          <t>v1.0.0</t>
        </is>
      </c>
      <c r="C6" s="1" t="n"/>
    </row>
    <row r="7">
      <c r="A7" s="4" t="inlineStr">
        <is>
          <t>Marca</t>
        </is>
      </c>
      <c r="B7" s="26" t="inlineStr">
        <is>
          <t>No Somos Ignorantes</t>
        </is>
      </c>
      <c r="C7" s="1" t="n"/>
    </row>
    <row r="8">
      <c r="A8" s="4" t="inlineStr">
        <is>
          <t>Precio</t>
        </is>
      </c>
      <c r="B8" s="26" t="inlineStr">
        <is>
          <t>Bs. 99</t>
        </is>
      </c>
      <c r="C8" s="1" t="n"/>
    </row>
    <row r="9">
      <c r="A9" s="4" t="inlineStr">
        <is>
          <t>Proteccion</t>
        </is>
      </c>
      <c r="B9" s="26" t="inlineStr">
        <is>
          <t>nsi2024</t>
        </is>
      </c>
      <c r="C9" s="1" t="n"/>
    </row>
    <row r="10">
      <c r="A10" s="4" t="inlineStr"/>
      <c r="B10" s="26" t="inlineStr"/>
      <c r="C10" s="1" t="n"/>
    </row>
    <row r="11">
      <c r="A11" s="4" t="inlineStr">
        <is>
          <t>INSTRUCCIONES</t>
        </is>
      </c>
      <c r="B11" s="26" t="inlineStr"/>
      <c r="C11" s="1" t="n"/>
    </row>
    <row r="12">
      <c r="A12" s="4" t="inlineStr">
        <is>
          <t>1.</t>
        </is>
      </c>
      <c r="B12" s="26" t="inlineStr">
        <is>
          <t>Ingresa el tipo de cambio actual en el Dashboard (celda D4).</t>
        </is>
      </c>
      <c r="C12" s="1" t="n"/>
    </row>
    <row r="13">
      <c r="A13" s="4" t="inlineStr">
        <is>
          <t>2.</t>
        </is>
      </c>
      <c r="B13" s="26" t="inlineStr">
        <is>
          <t>En 'Flujo_BOB', registra ingresos/egresos en Bolivianos.</t>
        </is>
      </c>
      <c r="C13" s="1" t="n"/>
    </row>
    <row r="14">
      <c r="A14" s="4" t="inlineStr">
        <is>
          <t>3.</t>
        </is>
      </c>
      <c r="B14" s="26" t="inlineStr">
        <is>
          <t>En 'Flujo_USD', registra ingresos/egresos en Dolares.</t>
        </is>
      </c>
      <c r="C14" s="1" t="n"/>
    </row>
    <row r="15">
      <c r="A15" s="4" t="inlineStr">
        <is>
          <t>4.</t>
        </is>
      </c>
      <c r="B15" s="26" t="inlineStr">
        <is>
          <t>El Dashboard combina ambas monedas automaticamente.</t>
        </is>
      </c>
      <c r="C15" s="1" t="n"/>
    </row>
    <row r="16">
      <c r="A16" s="4" t="inlineStr">
        <is>
          <t>5.</t>
        </is>
      </c>
      <c r="B16" s="26" t="inlineStr">
        <is>
          <t>En 'TipoCambio', registra el TC mensual de referencia.</t>
        </is>
      </c>
      <c r="C16" s="1" t="n"/>
    </row>
    <row r="17">
      <c r="A17" s="4" t="inlineStr">
        <is>
          <t>6.</t>
        </is>
      </c>
      <c r="B17" s="26" t="inlineStr">
        <is>
          <t>En 'Proyeccion', estima flujos futuros.</t>
        </is>
      </c>
      <c r="C17" s="1" t="n"/>
    </row>
    <row r="18">
      <c r="A18" s="4" t="inlineStr">
        <is>
          <t>7.</t>
        </is>
      </c>
      <c r="B18" s="26" t="inlineStr">
        <is>
          <t>Para desbloquear: Revisar -&gt; Desproteger hoja -&gt; nsi2024</t>
        </is>
      </c>
      <c r="C18" s="1" t="n"/>
    </row>
    <row r="19">
      <c r="A19" s="1" t="n"/>
      <c r="B19" s="1" t="n"/>
      <c r="C19" s="1" t="n"/>
    </row>
    <row r="20">
      <c r="A20" s="1" t="n"/>
      <c r="B20" s="1" t="n"/>
      <c r="C20" s="1" t="n"/>
    </row>
    <row r="21">
      <c r="A21" s="1" t="n"/>
      <c r="B21" s="1" t="n"/>
      <c r="C21" s="1" t="n"/>
    </row>
    <row r="22">
      <c r="A22" s="1" t="n"/>
      <c r="B22" s="1" t="n"/>
      <c r="C22" s="1" t="n"/>
    </row>
    <row r="23">
      <c r="A23" s="1" t="n"/>
      <c r="B23" s="1" t="n"/>
      <c r="C23" s="1" t="n"/>
    </row>
    <row r="24">
      <c r="A24" s="1" t="n"/>
      <c r="B24" s="1" t="n"/>
      <c r="C24" s="1" t="n"/>
    </row>
    <row r="25">
      <c r="A25" s="1" t="n"/>
      <c r="B25" s="1" t="n"/>
      <c r="C25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1"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2026-02-06T13:29:10Z</dcterms:created>
  <dcterms:modified xmlns:dcterms="http://purl.org/dc/terms/" xmlns:xsi="http://www.w3.org/2001/XMLSchema-instance" xsi:type="dcterms:W3CDTF">2026-02-06T13:29:12Z</dcterms:modified>
</cp:coreProperties>
</file>