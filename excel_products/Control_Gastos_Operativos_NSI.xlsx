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astos" sheetId="2" state="visible" r:id="rId2"/>
    <sheet xmlns:r="http://schemas.openxmlformats.org/officeDocument/2006/relationships" name="Presupuesto" sheetId="3" state="visible" r:id="rId3"/>
    <sheet xmlns:r="http://schemas.openxmlformats.org/officeDocument/2006/relationships" name="Tendencias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25">
    <font>
      <name val="Calibri"/>
      <family val="2"/>
      <color theme="1"/>
      <sz val="11"/>
      <scheme val="minor"/>
    </font>
    <font>
      <name val="Calibri"/>
      <b val="1"/>
      <color rgb="00000000"/>
      <sz val="20"/>
    </font>
    <font>
      <name val="Calibri"/>
      <color rgb="006B7280"/>
      <sz val="10"/>
    </font>
    <font>
      <name val="Calibri"/>
      <b val="1"/>
      <color rgb="00374151"/>
      <sz val="10"/>
    </font>
    <font>
      <name val="Calibri"/>
      <color rgb="000000FF"/>
      <sz val="11"/>
    </font>
    <font>
      <name val="Calibri"/>
      <b val="1"/>
      <color rgb="00FFFFFF"/>
      <sz val="10"/>
    </font>
    <font>
      <name val="Calibri"/>
      <b val="1"/>
      <color rgb="00000000"/>
      <sz val="26"/>
    </font>
    <font>
      <name val="Calibri"/>
      <color rgb="00808080"/>
      <sz val="9"/>
    </font>
    <font>
      <name val="Calibri"/>
      <color rgb="00374151"/>
      <sz val="11"/>
    </font>
    <font>
      <name val="Calibri"/>
      <b val="1"/>
      <color rgb="00000000"/>
      <sz val="14"/>
    </font>
    <font>
      <name val="Calibri"/>
      <b val="1"/>
      <color rgb="00000000"/>
      <sz val="16"/>
    </font>
    <font>
      <name val="Calibri"/>
      <b val="1"/>
      <color rgb="00374151"/>
      <sz val="11"/>
    </font>
    <font>
      <name val="Calibri"/>
      <color rgb="00374151"/>
      <sz val="10"/>
    </font>
    <font>
      <name val="Calibri"/>
      <color rgb="00BDC3C7"/>
      <sz val="10"/>
    </font>
    <font>
      <name val="Calibri"/>
      <color rgb="00374151"/>
      <sz val="9"/>
    </font>
    <font>
      <name val="Calibri"/>
      <i val="1"/>
      <color rgb="006B7280"/>
      <sz val="10"/>
    </font>
    <font>
      <name val="Calibri"/>
      <b val="1"/>
      <color rgb="00D4AF37"/>
      <sz val="10"/>
    </font>
    <font>
      <name val="Calibri"/>
      <b val="1"/>
      <color rgb="000F3460"/>
      <sz val="11"/>
    </font>
    <font>
      <name val="Calibri"/>
      <b val="1"/>
      <color rgb="00FFFFFF"/>
      <sz val="11"/>
    </font>
    <font>
      <name val="Calibri"/>
      <b val="1"/>
      <color rgb="00D4AF37"/>
      <sz val="9"/>
    </font>
    <font>
      <name val="Calibri"/>
      <b val="1"/>
      <color rgb="00111827"/>
      <sz val="11"/>
    </font>
    <font>
      <name val="Calibri"/>
      <b val="1"/>
      <color rgb="00000000"/>
      <sz val="10"/>
    </font>
    <font>
      <name val="Calibri"/>
      <color rgb="00111827"/>
      <sz val="11"/>
    </font>
    <font>
      <name val="Calibri"/>
      <color rgb="009CA3AF"/>
      <sz val="9"/>
    </font>
    <font>
      <name val="Calibri"/>
      <color rgb="004B5563"/>
      <sz val="10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74C3C"/>
      </patternFill>
    </fill>
    <fill>
      <patternFill patternType="solid">
        <fgColor rgb="0016A085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374151"/>
      </patternFill>
    </fill>
    <fill>
      <patternFill patternType="solid">
        <fgColor rgb="001A1A2E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2" borderId="0" pivotButton="0" quotePrefix="0" xfId="0"/>
    <xf numFmtId="0" fontId="4" fillId="3" borderId="1" applyAlignment="1" applyProtection="1" pivotButton="0" quotePrefix="0" xfId="0">
      <alignment horizontal="center" vertical="center"/>
      <protection locked="0" hidden="0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4" fontId="6" fillId="2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3" fontId="8" fillId="2" borderId="0" pivotButton="0" quotePrefix="0" xfId="0"/>
    <xf numFmtId="4" fontId="9" fillId="2" borderId="0" pivotButton="0" quotePrefix="0" xfId="0"/>
    <xf numFmtId="164" fontId="9" fillId="2" borderId="0" pivotButton="0" quotePrefix="0" xfId="0"/>
    <xf numFmtId="0" fontId="5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2" borderId="0" pivotButton="0" quotePrefix="0" xfId="0"/>
    <xf numFmtId="0" fontId="5" fillId="8" borderId="2" applyAlignment="1" pivotButton="0" quotePrefix="0" xfId="0">
      <alignment horizontal="center" vertical="center" wrapText="1"/>
    </xf>
    <xf numFmtId="0" fontId="12" fillId="2" borderId="2" pivotButton="0" quotePrefix="0" xfId="0"/>
    <xf numFmtId="4" fontId="12" fillId="2" borderId="2" pivotButton="0" quotePrefix="0" xfId="0"/>
    <xf numFmtId="4" fontId="13" fillId="2" borderId="2" pivotButton="0" quotePrefix="0" xfId="0"/>
    <xf numFmtId="0" fontId="14" fillId="2" borderId="2" pivotButton="0" quotePrefix="0" xfId="0"/>
    <xf numFmtId="4" fontId="14" fillId="2" borderId="2" pivotButton="0" quotePrefix="0" xfId="0"/>
    <xf numFmtId="0" fontId="10" fillId="2" borderId="0" applyAlignment="1" pivotButton="0" quotePrefix="0" xfId="0">
      <alignment horizontal="left" vertical="center"/>
    </xf>
    <xf numFmtId="0" fontId="15" fillId="2" borderId="0" pivotButton="0" quotePrefix="0" xfId="0"/>
    <xf numFmtId="0" fontId="16" fillId="9" borderId="2" applyAlignment="1" pivotButton="0" quotePrefix="0" xfId="0">
      <alignment horizontal="center" vertical="center" wrapText="1"/>
    </xf>
    <xf numFmtId="165" fontId="4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left" vertical="center"/>
      <protection locked="0" hidden="0"/>
    </xf>
    <xf numFmtId="4" fontId="4" fillId="3" borderId="1" applyAlignment="1" applyProtection="1" pivotButton="0" quotePrefix="0" xfId="0">
      <alignment horizontal="center" vertical="center"/>
      <protection locked="0" hidden="0"/>
    </xf>
    <xf numFmtId="0" fontId="17" fillId="2" borderId="0" pivotButton="0" quotePrefix="0" xfId="0"/>
    <xf numFmtId="0" fontId="18" fillId="5" borderId="2" applyAlignment="1" pivotButton="0" quotePrefix="0" xfId="0">
      <alignment horizontal="center" vertical="center"/>
    </xf>
    <xf numFmtId="0" fontId="19" fillId="9" borderId="2" applyAlignment="1" pivotButton="0" quotePrefix="0" xfId="0">
      <alignment horizontal="center" vertical="center" wrapText="1"/>
    </xf>
    <xf numFmtId="3" fontId="4" fillId="3" borderId="1" applyAlignment="1" applyProtection="1" pivotButton="0" quotePrefix="0" xfId="0">
      <alignment horizontal="center" vertical="center"/>
      <protection locked="0" hidden="0"/>
    </xf>
    <xf numFmtId="3" fontId="20" fillId="10" borderId="2" applyAlignment="1" pivotButton="0" quotePrefix="0" xfId="0">
      <alignment horizontal="right" vertical="center"/>
    </xf>
    <xf numFmtId="0" fontId="21" fillId="2" borderId="2" pivotButton="0" quotePrefix="0" xfId="0"/>
    <xf numFmtId="0" fontId="18" fillId="4" borderId="2" applyAlignment="1" pivotButton="0" quotePrefix="0" xfId="0">
      <alignment horizontal="center" vertical="center"/>
    </xf>
    <xf numFmtId="3" fontId="12" fillId="2" borderId="2" pivotButton="0" quotePrefix="0" xfId="0"/>
    <xf numFmtId="3" fontId="22" fillId="10" borderId="2" applyAlignment="1" pivotButton="0" quotePrefix="0" xfId="0">
      <alignment horizontal="right" vertical="center"/>
    </xf>
    <xf numFmtId="0" fontId="18" fillId="6" borderId="2" applyAlignment="1" pivotButton="0" quotePrefix="0" xfId="0">
      <alignment horizontal="center" vertical="center"/>
    </xf>
    <xf numFmtId="3" fontId="3" fillId="2" borderId="2" pivotButton="0" quotePrefix="0" xfId="0"/>
    <xf numFmtId="0" fontId="23" fillId="2" borderId="0" pivotButton="0" quotePrefix="0" xfId="0"/>
    <xf numFmtId="0" fontId="9" fillId="2" borderId="0" applyAlignment="1" pivotButton="0" quotePrefix="0" xfId="0">
      <alignment horizontal="left" vertical="center"/>
    </xf>
    <xf numFmtId="0" fontId="24" fillId="2" borderId="0" pivotButton="0" quotePrefix="0" xfId="0"/>
  </cellXfs>
  <cellStyles count="1">
    <cellStyle name="Normal" xfId="0" builtinId="0" hidden="0"/>
  </cellStyles>
  <dxfs count="2">
    <dxf>
      <font>
        <b val="1"/>
        <color rgb="00E74C3C"/>
      </font>
      <fill>
        <patternFill patternType="solid">
          <fgColor rgb="00FEE2E2"/>
        </patternFill>
      </fill>
    </dxf>
    <dxf>
      <font>
        <color rgb="0027AE60"/>
      </font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Mensuales: Real vs Presupuesto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'Dashboard'!C15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'Dashboard'!$B$16:$B$27</f>
            </numRef>
          </cat>
          <val>
            <numRef>
              <f>'Dashboard'!$C$16:$C$27</f>
            </numRef>
          </val>
        </ser>
        <ser>
          <idx val="1"/>
          <order val="1"/>
          <tx>
            <strRef>
              <f>'Dashboard'!D15</f>
            </strRef>
          </tx>
          <spPr>
            <a:solidFill xmlns:a="http://schemas.openxmlformats.org/drawingml/2006/main">
              <a:srgbClr val="BDC3C7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'Dashboard'!$B$16:$B$27</f>
            </numRef>
          </cat>
          <val>
            <numRef>
              <f>'Dashboard'!$D$16:$D$27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Bs.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'Dashboard'!G15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6A08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ABC9C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F39C12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9B59B6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BDC3C7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34495E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'Dashboard'!$F$16:$F$27</f>
            </numRef>
          </cat>
          <val>
            <numRef>
              <f>'Dashboard'!$G$16:$G$27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Mensual - Top Categorias</a:t>
            </a:r>
          </a:p>
        </rich>
      </tx>
    </title>
    <plotArea>
      <lineChart>
        <grouping val="standard"/>
        <ser>
          <idx val="0"/>
          <order val="0"/>
          <tx>
            <v>Alquiler</v>
          </tx>
          <spPr>
            <a:ln xmlns:a="http://schemas.openxmlformats.org/drawingml/2006/main" w="25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'Tendencias'!$C$4:$N$4</f>
            </numRef>
          </cat>
          <val>
            <numRef>
              <f>'Tendencias'!$C$5:$N$5</f>
            </numRef>
          </val>
        </ser>
        <ser>
          <idx val="1"/>
          <order val="1"/>
          <tx>
            <v>Servicios (luz/agua/gas)</v>
          </tx>
          <spPr>
            <a:ln xmlns:a="http://schemas.openxmlformats.org/drawingml/2006/main" w="25000">
              <a:solidFill>
                <a:srgbClr val="16A08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'Tendencias'!$C$4:$N$4</f>
            </numRef>
          </cat>
          <val>
            <numRef>
              <f>'Tendencias'!$C$6:$N$6</f>
            </numRef>
          </val>
        </ser>
        <ser>
          <idx val="2"/>
          <order val="2"/>
          <tx>
            <v>Internet/Telefono</v>
          </tx>
          <spPr>
            <a:ln xmlns:a="http://schemas.openxmlformats.org/drawingml/2006/main" w="25000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'Tendencias'!$C$4:$N$4</f>
            </numRef>
          </cat>
          <val>
            <numRef>
              <f>'Tendencias'!$C$7:$N$7</f>
            </numRef>
          </val>
        </ser>
        <ser>
          <idx val="3"/>
          <order val="3"/>
          <tx>
            <v>Sueldos y Salarios</v>
          </tx>
          <spPr>
            <a:ln xmlns:a="http://schemas.openxmlformats.org/drawingml/2006/main" w="25000">
              <a:solidFill>
                <a:srgbClr val="8E44A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'Tendencias'!$C$4:$N$4</f>
            </numRef>
          </cat>
          <val>
            <numRef>
              <f>'Tendencias'!$C$8:$N$8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Bs.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28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28</row>
      <rowOff>0</rowOff>
    </from>
    <ext cx="648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17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I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3" customWidth="1" min="5" max="5"/>
    <col width="22" customWidth="1" min="6" max="6"/>
    <col width="16" customWidth="1" min="7" max="7"/>
    <col width="16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CONTROL DE GASTOS OPERATIVOS</t>
        </is>
      </c>
      <c r="I2" s="1" t="n"/>
    </row>
    <row r="3">
      <c r="A3" s="1" t="n"/>
      <c r="B3" s="3" t="inlineStr">
        <is>
          <t>No Somos Ignorantes  |  v1.0  |  Resumen del periodo actual</t>
        </is>
      </c>
      <c r="I3" s="1" t="n"/>
    </row>
    <row r="4">
      <c r="A4" s="1" t="n"/>
      <c r="B4" s="4" t="inlineStr">
        <is>
          <t>Ano:</t>
        </is>
      </c>
      <c r="C4" s="5" t="n">
        <v>2025</v>
      </c>
      <c r="D4" s="1" t="n"/>
      <c r="E4" s="1" t="n"/>
      <c r="F4" s="1" t="n"/>
      <c r="G4" s="1" t="n"/>
      <c r="H4" s="1" t="n"/>
      <c r="I4" s="1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6" t="inlineStr">
        <is>
          <t>GASTOS DEL MES ACTUAL (Bs.)</t>
        </is>
      </c>
      <c r="E6" s="1" t="n"/>
      <c r="F6" s="7" t="inlineStr">
        <is>
          <t>GASTOS ACUMULADOS ANO (Bs.)</t>
        </is>
      </c>
      <c r="I6" s="1" t="n"/>
    </row>
    <row r="7">
      <c r="A7" s="1" t="n"/>
      <c r="B7" s="8">
        <f>IFERROR(SUMPRODUCT((MONTH(Gastos!A4:A503)=MONTH(TODAY()))*(YEAR(Gastos!A4:A503)=YEAR(TODAY()))*Gastos!D4:D503),0)</f>
        <v/>
      </c>
      <c r="E7" s="1" t="n"/>
      <c r="F7" s="8">
        <f>IFERROR(SUMPRODUCT((YEAR(Gastos!A4:A503)=C4)*Gastos!D4:D503),0)</f>
        <v/>
      </c>
      <c r="I7" s="1" t="n"/>
    </row>
    <row r="8">
      <c r="A8" s="1" t="n"/>
      <c r="B8" s="9" t="inlineStr">
        <is>
          <t>Presupuesto mes:</t>
        </is>
      </c>
      <c r="C8" s="10">
        <f>IFERROR(INDEX(Presupuesto!C18:N18,1,MONTH(TODAY())),0)</f>
        <v/>
      </c>
      <c r="D8" s="1" t="n"/>
      <c r="E8" s="1" t="n"/>
      <c r="F8" s="9" t="inlineStr">
        <is>
          <t>Presupuesto anual:</t>
        </is>
      </c>
      <c r="G8" s="10">
        <f>IFERROR(Presupuesto!O18,0)</f>
        <v/>
      </c>
      <c r="H8" s="1" t="n"/>
      <c r="I8" s="1" t="n"/>
    </row>
    <row r="9">
      <c r="A9" s="1" t="n"/>
      <c r="B9" s="9" t="inlineStr">
        <is>
          <t>Desviacion:</t>
        </is>
      </c>
      <c r="C9" s="11">
        <f>IFERROR(B7-C8,0)</f>
        <v/>
      </c>
      <c r="E9" s="1" t="n"/>
      <c r="F9" s="9" t="inlineStr">
        <is>
          <t>% ejecutado:</t>
        </is>
      </c>
      <c r="G9" s="12">
        <f>IFERROR(F7/G8,0)</f>
        <v/>
      </c>
      <c r="I9" s="1" t="n"/>
    </row>
    <row r="10" ht="6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>
      <c r="A11" s="1" t="n"/>
      <c r="B11" s="13" t="inlineStr">
        <is>
          <t>PROMEDIO MENSUAL (Bs.)</t>
        </is>
      </c>
      <c r="E11" s="1" t="n"/>
      <c r="F11" s="14" t="inlineStr">
        <is>
          <t>CATEGORIA MAYOR GASTO</t>
        </is>
      </c>
      <c r="I11" s="1" t="n"/>
    </row>
    <row r="12">
      <c r="A12" s="1" t="n"/>
      <c r="B12" s="8">
        <f>IFERROR(F7/MONTH(TODAY()),0)</f>
        <v/>
      </c>
      <c r="E12" s="1" t="n"/>
      <c r="F12" s="15">
        <f>IFERROR(INDEX(Gastos!C4:C503,MATCH(MAX(Gastos!D4:D503),Gastos!D4:D503,0)),"--")</f>
        <v/>
      </c>
      <c r="I12" s="1" t="n"/>
    </row>
    <row r="13" ht="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1" t="n"/>
      <c r="B14" s="16" t="inlineStr">
        <is>
          <t>TENDENCIA MENSUAL</t>
        </is>
      </c>
      <c r="C14" s="1" t="n"/>
      <c r="D14" s="1" t="n"/>
      <c r="E14" s="1" t="n"/>
      <c r="F14" s="16" t="inlineStr">
        <is>
          <t>GASTOS POR CATEGORIA</t>
        </is>
      </c>
      <c r="G14" s="1" t="n"/>
      <c r="H14" s="1" t="n"/>
      <c r="I14" s="1" t="n"/>
    </row>
    <row r="15">
      <c r="A15" s="1" t="n"/>
      <c r="B15" s="17" t="inlineStr">
        <is>
          <t>Mes</t>
        </is>
      </c>
      <c r="C15" s="17" t="inlineStr">
        <is>
          <t>Gasto Real</t>
        </is>
      </c>
      <c r="D15" s="17" t="inlineStr">
        <is>
          <t>Presupuesto</t>
        </is>
      </c>
      <c r="E15" s="1" t="n"/>
      <c r="F15" s="17" t="inlineStr">
        <is>
          <t>Categoria</t>
        </is>
      </c>
      <c r="G15" s="17" t="inlineStr">
        <is>
          <t>Total (Bs.)</t>
        </is>
      </c>
      <c r="H15" s="1" t="n"/>
      <c r="I15" s="1" t="n"/>
    </row>
    <row r="16">
      <c r="A16" s="1" t="n"/>
      <c r="B16" s="18" t="inlineStr">
        <is>
          <t>Ene</t>
        </is>
      </c>
      <c r="C16" s="19">
        <f>IFERROR(SUMPRODUCT((MONTH(Gastos!A4:A503)=1)*(YEAR(Gastos!A4:A503)=C4)*Gastos!D4:D503),0)</f>
        <v/>
      </c>
      <c r="D16" s="20">
        <f>IFERROR(Presupuesto!C18,0)</f>
        <v/>
      </c>
      <c r="E16" s="1" t="n"/>
      <c r="F16" s="21" t="inlineStr">
        <is>
          <t>Alquiler</t>
        </is>
      </c>
      <c r="G16" s="22">
        <f>IFERROR(SUMPRODUCT((Gastos!C4:C503=F16)*(YEAR(Gastos!A4:A503)=C4)*Gastos!D4:D503),0)</f>
        <v/>
      </c>
      <c r="H16" s="1" t="n"/>
      <c r="I16" s="1" t="n"/>
    </row>
    <row r="17">
      <c r="A17" s="1" t="n"/>
      <c r="B17" s="18" t="inlineStr">
        <is>
          <t>Feb</t>
        </is>
      </c>
      <c r="C17" s="19">
        <f>IFERROR(SUMPRODUCT((MONTH(Gastos!A4:A503)=2)*(YEAR(Gastos!A4:A503)=C4)*Gastos!D4:D503),0)</f>
        <v/>
      </c>
      <c r="D17" s="20">
        <f>IFERROR(Presupuesto!D18,0)</f>
        <v/>
      </c>
      <c r="E17" s="1" t="n"/>
      <c r="F17" s="21" t="inlineStr">
        <is>
          <t>Servicios (luz/agua/gas)</t>
        </is>
      </c>
      <c r="G17" s="22">
        <f>IFERROR(SUMPRODUCT((Gastos!C4:C503=F17)*(YEAR(Gastos!A4:A503)=C4)*Gastos!D4:D503),0)</f>
        <v/>
      </c>
      <c r="H17" s="1" t="n"/>
      <c r="I17" s="1" t="n"/>
    </row>
    <row r="18">
      <c r="A18" s="1" t="n"/>
      <c r="B18" s="18" t="inlineStr">
        <is>
          <t>Mar</t>
        </is>
      </c>
      <c r="C18" s="19">
        <f>IFERROR(SUMPRODUCT((MONTH(Gastos!A4:A503)=3)*(YEAR(Gastos!A4:A503)=C4)*Gastos!D4:D503),0)</f>
        <v/>
      </c>
      <c r="D18" s="20">
        <f>IFERROR(Presupuesto!E18,0)</f>
        <v/>
      </c>
      <c r="E18" s="1" t="n"/>
      <c r="F18" s="21" t="inlineStr">
        <is>
          <t>Internet/Telefono</t>
        </is>
      </c>
      <c r="G18" s="22">
        <f>IFERROR(SUMPRODUCT((Gastos!C4:C503=F18)*(YEAR(Gastos!A4:A503)=C4)*Gastos!D4:D503),0)</f>
        <v/>
      </c>
      <c r="H18" s="1" t="n"/>
      <c r="I18" s="1" t="n"/>
    </row>
    <row r="19">
      <c r="A19" s="1" t="n"/>
      <c r="B19" s="18" t="inlineStr">
        <is>
          <t>Abr</t>
        </is>
      </c>
      <c r="C19" s="19">
        <f>IFERROR(SUMPRODUCT((MONTH(Gastos!A4:A503)=4)*(YEAR(Gastos!A4:A503)=C4)*Gastos!D4:D503),0)</f>
        <v/>
      </c>
      <c r="D19" s="20">
        <f>IFERROR(Presupuesto!F18,0)</f>
        <v/>
      </c>
      <c r="E19" s="1" t="n"/>
      <c r="F19" s="21" t="inlineStr">
        <is>
          <t>Sueldos y Salarios</t>
        </is>
      </c>
      <c r="G19" s="22">
        <f>IFERROR(SUMPRODUCT((Gastos!C4:C503=F19)*(YEAR(Gastos!A4:A503)=C4)*Gastos!D4:D503),0)</f>
        <v/>
      </c>
      <c r="H19" s="1" t="n"/>
      <c r="I19" s="1" t="n"/>
    </row>
    <row r="20">
      <c r="A20" s="1" t="n"/>
      <c r="B20" s="18" t="inlineStr">
        <is>
          <t>May</t>
        </is>
      </c>
      <c r="C20" s="19">
        <f>IFERROR(SUMPRODUCT((MONTH(Gastos!A4:A503)=5)*(YEAR(Gastos!A4:A503)=C4)*Gastos!D4:D503),0)</f>
        <v/>
      </c>
      <c r="D20" s="20">
        <f>IFERROR(Presupuesto!G18,0)</f>
        <v/>
      </c>
      <c r="E20" s="1" t="n"/>
      <c r="F20" s="21" t="inlineStr">
        <is>
          <t>Seguro Social</t>
        </is>
      </c>
      <c r="G20" s="22">
        <f>IFERROR(SUMPRODUCT((Gastos!C4:C503=F20)*(YEAR(Gastos!A4:A503)=C4)*Gastos!D4:D503),0)</f>
        <v/>
      </c>
      <c r="H20" s="1" t="n"/>
      <c r="I20" s="1" t="n"/>
    </row>
    <row r="21">
      <c r="A21" s="1" t="n"/>
      <c r="B21" s="18" t="inlineStr">
        <is>
          <t>Jun</t>
        </is>
      </c>
      <c r="C21" s="19">
        <f>IFERROR(SUMPRODUCT((MONTH(Gastos!A4:A503)=6)*(YEAR(Gastos!A4:A503)=C4)*Gastos!D4:D503),0)</f>
        <v/>
      </c>
      <c r="D21" s="20">
        <f>IFERROR(Presupuesto!H18,0)</f>
        <v/>
      </c>
      <c r="E21" s="1" t="n"/>
      <c r="F21" s="21" t="inlineStr">
        <is>
          <t>Material de Oficina</t>
        </is>
      </c>
      <c r="G21" s="22">
        <f>IFERROR(SUMPRODUCT((Gastos!C4:C503=F21)*(YEAR(Gastos!A4:A503)=C4)*Gastos!D4:D503),0)</f>
        <v/>
      </c>
      <c r="H21" s="1" t="n"/>
      <c r="I21" s="1" t="n"/>
    </row>
    <row r="22">
      <c r="A22" s="1" t="n"/>
      <c r="B22" s="18" t="inlineStr">
        <is>
          <t>Jul</t>
        </is>
      </c>
      <c r="C22" s="19">
        <f>IFERROR(SUMPRODUCT((MONTH(Gastos!A4:A503)=7)*(YEAR(Gastos!A4:A503)=C4)*Gastos!D4:D503),0)</f>
        <v/>
      </c>
      <c r="D22" s="20">
        <f>IFERROR(Presupuesto!I18,0)</f>
        <v/>
      </c>
      <c r="E22" s="1" t="n"/>
      <c r="F22" s="21" t="inlineStr">
        <is>
          <t>Publicidad/Marketing</t>
        </is>
      </c>
      <c r="G22" s="22">
        <f>IFERROR(SUMPRODUCT((Gastos!C4:C503=F22)*(YEAR(Gastos!A4:A503)=C4)*Gastos!D4:D503),0)</f>
        <v/>
      </c>
      <c r="H22" s="1" t="n"/>
      <c r="I22" s="1" t="n"/>
    </row>
    <row r="23">
      <c r="A23" s="1" t="n"/>
      <c r="B23" s="18" t="inlineStr">
        <is>
          <t>Ago</t>
        </is>
      </c>
      <c r="C23" s="19">
        <f>IFERROR(SUMPRODUCT((MONTH(Gastos!A4:A503)=8)*(YEAR(Gastos!A4:A503)=C4)*Gastos!D4:D503),0)</f>
        <v/>
      </c>
      <c r="D23" s="20">
        <f>IFERROR(Presupuesto!J18,0)</f>
        <v/>
      </c>
      <c r="E23" s="1" t="n"/>
      <c r="F23" s="21" t="inlineStr">
        <is>
          <t>Transporte/Combustible</t>
        </is>
      </c>
      <c r="G23" s="22">
        <f>IFERROR(SUMPRODUCT((Gastos!C4:C503=F23)*(YEAR(Gastos!A4:A503)=C4)*Gastos!D4:D503),0)</f>
        <v/>
      </c>
      <c r="H23" s="1" t="n"/>
      <c r="I23" s="1" t="n"/>
    </row>
    <row r="24">
      <c r="A24" s="1" t="n"/>
      <c r="B24" s="18" t="inlineStr">
        <is>
          <t>Sep</t>
        </is>
      </c>
      <c r="C24" s="19">
        <f>IFERROR(SUMPRODUCT((MONTH(Gastos!A4:A503)=9)*(YEAR(Gastos!A4:A503)=C4)*Gastos!D4:D503),0)</f>
        <v/>
      </c>
      <c r="D24" s="20">
        <f>IFERROR(Presupuesto!K18,0)</f>
        <v/>
      </c>
      <c r="E24" s="1" t="n"/>
      <c r="F24" s="21" t="inlineStr">
        <is>
          <t>Mantenimiento</t>
        </is>
      </c>
      <c r="G24" s="22">
        <f>IFERROR(SUMPRODUCT((Gastos!C4:C503=F24)*(YEAR(Gastos!A4:A503)=C4)*Gastos!D4:D503),0)</f>
        <v/>
      </c>
      <c r="H24" s="1" t="n"/>
      <c r="I24" s="1" t="n"/>
    </row>
    <row r="25">
      <c r="A25" s="1" t="n"/>
      <c r="B25" s="18" t="inlineStr">
        <is>
          <t>Oct</t>
        </is>
      </c>
      <c r="C25" s="19">
        <f>IFERROR(SUMPRODUCT((MONTH(Gastos!A4:A503)=10)*(YEAR(Gastos!A4:A503)=C4)*Gastos!D4:D503),0)</f>
        <v/>
      </c>
      <c r="D25" s="20">
        <f>IFERROR(Presupuesto!L18,0)</f>
        <v/>
      </c>
      <c r="E25" s="1" t="n"/>
      <c r="F25" s="21" t="inlineStr">
        <is>
          <t>Seguros</t>
        </is>
      </c>
      <c r="G25" s="22">
        <f>IFERROR(SUMPRODUCT((Gastos!C4:C503=F25)*(YEAR(Gastos!A4:A503)=C4)*Gastos!D4:D503),0)</f>
        <v/>
      </c>
      <c r="H25" s="1" t="n"/>
      <c r="I25" s="1" t="n"/>
    </row>
    <row r="26">
      <c r="A26" s="1" t="n"/>
      <c r="B26" s="18" t="inlineStr">
        <is>
          <t>Nov</t>
        </is>
      </c>
      <c r="C26" s="19">
        <f>IFERROR(SUMPRODUCT((MONTH(Gastos!A4:A503)=11)*(YEAR(Gastos!A4:A503)=C4)*Gastos!D4:D503),0)</f>
        <v/>
      </c>
      <c r="D26" s="20">
        <f>IFERROR(Presupuesto!M18,0)</f>
        <v/>
      </c>
      <c r="E26" s="1" t="n"/>
      <c r="F26" s="21" t="inlineStr">
        <is>
          <t>Impuestos/Patentes</t>
        </is>
      </c>
      <c r="G26" s="22">
        <f>IFERROR(SUMPRODUCT((Gastos!C4:C503=F26)*(YEAR(Gastos!A4:A503)=C4)*Gastos!D4:D503),0)</f>
        <v/>
      </c>
      <c r="H26" s="1" t="n"/>
      <c r="I26" s="1" t="n"/>
    </row>
    <row r="27">
      <c r="A27" s="1" t="n"/>
      <c r="B27" s="18" t="inlineStr">
        <is>
          <t>Dic</t>
        </is>
      </c>
      <c r="C27" s="19">
        <f>IFERROR(SUMPRODUCT((MONTH(Gastos!A4:A503)=12)*(YEAR(Gastos!A4:A503)=C4)*Gastos!D4:D503),0)</f>
        <v/>
      </c>
      <c r="D27" s="20">
        <f>IFERROR(Presupuesto!N18,0)</f>
        <v/>
      </c>
      <c r="E27" s="1" t="n"/>
      <c r="F27" s="21" t="inlineStr">
        <is>
          <t>Otros Gastos</t>
        </is>
      </c>
      <c r="G27" s="22">
        <f>IFERROR(SUMPRODUCT((Gastos!C4:C503=F27)*(YEAR(Gastos!A4:A503)=C4)*Gastos!D4:D503),0)</f>
        <v/>
      </c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2">
    <mergeCell ref="B11:D11"/>
    <mergeCell ref="F11:H11"/>
    <mergeCell ref="F6:H6"/>
    <mergeCell ref="G9:H9"/>
    <mergeCell ref="F7:H7"/>
    <mergeCell ref="B2:H2"/>
    <mergeCell ref="F12:H12"/>
    <mergeCell ref="C9:D9"/>
    <mergeCell ref="B12:D12"/>
    <mergeCell ref="B3:H3"/>
    <mergeCell ref="B6:D6"/>
    <mergeCell ref="B7:D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F50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16" customWidth="1" min="4" max="4"/>
    <col width="16" customWidth="1" min="5" max="5"/>
    <col width="30" customWidth="1" min="6" max="6"/>
  </cols>
  <sheetData>
    <row r="1" ht="35" customHeight="1">
      <c r="A1" s="23" t="inlineStr">
        <is>
          <t>REGISTRO DE GASTOS OPERATIVOS</t>
        </is>
      </c>
    </row>
    <row r="2">
      <c r="A2" s="24" t="inlineStr">
        <is>
          <t>Registra cada gasto con fecha, descripcion y categoria. Las celdas amarillas son editables.</t>
        </is>
      </c>
    </row>
    <row r="3" ht="28" customHeight="1">
      <c r="A3" s="25" t="inlineStr">
        <is>
          <t>FECHA</t>
        </is>
      </c>
      <c r="B3" s="25" t="inlineStr">
        <is>
          <t>DESCRIPCION</t>
        </is>
      </c>
      <c r="C3" s="25" t="inlineStr">
        <is>
          <t>CATEGORIA</t>
        </is>
      </c>
      <c r="D3" s="25" t="inlineStr">
        <is>
          <t>MONTO (Bs.)</t>
        </is>
      </c>
      <c r="E3" s="25" t="inlineStr">
        <is>
          <t>METODO PAGO</t>
        </is>
      </c>
      <c r="F3" s="25" t="inlineStr">
        <is>
          <t>OBSERVACION</t>
        </is>
      </c>
    </row>
    <row r="4">
      <c r="A4" s="26" t="n">
        <v>45658</v>
      </c>
      <c r="B4" s="27" t="inlineStr">
        <is>
          <t>Alquiler local enero</t>
        </is>
      </c>
      <c r="C4" s="5" t="inlineStr">
        <is>
          <t>Alquiler</t>
        </is>
      </c>
      <c r="D4" s="28" t="n">
        <v>3500</v>
      </c>
      <c r="E4" s="5" t="inlineStr">
        <is>
          <t>Transferencia</t>
        </is>
      </c>
      <c r="F4" s="27" t="inlineStr"/>
    </row>
    <row r="5">
      <c r="A5" s="26" t="n">
        <v>45662</v>
      </c>
      <c r="B5" s="27" t="inlineStr">
        <is>
          <t>Luz y agua enero</t>
        </is>
      </c>
      <c r="C5" s="5" t="inlineStr">
        <is>
          <t>Servicios (luz/agua/gas)</t>
        </is>
      </c>
      <c r="D5" s="28" t="n">
        <v>450</v>
      </c>
      <c r="E5" s="5" t="inlineStr">
        <is>
          <t>Efectivo</t>
        </is>
      </c>
      <c r="F5" s="27" t="inlineStr"/>
    </row>
    <row r="6">
      <c r="A6" s="26" t="n">
        <v>45662</v>
      </c>
      <c r="B6" s="27" t="inlineStr">
        <is>
          <t>Internet fibra optica</t>
        </is>
      </c>
      <c r="C6" s="5" t="inlineStr">
        <is>
          <t>Internet/Telefono</t>
        </is>
      </c>
      <c r="D6" s="28" t="n">
        <v>250</v>
      </c>
      <c r="E6" s="5" t="inlineStr">
        <is>
          <t>Transferencia</t>
        </is>
      </c>
      <c r="F6" s="27" t="inlineStr">
        <is>
          <t>Plan empresarial</t>
        </is>
      </c>
    </row>
    <row r="7">
      <c r="A7" s="26" t="n">
        <v>45667</v>
      </c>
      <c r="B7" s="27" t="inlineStr">
        <is>
          <t>Sueldos enero</t>
        </is>
      </c>
      <c r="C7" s="5" t="inlineStr">
        <is>
          <t>Sueldos y Salarios</t>
        </is>
      </c>
      <c r="D7" s="28" t="n">
        <v>8000</v>
      </c>
      <c r="E7" s="5" t="inlineStr">
        <is>
          <t>Transferencia</t>
        </is>
      </c>
      <c r="F7" s="27" t="inlineStr">
        <is>
          <t>3 empleados</t>
        </is>
      </c>
    </row>
    <row r="8">
      <c r="A8" s="26" t="n">
        <v>45672</v>
      </c>
      <c r="B8" s="27" t="inlineStr">
        <is>
          <t>Papeleria y toner</t>
        </is>
      </c>
      <c r="C8" s="5" t="inlineStr">
        <is>
          <t>Material de Oficina</t>
        </is>
      </c>
      <c r="D8" s="28" t="n">
        <v>320</v>
      </c>
      <c r="E8" s="5" t="inlineStr">
        <is>
          <t>Efectivo</t>
        </is>
      </c>
      <c r="F8" s="27" t="inlineStr"/>
    </row>
    <row r="9">
      <c r="A9" s="26" t="n">
        <v>45672</v>
      </c>
      <c r="B9" s="27" t="inlineStr">
        <is>
          <t>Publicidad Facebook</t>
        </is>
      </c>
      <c r="C9" s="5" t="inlineStr">
        <is>
          <t>Publicidad/Marketing</t>
        </is>
      </c>
      <c r="D9" s="28" t="n">
        <v>500</v>
      </c>
      <c r="E9" s="5" t="inlineStr">
        <is>
          <t>Tarjeta</t>
        </is>
      </c>
      <c r="F9" s="27" t="inlineStr">
        <is>
          <t>Campana enero</t>
        </is>
      </c>
    </row>
    <row r="10">
      <c r="A10" s="26" t="n">
        <v>45677</v>
      </c>
      <c r="B10" s="27" t="inlineStr">
        <is>
          <t>Gasolina vehiculo</t>
        </is>
      </c>
      <c r="C10" s="5" t="inlineStr">
        <is>
          <t>Transporte/Combustible</t>
        </is>
      </c>
      <c r="D10" s="28" t="n">
        <v>400</v>
      </c>
      <c r="E10" s="5" t="inlineStr">
        <is>
          <t>Efectivo</t>
        </is>
      </c>
      <c r="F10" s="27" t="inlineStr"/>
    </row>
    <row r="11">
      <c r="A11" s="26" t="n">
        <v>45682</v>
      </c>
      <c r="B11" s="27" t="inlineStr">
        <is>
          <t>Reparacion AC</t>
        </is>
      </c>
      <c r="C11" s="5" t="inlineStr">
        <is>
          <t>Mantenimiento</t>
        </is>
      </c>
      <c r="D11" s="28" t="n">
        <v>600</v>
      </c>
      <c r="E11" s="5" t="inlineStr">
        <is>
          <t>Cheque</t>
        </is>
      </c>
      <c r="F11" s="27" t="inlineStr">
        <is>
          <t>Aire acondicionado</t>
        </is>
      </c>
    </row>
    <row r="12">
      <c r="A12" s="26" t="n">
        <v>45689</v>
      </c>
      <c r="B12" s="27" t="inlineStr">
        <is>
          <t>Alquiler local febrero</t>
        </is>
      </c>
      <c r="C12" s="5" t="inlineStr">
        <is>
          <t>Alquiler</t>
        </is>
      </c>
      <c r="D12" s="28" t="n">
        <v>3500</v>
      </c>
      <c r="E12" s="5" t="inlineStr">
        <is>
          <t>Transferencia</t>
        </is>
      </c>
      <c r="F12" s="27" t="inlineStr"/>
    </row>
    <row r="13">
      <c r="A13" s="26" t="n">
        <v>45693</v>
      </c>
      <c r="B13" s="27" t="inlineStr">
        <is>
          <t>Luz y agua febrero</t>
        </is>
      </c>
      <c r="C13" s="5" t="inlineStr">
        <is>
          <t>Servicios (luz/agua/gas)</t>
        </is>
      </c>
      <c r="D13" s="28" t="n">
        <v>480</v>
      </c>
      <c r="E13" s="5" t="inlineStr">
        <is>
          <t>Efectivo</t>
        </is>
      </c>
      <c r="F13" s="27" t="inlineStr"/>
    </row>
    <row r="14">
      <c r="A14" s="26" t="n"/>
      <c r="B14" s="27" t="n"/>
      <c r="C14" s="5" t="n"/>
      <c r="D14" s="28" t="n"/>
      <c r="E14" s="5" t="n"/>
      <c r="F14" s="27" t="n"/>
    </row>
    <row r="15">
      <c r="A15" s="26" t="n"/>
      <c r="B15" s="27" t="n"/>
      <c r="C15" s="5" t="n"/>
      <c r="D15" s="28" t="n"/>
      <c r="E15" s="5" t="n"/>
      <c r="F15" s="27" t="n"/>
    </row>
    <row r="16">
      <c r="A16" s="26" t="n"/>
      <c r="B16" s="27" t="n"/>
      <c r="C16" s="5" t="n"/>
      <c r="D16" s="28" t="n"/>
      <c r="E16" s="5" t="n"/>
      <c r="F16" s="27" t="n"/>
    </row>
    <row r="17">
      <c r="A17" s="26" t="n"/>
      <c r="B17" s="27" t="n"/>
      <c r="C17" s="5" t="n"/>
      <c r="D17" s="28" t="n"/>
      <c r="E17" s="5" t="n"/>
      <c r="F17" s="27" t="n"/>
    </row>
    <row r="18">
      <c r="A18" s="26" t="n"/>
      <c r="B18" s="27" t="n"/>
      <c r="C18" s="5" t="n"/>
      <c r="D18" s="28" t="n"/>
      <c r="E18" s="5" t="n"/>
      <c r="F18" s="27" t="n"/>
    </row>
    <row r="19">
      <c r="A19" s="26" t="n"/>
      <c r="B19" s="27" t="n"/>
      <c r="C19" s="5" t="n"/>
      <c r="D19" s="28" t="n"/>
      <c r="E19" s="5" t="n"/>
      <c r="F19" s="27" t="n"/>
    </row>
    <row r="20">
      <c r="A20" s="26" t="n"/>
      <c r="B20" s="27" t="n"/>
      <c r="C20" s="5" t="n"/>
      <c r="D20" s="28" t="n"/>
      <c r="E20" s="5" t="n"/>
      <c r="F20" s="27" t="n"/>
    </row>
    <row r="21">
      <c r="A21" s="26" t="n"/>
      <c r="B21" s="27" t="n"/>
      <c r="C21" s="5" t="n"/>
      <c r="D21" s="28" t="n"/>
      <c r="E21" s="5" t="n"/>
      <c r="F21" s="27" t="n"/>
    </row>
    <row r="22">
      <c r="A22" s="26" t="n"/>
      <c r="B22" s="27" t="n"/>
      <c r="C22" s="5" t="n"/>
      <c r="D22" s="28" t="n"/>
      <c r="E22" s="5" t="n"/>
      <c r="F22" s="27" t="n"/>
    </row>
    <row r="23">
      <c r="A23" s="26" t="n"/>
      <c r="B23" s="27" t="n"/>
      <c r="C23" s="5" t="n"/>
      <c r="D23" s="28" t="n"/>
      <c r="E23" s="5" t="n"/>
      <c r="F23" s="27" t="n"/>
    </row>
    <row r="24">
      <c r="A24" s="26" t="n"/>
      <c r="B24" s="27" t="n"/>
      <c r="C24" s="5" t="n"/>
      <c r="D24" s="28" t="n"/>
      <c r="E24" s="5" t="n"/>
      <c r="F24" s="27" t="n"/>
    </row>
    <row r="25">
      <c r="A25" s="26" t="n"/>
      <c r="B25" s="27" t="n"/>
      <c r="C25" s="5" t="n"/>
      <c r="D25" s="28" t="n"/>
      <c r="E25" s="5" t="n"/>
      <c r="F25" s="27" t="n"/>
    </row>
    <row r="26">
      <c r="A26" s="26" t="n"/>
      <c r="B26" s="27" t="n"/>
      <c r="C26" s="5" t="n"/>
      <c r="D26" s="28" t="n"/>
      <c r="E26" s="5" t="n"/>
      <c r="F26" s="27" t="n"/>
    </row>
    <row r="27">
      <c r="A27" s="26" t="n"/>
      <c r="B27" s="27" t="n"/>
      <c r="C27" s="5" t="n"/>
      <c r="D27" s="28" t="n"/>
      <c r="E27" s="5" t="n"/>
      <c r="F27" s="27" t="n"/>
    </row>
    <row r="28">
      <c r="A28" s="26" t="n"/>
      <c r="B28" s="27" t="n"/>
      <c r="C28" s="5" t="n"/>
      <c r="D28" s="28" t="n"/>
      <c r="E28" s="5" t="n"/>
      <c r="F28" s="27" t="n"/>
    </row>
    <row r="29">
      <c r="A29" s="26" t="n"/>
      <c r="B29" s="27" t="n"/>
      <c r="C29" s="5" t="n"/>
      <c r="D29" s="28" t="n"/>
      <c r="E29" s="5" t="n"/>
      <c r="F29" s="27" t="n"/>
    </row>
    <row r="30">
      <c r="A30" s="26" t="n"/>
      <c r="B30" s="27" t="n"/>
      <c r="C30" s="5" t="n"/>
      <c r="D30" s="28" t="n"/>
      <c r="E30" s="5" t="n"/>
      <c r="F30" s="27" t="n"/>
    </row>
    <row r="31">
      <c r="A31" s="26" t="n"/>
      <c r="B31" s="27" t="n"/>
      <c r="C31" s="5" t="n"/>
      <c r="D31" s="28" t="n"/>
      <c r="E31" s="5" t="n"/>
      <c r="F31" s="27" t="n"/>
    </row>
    <row r="32">
      <c r="A32" s="26" t="n"/>
      <c r="B32" s="27" t="n"/>
      <c r="C32" s="5" t="n"/>
      <c r="D32" s="28" t="n"/>
      <c r="E32" s="5" t="n"/>
      <c r="F32" s="27" t="n"/>
    </row>
    <row r="33">
      <c r="A33" s="26" t="n"/>
      <c r="B33" s="27" t="n"/>
      <c r="C33" s="5" t="n"/>
      <c r="D33" s="28" t="n"/>
      <c r="E33" s="5" t="n"/>
      <c r="F33" s="27" t="n"/>
    </row>
    <row r="34">
      <c r="A34" s="26" t="n"/>
      <c r="B34" s="27" t="n"/>
      <c r="C34" s="5" t="n"/>
      <c r="D34" s="28" t="n"/>
      <c r="E34" s="5" t="n"/>
      <c r="F34" s="27" t="n"/>
    </row>
    <row r="35">
      <c r="A35" s="26" t="n"/>
      <c r="B35" s="27" t="n"/>
      <c r="C35" s="5" t="n"/>
      <c r="D35" s="28" t="n"/>
      <c r="E35" s="5" t="n"/>
      <c r="F35" s="27" t="n"/>
    </row>
    <row r="36">
      <c r="A36" s="26" t="n"/>
      <c r="B36" s="27" t="n"/>
      <c r="C36" s="5" t="n"/>
      <c r="D36" s="28" t="n"/>
      <c r="E36" s="5" t="n"/>
      <c r="F36" s="27" t="n"/>
    </row>
    <row r="37">
      <c r="A37" s="26" t="n"/>
      <c r="B37" s="27" t="n"/>
      <c r="C37" s="5" t="n"/>
      <c r="D37" s="28" t="n"/>
      <c r="E37" s="5" t="n"/>
      <c r="F37" s="27" t="n"/>
    </row>
    <row r="38">
      <c r="A38" s="26" t="n"/>
      <c r="B38" s="27" t="n"/>
      <c r="C38" s="5" t="n"/>
      <c r="D38" s="28" t="n"/>
      <c r="E38" s="5" t="n"/>
      <c r="F38" s="27" t="n"/>
    </row>
    <row r="39">
      <c r="A39" s="26" t="n"/>
      <c r="B39" s="27" t="n"/>
      <c r="C39" s="5" t="n"/>
      <c r="D39" s="28" t="n"/>
      <c r="E39" s="5" t="n"/>
      <c r="F39" s="27" t="n"/>
    </row>
    <row r="40">
      <c r="A40" s="26" t="n"/>
      <c r="B40" s="27" t="n"/>
      <c r="C40" s="5" t="n"/>
      <c r="D40" s="28" t="n"/>
      <c r="E40" s="5" t="n"/>
      <c r="F40" s="27" t="n"/>
    </row>
    <row r="41">
      <c r="A41" s="26" t="n"/>
      <c r="B41" s="27" t="n"/>
      <c r="C41" s="5" t="n"/>
      <c r="D41" s="28" t="n"/>
      <c r="E41" s="5" t="n"/>
      <c r="F41" s="27" t="n"/>
    </row>
    <row r="42">
      <c r="A42" s="26" t="n"/>
      <c r="B42" s="27" t="n"/>
      <c r="C42" s="5" t="n"/>
      <c r="D42" s="28" t="n"/>
      <c r="E42" s="5" t="n"/>
      <c r="F42" s="27" t="n"/>
    </row>
    <row r="43">
      <c r="A43" s="26" t="n"/>
      <c r="B43" s="27" t="n"/>
      <c r="C43" s="5" t="n"/>
      <c r="D43" s="28" t="n"/>
      <c r="E43" s="5" t="n"/>
      <c r="F43" s="27" t="n"/>
    </row>
    <row r="44">
      <c r="A44" s="26" t="n"/>
      <c r="B44" s="27" t="n"/>
      <c r="C44" s="5" t="n"/>
      <c r="D44" s="28" t="n"/>
      <c r="E44" s="5" t="n"/>
      <c r="F44" s="27" t="n"/>
    </row>
    <row r="45">
      <c r="A45" s="26" t="n"/>
      <c r="B45" s="27" t="n"/>
      <c r="C45" s="5" t="n"/>
      <c r="D45" s="28" t="n"/>
      <c r="E45" s="5" t="n"/>
      <c r="F45" s="27" t="n"/>
    </row>
    <row r="46">
      <c r="A46" s="26" t="n"/>
      <c r="B46" s="27" t="n"/>
      <c r="C46" s="5" t="n"/>
      <c r="D46" s="28" t="n"/>
      <c r="E46" s="5" t="n"/>
      <c r="F46" s="27" t="n"/>
    </row>
    <row r="47">
      <c r="A47" s="26" t="n"/>
      <c r="B47" s="27" t="n"/>
      <c r="C47" s="5" t="n"/>
      <c r="D47" s="28" t="n"/>
      <c r="E47" s="5" t="n"/>
      <c r="F47" s="27" t="n"/>
    </row>
    <row r="48">
      <c r="A48" s="26" t="n"/>
      <c r="B48" s="27" t="n"/>
      <c r="C48" s="5" t="n"/>
      <c r="D48" s="28" t="n"/>
      <c r="E48" s="5" t="n"/>
      <c r="F48" s="27" t="n"/>
    </row>
    <row r="49">
      <c r="A49" s="26" t="n"/>
      <c r="B49" s="27" t="n"/>
      <c r="C49" s="5" t="n"/>
      <c r="D49" s="28" t="n"/>
      <c r="E49" s="5" t="n"/>
      <c r="F49" s="27" t="n"/>
    </row>
    <row r="50">
      <c r="A50" s="26" t="n"/>
      <c r="B50" s="27" t="n"/>
      <c r="C50" s="5" t="n"/>
      <c r="D50" s="28" t="n"/>
      <c r="E50" s="5" t="n"/>
      <c r="F50" s="27" t="n"/>
    </row>
    <row r="51">
      <c r="A51" s="26" t="n"/>
      <c r="B51" s="27" t="n"/>
      <c r="C51" s="5" t="n"/>
      <c r="D51" s="28" t="n"/>
      <c r="E51" s="5" t="n"/>
      <c r="F51" s="27" t="n"/>
    </row>
    <row r="52">
      <c r="A52" s="26" t="n"/>
      <c r="B52" s="27" t="n"/>
      <c r="C52" s="5" t="n"/>
      <c r="D52" s="28" t="n"/>
      <c r="E52" s="5" t="n"/>
      <c r="F52" s="27" t="n"/>
    </row>
    <row r="53">
      <c r="A53" s="26" t="n"/>
      <c r="B53" s="27" t="n"/>
      <c r="C53" s="5" t="n"/>
      <c r="D53" s="28" t="n"/>
      <c r="E53" s="5" t="n"/>
      <c r="F53" s="27" t="n"/>
    </row>
    <row r="54">
      <c r="A54" s="26" t="n"/>
      <c r="B54" s="27" t="n"/>
      <c r="C54" s="5" t="n"/>
      <c r="D54" s="28" t="n"/>
      <c r="E54" s="5" t="n"/>
      <c r="F54" s="27" t="n"/>
    </row>
    <row r="55">
      <c r="A55" s="26" t="n"/>
      <c r="B55" s="27" t="n"/>
      <c r="C55" s="5" t="n"/>
      <c r="D55" s="28" t="n"/>
      <c r="E55" s="5" t="n"/>
      <c r="F55" s="27" t="n"/>
    </row>
    <row r="56">
      <c r="A56" s="26" t="n"/>
      <c r="B56" s="27" t="n"/>
      <c r="C56" s="5" t="n"/>
      <c r="D56" s="28" t="n"/>
      <c r="E56" s="5" t="n"/>
      <c r="F56" s="27" t="n"/>
    </row>
    <row r="57">
      <c r="A57" s="26" t="n"/>
      <c r="B57" s="27" t="n"/>
      <c r="C57" s="5" t="n"/>
      <c r="D57" s="28" t="n"/>
      <c r="E57" s="5" t="n"/>
      <c r="F57" s="27" t="n"/>
    </row>
    <row r="58">
      <c r="A58" s="26" t="n"/>
      <c r="B58" s="27" t="n"/>
      <c r="C58" s="5" t="n"/>
      <c r="D58" s="28" t="n"/>
      <c r="E58" s="5" t="n"/>
      <c r="F58" s="27" t="n"/>
    </row>
    <row r="59">
      <c r="A59" s="26" t="n"/>
      <c r="B59" s="27" t="n"/>
      <c r="C59" s="5" t="n"/>
      <c r="D59" s="28" t="n"/>
      <c r="E59" s="5" t="n"/>
      <c r="F59" s="27" t="n"/>
    </row>
    <row r="60">
      <c r="A60" s="26" t="n"/>
      <c r="B60" s="27" t="n"/>
      <c r="C60" s="5" t="n"/>
      <c r="D60" s="28" t="n"/>
      <c r="E60" s="5" t="n"/>
      <c r="F60" s="27" t="n"/>
    </row>
    <row r="61">
      <c r="A61" s="26" t="n"/>
      <c r="B61" s="27" t="n"/>
      <c r="C61" s="5" t="n"/>
      <c r="D61" s="28" t="n"/>
      <c r="E61" s="5" t="n"/>
      <c r="F61" s="27" t="n"/>
    </row>
    <row r="62">
      <c r="A62" s="26" t="n"/>
      <c r="B62" s="27" t="n"/>
      <c r="C62" s="5" t="n"/>
      <c r="D62" s="28" t="n"/>
      <c r="E62" s="5" t="n"/>
      <c r="F62" s="27" t="n"/>
    </row>
    <row r="63">
      <c r="A63" s="26" t="n"/>
      <c r="B63" s="27" t="n"/>
      <c r="C63" s="5" t="n"/>
      <c r="D63" s="28" t="n"/>
      <c r="E63" s="5" t="n"/>
      <c r="F63" s="27" t="n"/>
    </row>
    <row r="64">
      <c r="A64" s="26" t="n"/>
      <c r="B64" s="27" t="n"/>
      <c r="C64" s="5" t="n"/>
      <c r="D64" s="28" t="n"/>
      <c r="E64" s="5" t="n"/>
      <c r="F64" s="27" t="n"/>
    </row>
    <row r="65">
      <c r="A65" s="26" t="n"/>
      <c r="B65" s="27" t="n"/>
      <c r="C65" s="5" t="n"/>
      <c r="D65" s="28" t="n"/>
      <c r="E65" s="5" t="n"/>
      <c r="F65" s="27" t="n"/>
    </row>
    <row r="66">
      <c r="A66" s="26" t="n"/>
      <c r="B66" s="27" t="n"/>
      <c r="C66" s="5" t="n"/>
      <c r="D66" s="28" t="n"/>
      <c r="E66" s="5" t="n"/>
      <c r="F66" s="27" t="n"/>
    </row>
    <row r="67">
      <c r="A67" s="26" t="n"/>
      <c r="B67" s="27" t="n"/>
      <c r="C67" s="5" t="n"/>
      <c r="D67" s="28" t="n"/>
      <c r="E67" s="5" t="n"/>
      <c r="F67" s="27" t="n"/>
    </row>
    <row r="68">
      <c r="A68" s="26" t="n"/>
      <c r="B68" s="27" t="n"/>
      <c r="C68" s="5" t="n"/>
      <c r="D68" s="28" t="n"/>
      <c r="E68" s="5" t="n"/>
      <c r="F68" s="27" t="n"/>
    </row>
    <row r="69">
      <c r="A69" s="26" t="n"/>
      <c r="B69" s="27" t="n"/>
      <c r="C69" s="5" t="n"/>
      <c r="D69" s="28" t="n"/>
      <c r="E69" s="5" t="n"/>
      <c r="F69" s="27" t="n"/>
    </row>
    <row r="70">
      <c r="A70" s="26" t="n"/>
      <c r="B70" s="27" t="n"/>
      <c r="C70" s="5" t="n"/>
      <c r="D70" s="28" t="n"/>
      <c r="E70" s="5" t="n"/>
      <c r="F70" s="27" t="n"/>
    </row>
    <row r="71">
      <c r="A71" s="26" t="n"/>
      <c r="B71" s="27" t="n"/>
      <c r="C71" s="5" t="n"/>
      <c r="D71" s="28" t="n"/>
      <c r="E71" s="5" t="n"/>
      <c r="F71" s="27" t="n"/>
    </row>
    <row r="72">
      <c r="A72" s="26" t="n"/>
      <c r="B72" s="27" t="n"/>
      <c r="C72" s="5" t="n"/>
      <c r="D72" s="28" t="n"/>
      <c r="E72" s="5" t="n"/>
      <c r="F72" s="27" t="n"/>
    </row>
    <row r="73">
      <c r="A73" s="26" t="n"/>
      <c r="B73" s="27" t="n"/>
      <c r="C73" s="5" t="n"/>
      <c r="D73" s="28" t="n"/>
      <c r="E73" s="5" t="n"/>
      <c r="F73" s="27" t="n"/>
    </row>
    <row r="74">
      <c r="A74" s="26" t="n"/>
      <c r="B74" s="27" t="n"/>
      <c r="C74" s="5" t="n"/>
      <c r="D74" s="28" t="n"/>
      <c r="E74" s="5" t="n"/>
      <c r="F74" s="27" t="n"/>
    </row>
    <row r="75">
      <c r="A75" s="26" t="n"/>
      <c r="B75" s="27" t="n"/>
      <c r="C75" s="5" t="n"/>
      <c r="D75" s="28" t="n"/>
      <c r="E75" s="5" t="n"/>
      <c r="F75" s="27" t="n"/>
    </row>
    <row r="76">
      <c r="A76" s="26" t="n"/>
      <c r="B76" s="27" t="n"/>
      <c r="C76" s="5" t="n"/>
      <c r="D76" s="28" t="n"/>
      <c r="E76" s="5" t="n"/>
      <c r="F76" s="27" t="n"/>
    </row>
    <row r="77">
      <c r="A77" s="26" t="n"/>
      <c r="B77" s="27" t="n"/>
      <c r="C77" s="5" t="n"/>
      <c r="D77" s="28" t="n"/>
      <c r="E77" s="5" t="n"/>
      <c r="F77" s="27" t="n"/>
    </row>
    <row r="78">
      <c r="A78" s="26" t="n"/>
      <c r="B78" s="27" t="n"/>
      <c r="C78" s="5" t="n"/>
      <c r="D78" s="28" t="n"/>
      <c r="E78" s="5" t="n"/>
      <c r="F78" s="27" t="n"/>
    </row>
    <row r="79">
      <c r="A79" s="26" t="n"/>
      <c r="B79" s="27" t="n"/>
      <c r="C79" s="5" t="n"/>
      <c r="D79" s="28" t="n"/>
      <c r="E79" s="5" t="n"/>
      <c r="F79" s="27" t="n"/>
    </row>
    <row r="80">
      <c r="A80" s="26" t="n"/>
      <c r="B80" s="27" t="n"/>
      <c r="C80" s="5" t="n"/>
      <c r="D80" s="28" t="n"/>
      <c r="E80" s="5" t="n"/>
      <c r="F80" s="27" t="n"/>
    </row>
    <row r="81">
      <c r="A81" s="26" t="n"/>
      <c r="B81" s="27" t="n"/>
      <c r="C81" s="5" t="n"/>
      <c r="D81" s="28" t="n"/>
      <c r="E81" s="5" t="n"/>
      <c r="F81" s="27" t="n"/>
    </row>
    <row r="82">
      <c r="A82" s="26" t="n"/>
      <c r="B82" s="27" t="n"/>
      <c r="C82" s="5" t="n"/>
      <c r="D82" s="28" t="n"/>
      <c r="E82" s="5" t="n"/>
      <c r="F82" s="27" t="n"/>
    </row>
    <row r="83">
      <c r="A83" s="26" t="n"/>
      <c r="B83" s="27" t="n"/>
      <c r="C83" s="5" t="n"/>
      <c r="D83" s="28" t="n"/>
      <c r="E83" s="5" t="n"/>
      <c r="F83" s="27" t="n"/>
    </row>
    <row r="84">
      <c r="A84" s="26" t="n"/>
      <c r="B84" s="27" t="n"/>
      <c r="C84" s="5" t="n"/>
      <c r="D84" s="28" t="n"/>
      <c r="E84" s="5" t="n"/>
      <c r="F84" s="27" t="n"/>
    </row>
    <row r="85">
      <c r="A85" s="26" t="n"/>
      <c r="B85" s="27" t="n"/>
      <c r="C85" s="5" t="n"/>
      <c r="D85" s="28" t="n"/>
      <c r="E85" s="5" t="n"/>
      <c r="F85" s="27" t="n"/>
    </row>
    <row r="86">
      <c r="A86" s="26" t="n"/>
      <c r="B86" s="27" t="n"/>
      <c r="C86" s="5" t="n"/>
      <c r="D86" s="28" t="n"/>
      <c r="E86" s="5" t="n"/>
      <c r="F86" s="27" t="n"/>
    </row>
    <row r="87">
      <c r="A87" s="26" t="n"/>
      <c r="B87" s="27" t="n"/>
      <c r="C87" s="5" t="n"/>
      <c r="D87" s="28" t="n"/>
      <c r="E87" s="5" t="n"/>
      <c r="F87" s="27" t="n"/>
    </row>
    <row r="88">
      <c r="A88" s="26" t="n"/>
      <c r="B88" s="27" t="n"/>
      <c r="C88" s="5" t="n"/>
      <c r="D88" s="28" t="n"/>
      <c r="E88" s="5" t="n"/>
      <c r="F88" s="27" t="n"/>
    </row>
    <row r="89">
      <c r="A89" s="26" t="n"/>
      <c r="B89" s="27" t="n"/>
      <c r="C89" s="5" t="n"/>
      <c r="D89" s="28" t="n"/>
      <c r="E89" s="5" t="n"/>
      <c r="F89" s="27" t="n"/>
    </row>
    <row r="90">
      <c r="A90" s="26" t="n"/>
      <c r="B90" s="27" t="n"/>
      <c r="C90" s="5" t="n"/>
      <c r="D90" s="28" t="n"/>
      <c r="E90" s="5" t="n"/>
      <c r="F90" s="27" t="n"/>
    </row>
    <row r="91">
      <c r="A91" s="26" t="n"/>
      <c r="B91" s="27" t="n"/>
      <c r="C91" s="5" t="n"/>
      <c r="D91" s="28" t="n"/>
      <c r="E91" s="5" t="n"/>
      <c r="F91" s="27" t="n"/>
    </row>
    <row r="92">
      <c r="A92" s="26" t="n"/>
      <c r="B92" s="27" t="n"/>
      <c r="C92" s="5" t="n"/>
      <c r="D92" s="28" t="n"/>
      <c r="E92" s="5" t="n"/>
      <c r="F92" s="27" t="n"/>
    </row>
    <row r="93">
      <c r="A93" s="26" t="n"/>
      <c r="B93" s="27" t="n"/>
      <c r="C93" s="5" t="n"/>
      <c r="D93" s="28" t="n"/>
      <c r="E93" s="5" t="n"/>
      <c r="F93" s="27" t="n"/>
    </row>
    <row r="94">
      <c r="A94" s="26" t="n"/>
      <c r="B94" s="27" t="n"/>
      <c r="C94" s="5" t="n"/>
      <c r="D94" s="28" t="n"/>
      <c r="E94" s="5" t="n"/>
      <c r="F94" s="27" t="n"/>
    </row>
    <row r="95">
      <c r="A95" s="26" t="n"/>
      <c r="B95" s="27" t="n"/>
      <c r="C95" s="5" t="n"/>
      <c r="D95" s="28" t="n"/>
      <c r="E95" s="5" t="n"/>
      <c r="F95" s="27" t="n"/>
    </row>
    <row r="96">
      <c r="A96" s="26" t="n"/>
      <c r="B96" s="27" t="n"/>
      <c r="C96" s="5" t="n"/>
      <c r="D96" s="28" t="n"/>
      <c r="E96" s="5" t="n"/>
      <c r="F96" s="27" t="n"/>
    </row>
    <row r="97">
      <c r="A97" s="26" t="n"/>
      <c r="B97" s="27" t="n"/>
      <c r="C97" s="5" t="n"/>
      <c r="D97" s="28" t="n"/>
      <c r="E97" s="5" t="n"/>
      <c r="F97" s="27" t="n"/>
    </row>
    <row r="98">
      <c r="A98" s="26" t="n"/>
      <c r="B98" s="27" t="n"/>
      <c r="C98" s="5" t="n"/>
      <c r="D98" s="28" t="n"/>
      <c r="E98" s="5" t="n"/>
      <c r="F98" s="27" t="n"/>
    </row>
    <row r="99">
      <c r="A99" s="26" t="n"/>
      <c r="B99" s="27" t="n"/>
      <c r="C99" s="5" t="n"/>
      <c r="D99" s="28" t="n"/>
      <c r="E99" s="5" t="n"/>
      <c r="F99" s="27" t="n"/>
    </row>
    <row r="100">
      <c r="A100" s="26" t="n"/>
      <c r="B100" s="27" t="n"/>
      <c r="C100" s="5" t="n"/>
      <c r="D100" s="28" t="n"/>
      <c r="E100" s="5" t="n"/>
      <c r="F100" s="27" t="n"/>
    </row>
    <row r="101">
      <c r="A101" s="26" t="n"/>
      <c r="B101" s="27" t="n"/>
      <c r="C101" s="5" t="n"/>
      <c r="D101" s="28" t="n"/>
      <c r="E101" s="5" t="n"/>
      <c r="F101" s="27" t="n"/>
    </row>
    <row r="102">
      <c r="A102" s="26" t="n"/>
      <c r="B102" s="27" t="n"/>
      <c r="C102" s="5" t="n"/>
      <c r="D102" s="28" t="n"/>
      <c r="E102" s="5" t="n"/>
      <c r="F102" s="27" t="n"/>
    </row>
    <row r="103">
      <c r="A103" s="26" t="n"/>
      <c r="B103" s="27" t="n"/>
      <c r="C103" s="5" t="n"/>
      <c r="D103" s="28" t="n"/>
      <c r="E103" s="5" t="n"/>
      <c r="F103" s="27" t="n"/>
    </row>
    <row r="104">
      <c r="A104" s="26" t="n"/>
      <c r="B104" s="27" t="n"/>
      <c r="C104" s="5" t="n"/>
      <c r="D104" s="28" t="n"/>
      <c r="E104" s="5" t="n"/>
      <c r="F104" s="27" t="n"/>
    </row>
    <row r="105">
      <c r="A105" s="26" t="n"/>
      <c r="B105" s="27" t="n"/>
      <c r="C105" s="5" t="n"/>
      <c r="D105" s="28" t="n"/>
      <c r="E105" s="5" t="n"/>
      <c r="F105" s="27" t="n"/>
    </row>
    <row r="106">
      <c r="A106" s="26" t="n"/>
      <c r="B106" s="27" t="n"/>
      <c r="C106" s="5" t="n"/>
      <c r="D106" s="28" t="n"/>
      <c r="E106" s="5" t="n"/>
      <c r="F106" s="27" t="n"/>
    </row>
    <row r="107">
      <c r="A107" s="26" t="n"/>
      <c r="B107" s="27" t="n"/>
      <c r="C107" s="5" t="n"/>
      <c r="D107" s="28" t="n"/>
      <c r="E107" s="5" t="n"/>
      <c r="F107" s="27" t="n"/>
    </row>
    <row r="108">
      <c r="A108" s="26" t="n"/>
      <c r="B108" s="27" t="n"/>
      <c r="C108" s="5" t="n"/>
      <c r="D108" s="28" t="n"/>
      <c r="E108" s="5" t="n"/>
      <c r="F108" s="27" t="n"/>
    </row>
    <row r="109">
      <c r="A109" s="26" t="n"/>
      <c r="B109" s="27" t="n"/>
      <c r="C109" s="5" t="n"/>
      <c r="D109" s="28" t="n"/>
      <c r="E109" s="5" t="n"/>
      <c r="F109" s="27" t="n"/>
    </row>
    <row r="110">
      <c r="A110" s="26" t="n"/>
      <c r="B110" s="27" t="n"/>
      <c r="C110" s="5" t="n"/>
      <c r="D110" s="28" t="n"/>
      <c r="E110" s="5" t="n"/>
      <c r="F110" s="27" t="n"/>
    </row>
    <row r="111">
      <c r="A111" s="26" t="n"/>
      <c r="B111" s="27" t="n"/>
      <c r="C111" s="5" t="n"/>
      <c r="D111" s="28" t="n"/>
      <c r="E111" s="5" t="n"/>
      <c r="F111" s="27" t="n"/>
    </row>
    <row r="112">
      <c r="A112" s="26" t="n"/>
      <c r="B112" s="27" t="n"/>
      <c r="C112" s="5" t="n"/>
      <c r="D112" s="28" t="n"/>
      <c r="E112" s="5" t="n"/>
      <c r="F112" s="27" t="n"/>
    </row>
    <row r="113">
      <c r="A113" s="26" t="n"/>
      <c r="B113" s="27" t="n"/>
      <c r="C113" s="5" t="n"/>
      <c r="D113" s="28" t="n"/>
      <c r="E113" s="5" t="n"/>
      <c r="F113" s="27" t="n"/>
    </row>
    <row r="114">
      <c r="A114" s="26" t="n"/>
      <c r="B114" s="27" t="n"/>
      <c r="C114" s="5" t="n"/>
      <c r="D114" s="28" t="n"/>
      <c r="E114" s="5" t="n"/>
      <c r="F114" s="27" t="n"/>
    </row>
    <row r="115">
      <c r="A115" s="26" t="n"/>
      <c r="B115" s="27" t="n"/>
      <c r="C115" s="5" t="n"/>
      <c r="D115" s="28" t="n"/>
      <c r="E115" s="5" t="n"/>
      <c r="F115" s="27" t="n"/>
    </row>
    <row r="116">
      <c r="A116" s="26" t="n"/>
      <c r="B116" s="27" t="n"/>
      <c r="C116" s="5" t="n"/>
      <c r="D116" s="28" t="n"/>
      <c r="E116" s="5" t="n"/>
      <c r="F116" s="27" t="n"/>
    </row>
    <row r="117">
      <c r="A117" s="26" t="n"/>
      <c r="B117" s="27" t="n"/>
      <c r="C117" s="5" t="n"/>
      <c r="D117" s="28" t="n"/>
      <c r="E117" s="5" t="n"/>
      <c r="F117" s="27" t="n"/>
    </row>
    <row r="118">
      <c r="A118" s="26" t="n"/>
      <c r="B118" s="27" t="n"/>
      <c r="C118" s="5" t="n"/>
      <c r="D118" s="28" t="n"/>
      <c r="E118" s="5" t="n"/>
      <c r="F118" s="27" t="n"/>
    </row>
    <row r="119">
      <c r="A119" s="26" t="n"/>
      <c r="B119" s="27" t="n"/>
      <c r="C119" s="5" t="n"/>
      <c r="D119" s="28" t="n"/>
      <c r="E119" s="5" t="n"/>
      <c r="F119" s="27" t="n"/>
    </row>
    <row r="120">
      <c r="A120" s="26" t="n"/>
      <c r="B120" s="27" t="n"/>
      <c r="C120" s="5" t="n"/>
      <c r="D120" s="28" t="n"/>
      <c r="E120" s="5" t="n"/>
      <c r="F120" s="27" t="n"/>
    </row>
    <row r="121">
      <c r="A121" s="26" t="n"/>
      <c r="B121" s="27" t="n"/>
      <c r="C121" s="5" t="n"/>
      <c r="D121" s="28" t="n"/>
      <c r="E121" s="5" t="n"/>
      <c r="F121" s="27" t="n"/>
    </row>
    <row r="122">
      <c r="A122" s="26" t="n"/>
      <c r="B122" s="27" t="n"/>
      <c r="C122" s="5" t="n"/>
      <c r="D122" s="28" t="n"/>
      <c r="E122" s="5" t="n"/>
      <c r="F122" s="27" t="n"/>
    </row>
    <row r="123">
      <c r="A123" s="26" t="n"/>
      <c r="B123" s="27" t="n"/>
      <c r="C123" s="5" t="n"/>
      <c r="D123" s="28" t="n"/>
      <c r="E123" s="5" t="n"/>
      <c r="F123" s="27" t="n"/>
    </row>
    <row r="124">
      <c r="A124" s="26" t="n"/>
      <c r="B124" s="27" t="n"/>
      <c r="C124" s="5" t="n"/>
      <c r="D124" s="28" t="n"/>
      <c r="E124" s="5" t="n"/>
      <c r="F124" s="27" t="n"/>
    </row>
    <row r="125">
      <c r="A125" s="26" t="n"/>
      <c r="B125" s="27" t="n"/>
      <c r="C125" s="5" t="n"/>
      <c r="D125" s="28" t="n"/>
      <c r="E125" s="5" t="n"/>
      <c r="F125" s="27" t="n"/>
    </row>
    <row r="126">
      <c r="A126" s="26" t="n"/>
      <c r="B126" s="27" t="n"/>
      <c r="C126" s="5" t="n"/>
      <c r="D126" s="28" t="n"/>
      <c r="E126" s="5" t="n"/>
      <c r="F126" s="27" t="n"/>
    </row>
    <row r="127">
      <c r="A127" s="26" t="n"/>
      <c r="B127" s="27" t="n"/>
      <c r="C127" s="5" t="n"/>
      <c r="D127" s="28" t="n"/>
      <c r="E127" s="5" t="n"/>
      <c r="F127" s="27" t="n"/>
    </row>
    <row r="128">
      <c r="A128" s="26" t="n"/>
      <c r="B128" s="27" t="n"/>
      <c r="C128" s="5" t="n"/>
      <c r="D128" s="28" t="n"/>
      <c r="E128" s="5" t="n"/>
      <c r="F128" s="27" t="n"/>
    </row>
    <row r="129">
      <c r="A129" s="26" t="n"/>
      <c r="B129" s="27" t="n"/>
      <c r="C129" s="5" t="n"/>
      <c r="D129" s="28" t="n"/>
      <c r="E129" s="5" t="n"/>
      <c r="F129" s="27" t="n"/>
    </row>
    <row r="130">
      <c r="A130" s="26" t="n"/>
      <c r="B130" s="27" t="n"/>
      <c r="C130" s="5" t="n"/>
      <c r="D130" s="28" t="n"/>
      <c r="E130" s="5" t="n"/>
      <c r="F130" s="27" t="n"/>
    </row>
    <row r="131">
      <c r="A131" s="26" t="n"/>
      <c r="B131" s="27" t="n"/>
      <c r="C131" s="5" t="n"/>
      <c r="D131" s="28" t="n"/>
      <c r="E131" s="5" t="n"/>
      <c r="F131" s="27" t="n"/>
    </row>
    <row r="132">
      <c r="A132" s="26" t="n"/>
      <c r="B132" s="27" t="n"/>
      <c r="C132" s="5" t="n"/>
      <c r="D132" s="28" t="n"/>
      <c r="E132" s="5" t="n"/>
      <c r="F132" s="27" t="n"/>
    </row>
    <row r="133">
      <c r="A133" s="26" t="n"/>
      <c r="B133" s="27" t="n"/>
      <c r="C133" s="5" t="n"/>
      <c r="D133" s="28" t="n"/>
      <c r="E133" s="5" t="n"/>
      <c r="F133" s="27" t="n"/>
    </row>
    <row r="134">
      <c r="A134" s="26" t="n"/>
      <c r="B134" s="27" t="n"/>
      <c r="C134" s="5" t="n"/>
      <c r="D134" s="28" t="n"/>
      <c r="E134" s="5" t="n"/>
      <c r="F134" s="27" t="n"/>
    </row>
    <row r="135">
      <c r="A135" s="26" t="n"/>
      <c r="B135" s="27" t="n"/>
      <c r="C135" s="5" t="n"/>
      <c r="D135" s="28" t="n"/>
      <c r="E135" s="5" t="n"/>
      <c r="F135" s="27" t="n"/>
    </row>
    <row r="136">
      <c r="A136" s="26" t="n"/>
      <c r="B136" s="27" t="n"/>
      <c r="C136" s="5" t="n"/>
      <c r="D136" s="28" t="n"/>
      <c r="E136" s="5" t="n"/>
      <c r="F136" s="27" t="n"/>
    </row>
    <row r="137">
      <c r="A137" s="26" t="n"/>
      <c r="B137" s="27" t="n"/>
      <c r="C137" s="5" t="n"/>
      <c r="D137" s="28" t="n"/>
      <c r="E137" s="5" t="n"/>
      <c r="F137" s="27" t="n"/>
    </row>
    <row r="138">
      <c r="A138" s="26" t="n"/>
      <c r="B138" s="27" t="n"/>
      <c r="C138" s="5" t="n"/>
      <c r="D138" s="28" t="n"/>
      <c r="E138" s="5" t="n"/>
      <c r="F138" s="27" t="n"/>
    </row>
    <row r="139">
      <c r="A139" s="26" t="n"/>
      <c r="B139" s="27" t="n"/>
      <c r="C139" s="5" t="n"/>
      <c r="D139" s="28" t="n"/>
      <c r="E139" s="5" t="n"/>
      <c r="F139" s="27" t="n"/>
    </row>
    <row r="140">
      <c r="A140" s="26" t="n"/>
      <c r="B140" s="27" t="n"/>
      <c r="C140" s="5" t="n"/>
      <c r="D140" s="28" t="n"/>
      <c r="E140" s="5" t="n"/>
      <c r="F140" s="27" t="n"/>
    </row>
    <row r="141">
      <c r="A141" s="26" t="n"/>
      <c r="B141" s="27" t="n"/>
      <c r="C141" s="5" t="n"/>
      <c r="D141" s="28" t="n"/>
      <c r="E141" s="5" t="n"/>
      <c r="F141" s="27" t="n"/>
    </row>
    <row r="142">
      <c r="A142" s="26" t="n"/>
      <c r="B142" s="27" t="n"/>
      <c r="C142" s="5" t="n"/>
      <c r="D142" s="28" t="n"/>
      <c r="E142" s="5" t="n"/>
      <c r="F142" s="27" t="n"/>
    </row>
    <row r="143">
      <c r="A143" s="26" t="n"/>
      <c r="B143" s="27" t="n"/>
      <c r="C143" s="5" t="n"/>
      <c r="D143" s="28" t="n"/>
      <c r="E143" s="5" t="n"/>
      <c r="F143" s="27" t="n"/>
    </row>
    <row r="144">
      <c r="A144" s="26" t="n"/>
      <c r="B144" s="27" t="n"/>
      <c r="C144" s="5" t="n"/>
      <c r="D144" s="28" t="n"/>
      <c r="E144" s="5" t="n"/>
      <c r="F144" s="27" t="n"/>
    </row>
    <row r="145">
      <c r="A145" s="26" t="n"/>
      <c r="B145" s="27" t="n"/>
      <c r="C145" s="5" t="n"/>
      <c r="D145" s="28" t="n"/>
      <c r="E145" s="5" t="n"/>
      <c r="F145" s="27" t="n"/>
    </row>
    <row r="146">
      <c r="A146" s="26" t="n"/>
      <c r="B146" s="27" t="n"/>
      <c r="C146" s="5" t="n"/>
      <c r="D146" s="28" t="n"/>
      <c r="E146" s="5" t="n"/>
      <c r="F146" s="27" t="n"/>
    </row>
    <row r="147">
      <c r="A147" s="26" t="n"/>
      <c r="B147" s="27" t="n"/>
      <c r="C147" s="5" t="n"/>
      <c r="D147" s="28" t="n"/>
      <c r="E147" s="5" t="n"/>
      <c r="F147" s="27" t="n"/>
    </row>
    <row r="148">
      <c r="A148" s="26" t="n"/>
      <c r="B148" s="27" t="n"/>
      <c r="C148" s="5" t="n"/>
      <c r="D148" s="28" t="n"/>
      <c r="E148" s="5" t="n"/>
      <c r="F148" s="27" t="n"/>
    </row>
    <row r="149">
      <c r="A149" s="26" t="n"/>
      <c r="B149" s="27" t="n"/>
      <c r="C149" s="5" t="n"/>
      <c r="D149" s="28" t="n"/>
      <c r="E149" s="5" t="n"/>
      <c r="F149" s="27" t="n"/>
    </row>
    <row r="150">
      <c r="A150" s="26" t="n"/>
      <c r="B150" s="27" t="n"/>
      <c r="C150" s="5" t="n"/>
      <c r="D150" s="28" t="n"/>
      <c r="E150" s="5" t="n"/>
      <c r="F150" s="27" t="n"/>
    </row>
    <row r="151">
      <c r="A151" s="26" t="n"/>
      <c r="B151" s="27" t="n"/>
      <c r="C151" s="5" t="n"/>
      <c r="D151" s="28" t="n"/>
      <c r="E151" s="5" t="n"/>
      <c r="F151" s="27" t="n"/>
    </row>
    <row r="152">
      <c r="A152" s="26" t="n"/>
      <c r="B152" s="27" t="n"/>
      <c r="C152" s="5" t="n"/>
      <c r="D152" s="28" t="n"/>
      <c r="E152" s="5" t="n"/>
      <c r="F152" s="27" t="n"/>
    </row>
    <row r="153">
      <c r="A153" s="26" t="n"/>
      <c r="B153" s="27" t="n"/>
      <c r="C153" s="5" t="n"/>
      <c r="D153" s="28" t="n"/>
      <c r="E153" s="5" t="n"/>
      <c r="F153" s="27" t="n"/>
    </row>
    <row r="154">
      <c r="A154" s="26" t="n"/>
      <c r="B154" s="27" t="n"/>
      <c r="C154" s="5" t="n"/>
      <c r="D154" s="28" t="n"/>
      <c r="E154" s="5" t="n"/>
      <c r="F154" s="27" t="n"/>
    </row>
    <row r="155">
      <c r="A155" s="26" t="n"/>
      <c r="B155" s="27" t="n"/>
      <c r="C155" s="5" t="n"/>
      <c r="D155" s="28" t="n"/>
      <c r="E155" s="5" t="n"/>
      <c r="F155" s="27" t="n"/>
    </row>
    <row r="156">
      <c r="A156" s="26" t="n"/>
      <c r="B156" s="27" t="n"/>
      <c r="C156" s="5" t="n"/>
      <c r="D156" s="28" t="n"/>
      <c r="E156" s="5" t="n"/>
      <c r="F156" s="27" t="n"/>
    </row>
    <row r="157">
      <c r="A157" s="26" t="n"/>
      <c r="B157" s="27" t="n"/>
      <c r="C157" s="5" t="n"/>
      <c r="D157" s="28" t="n"/>
      <c r="E157" s="5" t="n"/>
      <c r="F157" s="27" t="n"/>
    </row>
    <row r="158">
      <c r="A158" s="26" t="n"/>
      <c r="B158" s="27" t="n"/>
      <c r="C158" s="5" t="n"/>
      <c r="D158" s="28" t="n"/>
      <c r="E158" s="5" t="n"/>
      <c r="F158" s="27" t="n"/>
    </row>
    <row r="159">
      <c r="A159" s="26" t="n"/>
      <c r="B159" s="27" t="n"/>
      <c r="C159" s="5" t="n"/>
      <c r="D159" s="28" t="n"/>
      <c r="E159" s="5" t="n"/>
      <c r="F159" s="27" t="n"/>
    </row>
    <row r="160">
      <c r="A160" s="26" t="n"/>
      <c r="B160" s="27" t="n"/>
      <c r="C160" s="5" t="n"/>
      <c r="D160" s="28" t="n"/>
      <c r="E160" s="5" t="n"/>
      <c r="F160" s="27" t="n"/>
    </row>
    <row r="161">
      <c r="A161" s="26" t="n"/>
      <c r="B161" s="27" t="n"/>
      <c r="C161" s="5" t="n"/>
      <c r="D161" s="28" t="n"/>
      <c r="E161" s="5" t="n"/>
      <c r="F161" s="27" t="n"/>
    </row>
    <row r="162">
      <c r="A162" s="26" t="n"/>
      <c r="B162" s="27" t="n"/>
      <c r="C162" s="5" t="n"/>
      <c r="D162" s="28" t="n"/>
      <c r="E162" s="5" t="n"/>
      <c r="F162" s="27" t="n"/>
    </row>
    <row r="163">
      <c r="A163" s="26" t="n"/>
      <c r="B163" s="27" t="n"/>
      <c r="C163" s="5" t="n"/>
      <c r="D163" s="28" t="n"/>
      <c r="E163" s="5" t="n"/>
      <c r="F163" s="27" t="n"/>
    </row>
    <row r="164">
      <c r="A164" s="26" t="n"/>
      <c r="B164" s="27" t="n"/>
      <c r="C164" s="5" t="n"/>
      <c r="D164" s="28" t="n"/>
      <c r="E164" s="5" t="n"/>
      <c r="F164" s="27" t="n"/>
    </row>
    <row r="165">
      <c r="A165" s="26" t="n"/>
      <c r="B165" s="27" t="n"/>
      <c r="C165" s="5" t="n"/>
      <c r="D165" s="28" t="n"/>
      <c r="E165" s="5" t="n"/>
      <c r="F165" s="27" t="n"/>
    </row>
    <row r="166">
      <c r="A166" s="26" t="n"/>
      <c r="B166" s="27" t="n"/>
      <c r="C166" s="5" t="n"/>
      <c r="D166" s="28" t="n"/>
      <c r="E166" s="5" t="n"/>
      <c r="F166" s="27" t="n"/>
    </row>
    <row r="167">
      <c r="A167" s="26" t="n"/>
      <c r="B167" s="27" t="n"/>
      <c r="C167" s="5" t="n"/>
      <c r="D167" s="28" t="n"/>
      <c r="E167" s="5" t="n"/>
      <c r="F167" s="27" t="n"/>
    </row>
    <row r="168">
      <c r="A168" s="26" t="n"/>
      <c r="B168" s="27" t="n"/>
      <c r="C168" s="5" t="n"/>
      <c r="D168" s="28" t="n"/>
      <c r="E168" s="5" t="n"/>
      <c r="F168" s="27" t="n"/>
    </row>
    <row r="169">
      <c r="A169" s="26" t="n"/>
      <c r="B169" s="27" t="n"/>
      <c r="C169" s="5" t="n"/>
      <c r="D169" s="28" t="n"/>
      <c r="E169" s="5" t="n"/>
      <c r="F169" s="27" t="n"/>
    </row>
    <row r="170">
      <c r="A170" s="26" t="n"/>
      <c r="B170" s="27" t="n"/>
      <c r="C170" s="5" t="n"/>
      <c r="D170" s="28" t="n"/>
      <c r="E170" s="5" t="n"/>
      <c r="F170" s="27" t="n"/>
    </row>
    <row r="171">
      <c r="A171" s="26" t="n"/>
      <c r="B171" s="27" t="n"/>
      <c r="C171" s="5" t="n"/>
      <c r="D171" s="28" t="n"/>
      <c r="E171" s="5" t="n"/>
      <c r="F171" s="27" t="n"/>
    </row>
    <row r="172">
      <c r="A172" s="26" t="n"/>
      <c r="B172" s="27" t="n"/>
      <c r="C172" s="5" t="n"/>
      <c r="D172" s="28" t="n"/>
      <c r="E172" s="5" t="n"/>
      <c r="F172" s="27" t="n"/>
    </row>
    <row r="173">
      <c r="A173" s="26" t="n"/>
      <c r="B173" s="27" t="n"/>
      <c r="C173" s="5" t="n"/>
      <c r="D173" s="28" t="n"/>
      <c r="E173" s="5" t="n"/>
      <c r="F173" s="27" t="n"/>
    </row>
    <row r="174">
      <c r="A174" s="26" t="n"/>
      <c r="B174" s="27" t="n"/>
      <c r="C174" s="5" t="n"/>
      <c r="D174" s="28" t="n"/>
      <c r="E174" s="5" t="n"/>
      <c r="F174" s="27" t="n"/>
    </row>
    <row r="175">
      <c r="A175" s="26" t="n"/>
      <c r="B175" s="27" t="n"/>
      <c r="C175" s="5" t="n"/>
      <c r="D175" s="28" t="n"/>
      <c r="E175" s="5" t="n"/>
      <c r="F175" s="27" t="n"/>
    </row>
    <row r="176">
      <c r="A176" s="26" t="n"/>
      <c r="B176" s="27" t="n"/>
      <c r="C176" s="5" t="n"/>
      <c r="D176" s="28" t="n"/>
      <c r="E176" s="5" t="n"/>
      <c r="F176" s="27" t="n"/>
    </row>
    <row r="177">
      <c r="A177" s="26" t="n"/>
      <c r="B177" s="27" t="n"/>
      <c r="C177" s="5" t="n"/>
      <c r="D177" s="28" t="n"/>
      <c r="E177" s="5" t="n"/>
      <c r="F177" s="27" t="n"/>
    </row>
    <row r="178">
      <c r="A178" s="26" t="n"/>
      <c r="B178" s="27" t="n"/>
      <c r="C178" s="5" t="n"/>
      <c r="D178" s="28" t="n"/>
      <c r="E178" s="5" t="n"/>
      <c r="F178" s="27" t="n"/>
    </row>
    <row r="179">
      <c r="A179" s="26" t="n"/>
      <c r="B179" s="27" t="n"/>
      <c r="C179" s="5" t="n"/>
      <c r="D179" s="28" t="n"/>
      <c r="E179" s="5" t="n"/>
      <c r="F179" s="27" t="n"/>
    </row>
    <row r="180">
      <c r="A180" s="26" t="n"/>
      <c r="B180" s="27" t="n"/>
      <c r="C180" s="5" t="n"/>
      <c r="D180" s="28" t="n"/>
      <c r="E180" s="5" t="n"/>
      <c r="F180" s="27" t="n"/>
    </row>
    <row r="181">
      <c r="A181" s="26" t="n"/>
      <c r="B181" s="27" t="n"/>
      <c r="C181" s="5" t="n"/>
      <c r="D181" s="28" t="n"/>
      <c r="E181" s="5" t="n"/>
      <c r="F181" s="27" t="n"/>
    </row>
    <row r="182">
      <c r="A182" s="26" t="n"/>
      <c r="B182" s="27" t="n"/>
      <c r="C182" s="5" t="n"/>
      <c r="D182" s="28" t="n"/>
      <c r="E182" s="5" t="n"/>
      <c r="F182" s="27" t="n"/>
    </row>
    <row r="183">
      <c r="A183" s="26" t="n"/>
      <c r="B183" s="27" t="n"/>
      <c r="C183" s="5" t="n"/>
      <c r="D183" s="28" t="n"/>
      <c r="E183" s="5" t="n"/>
      <c r="F183" s="27" t="n"/>
    </row>
    <row r="184">
      <c r="A184" s="26" t="n"/>
      <c r="B184" s="27" t="n"/>
      <c r="C184" s="5" t="n"/>
      <c r="D184" s="28" t="n"/>
      <c r="E184" s="5" t="n"/>
      <c r="F184" s="27" t="n"/>
    </row>
    <row r="185">
      <c r="A185" s="26" t="n"/>
      <c r="B185" s="27" t="n"/>
      <c r="C185" s="5" t="n"/>
      <c r="D185" s="28" t="n"/>
      <c r="E185" s="5" t="n"/>
      <c r="F185" s="27" t="n"/>
    </row>
    <row r="186">
      <c r="A186" s="26" t="n"/>
      <c r="B186" s="27" t="n"/>
      <c r="C186" s="5" t="n"/>
      <c r="D186" s="28" t="n"/>
      <c r="E186" s="5" t="n"/>
      <c r="F186" s="27" t="n"/>
    </row>
    <row r="187">
      <c r="A187" s="26" t="n"/>
      <c r="B187" s="27" t="n"/>
      <c r="C187" s="5" t="n"/>
      <c r="D187" s="28" t="n"/>
      <c r="E187" s="5" t="n"/>
      <c r="F187" s="27" t="n"/>
    </row>
    <row r="188">
      <c r="A188" s="26" t="n"/>
      <c r="B188" s="27" t="n"/>
      <c r="C188" s="5" t="n"/>
      <c r="D188" s="28" t="n"/>
      <c r="E188" s="5" t="n"/>
      <c r="F188" s="27" t="n"/>
    </row>
    <row r="189">
      <c r="A189" s="26" t="n"/>
      <c r="B189" s="27" t="n"/>
      <c r="C189" s="5" t="n"/>
      <c r="D189" s="28" t="n"/>
      <c r="E189" s="5" t="n"/>
      <c r="F189" s="27" t="n"/>
    </row>
    <row r="190">
      <c r="A190" s="26" t="n"/>
      <c r="B190" s="27" t="n"/>
      <c r="C190" s="5" t="n"/>
      <c r="D190" s="28" t="n"/>
      <c r="E190" s="5" t="n"/>
      <c r="F190" s="27" t="n"/>
    </row>
    <row r="191">
      <c r="A191" s="26" t="n"/>
      <c r="B191" s="27" t="n"/>
      <c r="C191" s="5" t="n"/>
      <c r="D191" s="28" t="n"/>
      <c r="E191" s="5" t="n"/>
      <c r="F191" s="27" t="n"/>
    </row>
    <row r="192">
      <c r="A192" s="26" t="n"/>
      <c r="B192" s="27" t="n"/>
      <c r="C192" s="5" t="n"/>
      <c r="D192" s="28" t="n"/>
      <c r="E192" s="5" t="n"/>
      <c r="F192" s="27" t="n"/>
    </row>
    <row r="193">
      <c r="A193" s="26" t="n"/>
      <c r="B193" s="27" t="n"/>
      <c r="C193" s="5" t="n"/>
      <c r="D193" s="28" t="n"/>
      <c r="E193" s="5" t="n"/>
      <c r="F193" s="27" t="n"/>
    </row>
    <row r="194">
      <c r="A194" s="26" t="n"/>
      <c r="B194" s="27" t="n"/>
      <c r="C194" s="5" t="n"/>
      <c r="D194" s="28" t="n"/>
      <c r="E194" s="5" t="n"/>
      <c r="F194" s="27" t="n"/>
    </row>
    <row r="195">
      <c r="A195" s="26" t="n"/>
      <c r="B195" s="27" t="n"/>
      <c r="C195" s="5" t="n"/>
      <c r="D195" s="28" t="n"/>
      <c r="E195" s="5" t="n"/>
      <c r="F195" s="27" t="n"/>
    </row>
    <row r="196">
      <c r="A196" s="26" t="n"/>
      <c r="B196" s="27" t="n"/>
      <c r="C196" s="5" t="n"/>
      <c r="D196" s="28" t="n"/>
      <c r="E196" s="5" t="n"/>
      <c r="F196" s="27" t="n"/>
    </row>
    <row r="197">
      <c r="A197" s="26" t="n"/>
      <c r="B197" s="27" t="n"/>
      <c r="C197" s="5" t="n"/>
      <c r="D197" s="28" t="n"/>
      <c r="E197" s="5" t="n"/>
      <c r="F197" s="27" t="n"/>
    </row>
    <row r="198">
      <c r="A198" s="26" t="n"/>
      <c r="B198" s="27" t="n"/>
      <c r="C198" s="5" t="n"/>
      <c r="D198" s="28" t="n"/>
      <c r="E198" s="5" t="n"/>
      <c r="F198" s="27" t="n"/>
    </row>
    <row r="199">
      <c r="A199" s="26" t="n"/>
      <c r="B199" s="27" t="n"/>
      <c r="C199" s="5" t="n"/>
      <c r="D199" s="28" t="n"/>
      <c r="E199" s="5" t="n"/>
      <c r="F199" s="27" t="n"/>
    </row>
    <row r="200">
      <c r="A200" s="26" t="n"/>
      <c r="B200" s="27" t="n"/>
      <c r="C200" s="5" t="n"/>
      <c r="D200" s="28" t="n"/>
      <c r="E200" s="5" t="n"/>
      <c r="F200" s="27" t="n"/>
    </row>
    <row r="201">
      <c r="A201" s="26" t="n"/>
      <c r="B201" s="27" t="n"/>
      <c r="C201" s="5" t="n"/>
      <c r="D201" s="28" t="n"/>
      <c r="E201" s="5" t="n"/>
      <c r="F201" s="27" t="n"/>
    </row>
    <row r="202">
      <c r="A202" s="26" t="n"/>
      <c r="B202" s="27" t="n"/>
      <c r="C202" s="5" t="n"/>
      <c r="D202" s="28" t="n"/>
      <c r="E202" s="5" t="n"/>
      <c r="F202" s="27" t="n"/>
    </row>
    <row r="203">
      <c r="A203" s="26" t="n"/>
      <c r="B203" s="27" t="n"/>
      <c r="C203" s="5" t="n"/>
      <c r="D203" s="28" t="n"/>
      <c r="E203" s="5" t="n"/>
      <c r="F203" s="27" t="n"/>
    </row>
    <row r="204">
      <c r="A204" s="26" t="n"/>
      <c r="B204" s="27" t="n"/>
      <c r="C204" s="5" t="n"/>
      <c r="D204" s="28" t="n"/>
      <c r="E204" s="5" t="n"/>
      <c r="F204" s="27" t="n"/>
    </row>
    <row r="205">
      <c r="A205" s="26" t="n"/>
      <c r="B205" s="27" t="n"/>
      <c r="C205" s="5" t="n"/>
      <c r="D205" s="28" t="n"/>
      <c r="E205" s="5" t="n"/>
      <c r="F205" s="27" t="n"/>
    </row>
    <row r="206">
      <c r="A206" s="26" t="n"/>
      <c r="B206" s="27" t="n"/>
      <c r="C206" s="5" t="n"/>
      <c r="D206" s="28" t="n"/>
      <c r="E206" s="5" t="n"/>
      <c r="F206" s="27" t="n"/>
    </row>
    <row r="207">
      <c r="A207" s="26" t="n"/>
      <c r="B207" s="27" t="n"/>
      <c r="C207" s="5" t="n"/>
      <c r="D207" s="28" t="n"/>
      <c r="E207" s="5" t="n"/>
      <c r="F207" s="27" t="n"/>
    </row>
    <row r="208">
      <c r="A208" s="26" t="n"/>
      <c r="B208" s="27" t="n"/>
      <c r="C208" s="5" t="n"/>
      <c r="D208" s="28" t="n"/>
      <c r="E208" s="5" t="n"/>
      <c r="F208" s="27" t="n"/>
    </row>
    <row r="209">
      <c r="A209" s="26" t="n"/>
      <c r="B209" s="27" t="n"/>
      <c r="C209" s="5" t="n"/>
      <c r="D209" s="28" t="n"/>
      <c r="E209" s="5" t="n"/>
      <c r="F209" s="27" t="n"/>
    </row>
    <row r="210">
      <c r="A210" s="26" t="n"/>
      <c r="B210" s="27" t="n"/>
      <c r="C210" s="5" t="n"/>
      <c r="D210" s="28" t="n"/>
      <c r="E210" s="5" t="n"/>
      <c r="F210" s="27" t="n"/>
    </row>
    <row r="211">
      <c r="A211" s="26" t="n"/>
      <c r="B211" s="27" t="n"/>
      <c r="C211" s="5" t="n"/>
      <c r="D211" s="28" t="n"/>
      <c r="E211" s="5" t="n"/>
      <c r="F211" s="27" t="n"/>
    </row>
    <row r="212">
      <c r="A212" s="26" t="n"/>
      <c r="B212" s="27" t="n"/>
      <c r="C212" s="5" t="n"/>
      <c r="D212" s="28" t="n"/>
      <c r="E212" s="5" t="n"/>
      <c r="F212" s="27" t="n"/>
    </row>
    <row r="213">
      <c r="A213" s="26" t="n"/>
      <c r="B213" s="27" t="n"/>
      <c r="C213" s="5" t="n"/>
      <c r="D213" s="28" t="n"/>
      <c r="E213" s="5" t="n"/>
      <c r="F213" s="27" t="n"/>
    </row>
    <row r="214">
      <c r="A214" s="26" t="n"/>
      <c r="B214" s="27" t="n"/>
      <c r="C214" s="5" t="n"/>
      <c r="D214" s="28" t="n"/>
      <c r="E214" s="5" t="n"/>
      <c r="F214" s="27" t="n"/>
    </row>
    <row r="215">
      <c r="A215" s="26" t="n"/>
      <c r="B215" s="27" t="n"/>
      <c r="C215" s="5" t="n"/>
      <c r="D215" s="28" t="n"/>
      <c r="E215" s="5" t="n"/>
      <c r="F215" s="27" t="n"/>
    </row>
    <row r="216">
      <c r="A216" s="26" t="n"/>
      <c r="B216" s="27" t="n"/>
      <c r="C216" s="5" t="n"/>
      <c r="D216" s="28" t="n"/>
      <c r="E216" s="5" t="n"/>
      <c r="F216" s="27" t="n"/>
    </row>
    <row r="217">
      <c r="A217" s="26" t="n"/>
      <c r="B217" s="27" t="n"/>
      <c r="C217" s="5" t="n"/>
      <c r="D217" s="28" t="n"/>
      <c r="E217" s="5" t="n"/>
      <c r="F217" s="27" t="n"/>
    </row>
    <row r="218">
      <c r="A218" s="26" t="n"/>
      <c r="B218" s="27" t="n"/>
      <c r="C218" s="5" t="n"/>
      <c r="D218" s="28" t="n"/>
      <c r="E218" s="5" t="n"/>
      <c r="F218" s="27" t="n"/>
    </row>
    <row r="219">
      <c r="A219" s="26" t="n"/>
      <c r="B219" s="27" t="n"/>
      <c r="C219" s="5" t="n"/>
      <c r="D219" s="28" t="n"/>
      <c r="E219" s="5" t="n"/>
      <c r="F219" s="27" t="n"/>
    </row>
    <row r="220">
      <c r="A220" s="26" t="n"/>
      <c r="B220" s="27" t="n"/>
      <c r="C220" s="5" t="n"/>
      <c r="D220" s="28" t="n"/>
      <c r="E220" s="5" t="n"/>
      <c r="F220" s="27" t="n"/>
    </row>
    <row r="221">
      <c r="A221" s="26" t="n"/>
      <c r="B221" s="27" t="n"/>
      <c r="C221" s="5" t="n"/>
      <c r="D221" s="28" t="n"/>
      <c r="E221" s="5" t="n"/>
      <c r="F221" s="27" t="n"/>
    </row>
    <row r="222">
      <c r="A222" s="26" t="n"/>
      <c r="B222" s="27" t="n"/>
      <c r="C222" s="5" t="n"/>
      <c r="D222" s="28" t="n"/>
      <c r="E222" s="5" t="n"/>
      <c r="F222" s="27" t="n"/>
    </row>
    <row r="223">
      <c r="A223" s="26" t="n"/>
      <c r="B223" s="27" t="n"/>
      <c r="C223" s="5" t="n"/>
      <c r="D223" s="28" t="n"/>
      <c r="E223" s="5" t="n"/>
      <c r="F223" s="27" t="n"/>
    </row>
    <row r="224">
      <c r="A224" s="26" t="n"/>
      <c r="B224" s="27" t="n"/>
      <c r="C224" s="5" t="n"/>
      <c r="D224" s="28" t="n"/>
      <c r="E224" s="5" t="n"/>
      <c r="F224" s="27" t="n"/>
    </row>
    <row r="225">
      <c r="A225" s="26" t="n"/>
      <c r="B225" s="27" t="n"/>
      <c r="C225" s="5" t="n"/>
      <c r="D225" s="28" t="n"/>
      <c r="E225" s="5" t="n"/>
      <c r="F225" s="27" t="n"/>
    </row>
    <row r="226">
      <c r="A226" s="26" t="n"/>
      <c r="B226" s="27" t="n"/>
      <c r="C226" s="5" t="n"/>
      <c r="D226" s="28" t="n"/>
      <c r="E226" s="5" t="n"/>
      <c r="F226" s="27" t="n"/>
    </row>
    <row r="227">
      <c r="A227" s="26" t="n"/>
      <c r="B227" s="27" t="n"/>
      <c r="C227" s="5" t="n"/>
      <c r="D227" s="28" t="n"/>
      <c r="E227" s="5" t="n"/>
      <c r="F227" s="27" t="n"/>
    </row>
    <row r="228">
      <c r="A228" s="26" t="n"/>
      <c r="B228" s="27" t="n"/>
      <c r="C228" s="5" t="n"/>
      <c r="D228" s="28" t="n"/>
      <c r="E228" s="5" t="n"/>
      <c r="F228" s="27" t="n"/>
    </row>
    <row r="229">
      <c r="A229" s="26" t="n"/>
      <c r="B229" s="27" t="n"/>
      <c r="C229" s="5" t="n"/>
      <c r="D229" s="28" t="n"/>
      <c r="E229" s="5" t="n"/>
      <c r="F229" s="27" t="n"/>
    </row>
    <row r="230">
      <c r="A230" s="26" t="n"/>
      <c r="B230" s="27" t="n"/>
      <c r="C230" s="5" t="n"/>
      <c r="D230" s="28" t="n"/>
      <c r="E230" s="5" t="n"/>
      <c r="F230" s="27" t="n"/>
    </row>
    <row r="231">
      <c r="A231" s="26" t="n"/>
      <c r="B231" s="27" t="n"/>
      <c r="C231" s="5" t="n"/>
      <c r="D231" s="28" t="n"/>
      <c r="E231" s="5" t="n"/>
      <c r="F231" s="27" t="n"/>
    </row>
    <row r="232">
      <c r="A232" s="26" t="n"/>
      <c r="B232" s="27" t="n"/>
      <c r="C232" s="5" t="n"/>
      <c r="D232" s="28" t="n"/>
      <c r="E232" s="5" t="n"/>
      <c r="F232" s="27" t="n"/>
    </row>
    <row r="233">
      <c r="A233" s="26" t="n"/>
      <c r="B233" s="27" t="n"/>
      <c r="C233" s="5" t="n"/>
      <c r="D233" s="28" t="n"/>
      <c r="E233" s="5" t="n"/>
      <c r="F233" s="27" t="n"/>
    </row>
    <row r="234">
      <c r="A234" s="26" t="n"/>
      <c r="B234" s="27" t="n"/>
      <c r="C234" s="5" t="n"/>
      <c r="D234" s="28" t="n"/>
      <c r="E234" s="5" t="n"/>
      <c r="F234" s="27" t="n"/>
    </row>
    <row r="235">
      <c r="A235" s="26" t="n"/>
      <c r="B235" s="27" t="n"/>
      <c r="C235" s="5" t="n"/>
      <c r="D235" s="28" t="n"/>
      <c r="E235" s="5" t="n"/>
      <c r="F235" s="27" t="n"/>
    </row>
    <row r="236">
      <c r="A236" s="26" t="n"/>
      <c r="B236" s="27" t="n"/>
      <c r="C236" s="5" t="n"/>
      <c r="D236" s="28" t="n"/>
      <c r="E236" s="5" t="n"/>
      <c r="F236" s="27" t="n"/>
    </row>
    <row r="237">
      <c r="A237" s="26" t="n"/>
      <c r="B237" s="27" t="n"/>
      <c r="C237" s="5" t="n"/>
      <c r="D237" s="28" t="n"/>
      <c r="E237" s="5" t="n"/>
      <c r="F237" s="27" t="n"/>
    </row>
    <row r="238">
      <c r="A238" s="26" t="n"/>
      <c r="B238" s="27" t="n"/>
      <c r="C238" s="5" t="n"/>
      <c r="D238" s="28" t="n"/>
      <c r="E238" s="5" t="n"/>
      <c r="F238" s="27" t="n"/>
    </row>
    <row r="239">
      <c r="A239" s="26" t="n"/>
      <c r="B239" s="27" t="n"/>
      <c r="C239" s="5" t="n"/>
      <c r="D239" s="28" t="n"/>
      <c r="E239" s="5" t="n"/>
      <c r="F239" s="27" t="n"/>
    </row>
    <row r="240">
      <c r="A240" s="26" t="n"/>
      <c r="B240" s="27" t="n"/>
      <c r="C240" s="5" t="n"/>
      <c r="D240" s="28" t="n"/>
      <c r="E240" s="5" t="n"/>
      <c r="F240" s="27" t="n"/>
    </row>
    <row r="241">
      <c r="A241" s="26" t="n"/>
      <c r="B241" s="27" t="n"/>
      <c r="C241" s="5" t="n"/>
      <c r="D241" s="28" t="n"/>
      <c r="E241" s="5" t="n"/>
      <c r="F241" s="27" t="n"/>
    </row>
    <row r="242">
      <c r="A242" s="26" t="n"/>
      <c r="B242" s="27" t="n"/>
      <c r="C242" s="5" t="n"/>
      <c r="D242" s="28" t="n"/>
      <c r="E242" s="5" t="n"/>
      <c r="F242" s="27" t="n"/>
    </row>
    <row r="243">
      <c r="A243" s="26" t="n"/>
      <c r="B243" s="27" t="n"/>
      <c r="C243" s="5" t="n"/>
      <c r="D243" s="28" t="n"/>
      <c r="E243" s="5" t="n"/>
      <c r="F243" s="27" t="n"/>
    </row>
    <row r="244">
      <c r="A244" s="26" t="n"/>
      <c r="B244" s="27" t="n"/>
      <c r="C244" s="5" t="n"/>
      <c r="D244" s="28" t="n"/>
      <c r="E244" s="5" t="n"/>
      <c r="F244" s="27" t="n"/>
    </row>
    <row r="245">
      <c r="A245" s="26" t="n"/>
      <c r="B245" s="27" t="n"/>
      <c r="C245" s="5" t="n"/>
      <c r="D245" s="28" t="n"/>
      <c r="E245" s="5" t="n"/>
      <c r="F245" s="27" t="n"/>
    </row>
    <row r="246">
      <c r="A246" s="26" t="n"/>
      <c r="B246" s="27" t="n"/>
      <c r="C246" s="5" t="n"/>
      <c r="D246" s="28" t="n"/>
      <c r="E246" s="5" t="n"/>
      <c r="F246" s="27" t="n"/>
    </row>
    <row r="247">
      <c r="A247" s="26" t="n"/>
      <c r="B247" s="27" t="n"/>
      <c r="C247" s="5" t="n"/>
      <c r="D247" s="28" t="n"/>
      <c r="E247" s="5" t="n"/>
      <c r="F247" s="27" t="n"/>
    </row>
    <row r="248">
      <c r="A248" s="26" t="n"/>
      <c r="B248" s="27" t="n"/>
      <c r="C248" s="5" t="n"/>
      <c r="D248" s="28" t="n"/>
      <c r="E248" s="5" t="n"/>
      <c r="F248" s="27" t="n"/>
    </row>
    <row r="249">
      <c r="A249" s="26" t="n"/>
      <c r="B249" s="27" t="n"/>
      <c r="C249" s="5" t="n"/>
      <c r="D249" s="28" t="n"/>
      <c r="E249" s="5" t="n"/>
      <c r="F249" s="27" t="n"/>
    </row>
    <row r="250">
      <c r="A250" s="26" t="n"/>
      <c r="B250" s="27" t="n"/>
      <c r="C250" s="5" t="n"/>
      <c r="D250" s="28" t="n"/>
      <c r="E250" s="5" t="n"/>
      <c r="F250" s="27" t="n"/>
    </row>
    <row r="251">
      <c r="A251" s="26" t="n"/>
      <c r="B251" s="27" t="n"/>
      <c r="C251" s="5" t="n"/>
      <c r="D251" s="28" t="n"/>
      <c r="E251" s="5" t="n"/>
      <c r="F251" s="27" t="n"/>
    </row>
    <row r="252">
      <c r="A252" s="26" t="n"/>
      <c r="B252" s="27" t="n"/>
      <c r="C252" s="5" t="n"/>
      <c r="D252" s="28" t="n"/>
      <c r="E252" s="5" t="n"/>
      <c r="F252" s="27" t="n"/>
    </row>
    <row r="253">
      <c r="A253" s="26" t="n"/>
      <c r="B253" s="27" t="n"/>
      <c r="C253" s="5" t="n"/>
      <c r="D253" s="28" t="n"/>
      <c r="E253" s="5" t="n"/>
      <c r="F253" s="27" t="n"/>
    </row>
    <row r="254">
      <c r="A254" s="26" t="n"/>
      <c r="B254" s="27" t="n"/>
      <c r="C254" s="5" t="n"/>
      <c r="D254" s="28" t="n"/>
      <c r="E254" s="5" t="n"/>
      <c r="F254" s="27" t="n"/>
    </row>
    <row r="255">
      <c r="A255" s="26" t="n"/>
      <c r="B255" s="27" t="n"/>
      <c r="C255" s="5" t="n"/>
      <c r="D255" s="28" t="n"/>
      <c r="E255" s="5" t="n"/>
      <c r="F255" s="27" t="n"/>
    </row>
    <row r="256">
      <c r="A256" s="26" t="n"/>
      <c r="B256" s="27" t="n"/>
      <c r="C256" s="5" t="n"/>
      <c r="D256" s="28" t="n"/>
      <c r="E256" s="5" t="n"/>
      <c r="F256" s="27" t="n"/>
    </row>
    <row r="257">
      <c r="A257" s="26" t="n"/>
      <c r="B257" s="27" t="n"/>
      <c r="C257" s="5" t="n"/>
      <c r="D257" s="28" t="n"/>
      <c r="E257" s="5" t="n"/>
      <c r="F257" s="27" t="n"/>
    </row>
    <row r="258">
      <c r="A258" s="26" t="n"/>
      <c r="B258" s="27" t="n"/>
      <c r="C258" s="5" t="n"/>
      <c r="D258" s="28" t="n"/>
      <c r="E258" s="5" t="n"/>
      <c r="F258" s="27" t="n"/>
    </row>
    <row r="259">
      <c r="A259" s="26" t="n"/>
      <c r="B259" s="27" t="n"/>
      <c r="C259" s="5" t="n"/>
      <c r="D259" s="28" t="n"/>
      <c r="E259" s="5" t="n"/>
      <c r="F259" s="27" t="n"/>
    </row>
    <row r="260">
      <c r="A260" s="26" t="n"/>
      <c r="B260" s="27" t="n"/>
      <c r="C260" s="5" t="n"/>
      <c r="D260" s="28" t="n"/>
      <c r="E260" s="5" t="n"/>
      <c r="F260" s="27" t="n"/>
    </row>
    <row r="261">
      <c r="A261" s="26" t="n"/>
      <c r="B261" s="27" t="n"/>
      <c r="C261" s="5" t="n"/>
      <c r="D261" s="28" t="n"/>
      <c r="E261" s="5" t="n"/>
      <c r="F261" s="27" t="n"/>
    </row>
    <row r="262">
      <c r="A262" s="26" t="n"/>
      <c r="B262" s="27" t="n"/>
      <c r="C262" s="5" t="n"/>
      <c r="D262" s="28" t="n"/>
      <c r="E262" s="5" t="n"/>
      <c r="F262" s="27" t="n"/>
    </row>
    <row r="263">
      <c r="A263" s="26" t="n"/>
      <c r="B263" s="27" t="n"/>
      <c r="C263" s="5" t="n"/>
      <c r="D263" s="28" t="n"/>
      <c r="E263" s="5" t="n"/>
      <c r="F263" s="27" t="n"/>
    </row>
    <row r="264">
      <c r="A264" s="26" t="n"/>
      <c r="B264" s="27" t="n"/>
      <c r="C264" s="5" t="n"/>
      <c r="D264" s="28" t="n"/>
      <c r="E264" s="5" t="n"/>
      <c r="F264" s="27" t="n"/>
    </row>
    <row r="265">
      <c r="A265" s="26" t="n"/>
      <c r="B265" s="27" t="n"/>
      <c r="C265" s="5" t="n"/>
      <c r="D265" s="28" t="n"/>
      <c r="E265" s="5" t="n"/>
      <c r="F265" s="27" t="n"/>
    </row>
    <row r="266">
      <c r="A266" s="26" t="n"/>
      <c r="B266" s="27" t="n"/>
      <c r="C266" s="5" t="n"/>
      <c r="D266" s="28" t="n"/>
      <c r="E266" s="5" t="n"/>
      <c r="F266" s="27" t="n"/>
    </row>
    <row r="267">
      <c r="A267" s="26" t="n"/>
      <c r="B267" s="27" t="n"/>
      <c r="C267" s="5" t="n"/>
      <c r="D267" s="28" t="n"/>
      <c r="E267" s="5" t="n"/>
      <c r="F267" s="27" t="n"/>
    </row>
    <row r="268">
      <c r="A268" s="26" t="n"/>
      <c r="B268" s="27" t="n"/>
      <c r="C268" s="5" t="n"/>
      <c r="D268" s="28" t="n"/>
      <c r="E268" s="5" t="n"/>
      <c r="F268" s="27" t="n"/>
    </row>
    <row r="269">
      <c r="A269" s="26" t="n"/>
      <c r="B269" s="27" t="n"/>
      <c r="C269" s="5" t="n"/>
      <c r="D269" s="28" t="n"/>
      <c r="E269" s="5" t="n"/>
      <c r="F269" s="27" t="n"/>
    </row>
    <row r="270">
      <c r="A270" s="26" t="n"/>
      <c r="B270" s="27" t="n"/>
      <c r="C270" s="5" t="n"/>
      <c r="D270" s="28" t="n"/>
      <c r="E270" s="5" t="n"/>
      <c r="F270" s="27" t="n"/>
    </row>
    <row r="271">
      <c r="A271" s="26" t="n"/>
      <c r="B271" s="27" t="n"/>
      <c r="C271" s="5" t="n"/>
      <c r="D271" s="28" t="n"/>
      <c r="E271" s="5" t="n"/>
      <c r="F271" s="27" t="n"/>
    </row>
    <row r="272">
      <c r="A272" s="26" t="n"/>
      <c r="B272" s="27" t="n"/>
      <c r="C272" s="5" t="n"/>
      <c r="D272" s="28" t="n"/>
      <c r="E272" s="5" t="n"/>
      <c r="F272" s="27" t="n"/>
    </row>
    <row r="273">
      <c r="A273" s="26" t="n"/>
      <c r="B273" s="27" t="n"/>
      <c r="C273" s="5" t="n"/>
      <c r="D273" s="28" t="n"/>
      <c r="E273" s="5" t="n"/>
      <c r="F273" s="27" t="n"/>
    </row>
    <row r="274">
      <c r="A274" s="26" t="n"/>
      <c r="B274" s="27" t="n"/>
      <c r="C274" s="5" t="n"/>
      <c r="D274" s="28" t="n"/>
      <c r="E274" s="5" t="n"/>
      <c r="F274" s="27" t="n"/>
    </row>
    <row r="275">
      <c r="A275" s="26" t="n"/>
      <c r="B275" s="27" t="n"/>
      <c r="C275" s="5" t="n"/>
      <c r="D275" s="28" t="n"/>
      <c r="E275" s="5" t="n"/>
      <c r="F275" s="27" t="n"/>
    </row>
    <row r="276">
      <c r="A276" s="26" t="n"/>
      <c r="B276" s="27" t="n"/>
      <c r="C276" s="5" t="n"/>
      <c r="D276" s="28" t="n"/>
      <c r="E276" s="5" t="n"/>
      <c r="F276" s="27" t="n"/>
    </row>
    <row r="277">
      <c r="A277" s="26" t="n"/>
      <c r="B277" s="27" t="n"/>
      <c r="C277" s="5" t="n"/>
      <c r="D277" s="28" t="n"/>
      <c r="E277" s="5" t="n"/>
      <c r="F277" s="27" t="n"/>
    </row>
    <row r="278">
      <c r="A278" s="26" t="n"/>
      <c r="B278" s="27" t="n"/>
      <c r="C278" s="5" t="n"/>
      <c r="D278" s="28" t="n"/>
      <c r="E278" s="5" t="n"/>
      <c r="F278" s="27" t="n"/>
    </row>
    <row r="279">
      <c r="A279" s="26" t="n"/>
      <c r="B279" s="27" t="n"/>
      <c r="C279" s="5" t="n"/>
      <c r="D279" s="28" t="n"/>
      <c r="E279" s="5" t="n"/>
      <c r="F279" s="27" t="n"/>
    </row>
    <row r="280">
      <c r="A280" s="26" t="n"/>
      <c r="B280" s="27" t="n"/>
      <c r="C280" s="5" t="n"/>
      <c r="D280" s="28" t="n"/>
      <c r="E280" s="5" t="n"/>
      <c r="F280" s="27" t="n"/>
    </row>
    <row r="281">
      <c r="A281" s="26" t="n"/>
      <c r="B281" s="27" t="n"/>
      <c r="C281" s="5" t="n"/>
      <c r="D281" s="28" t="n"/>
      <c r="E281" s="5" t="n"/>
      <c r="F281" s="27" t="n"/>
    </row>
    <row r="282">
      <c r="A282" s="26" t="n"/>
      <c r="B282" s="27" t="n"/>
      <c r="C282" s="5" t="n"/>
      <c r="D282" s="28" t="n"/>
      <c r="E282" s="5" t="n"/>
      <c r="F282" s="27" t="n"/>
    </row>
    <row r="283">
      <c r="A283" s="26" t="n"/>
      <c r="B283" s="27" t="n"/>
      <c r="C283" s="5" t="n"/>
      <c r="D283" s="28" t="n"/>
      <c r="E283" s="5" t="n"/>
      <c r="F283" s="27" t="n"/>
    </row>
    <row r="284">
      <c r="A284" s="26" t="n"/>
      <c r="B284" s="27" t="n"/>
      <c r="C284" s="5" t="n"/>
      <c r="D284" s="28" t="n"/>
      <c r="E284" s="5" t="n"/>
      <c r="F284" s="27" t="n"/>
    </row>
    <row r="285">
      <c r="A285" s="26" t="n"/>
      <c r="B285" s="27" t="n"/>
      <c r="C285" s="5" t="n"/>
      <c r="D285" s="28" t="n"/>
      <c r="E285" s="5" t="n"/>
      <c r="F285" s="27" t="n"/>
    </row>
    <row r="286">
      <c r="A286" s="26" t="n"/>
      <c r="B286" s="27" t="n"/>
      <c r="C286" s="5" t="n"/>
      <c r="D286" s="28" t="n"/>
      <c r="E286" s="5" t="n"/>
      <c r="F286" s="27" t="n"/>
    </row>
    <row r="287">
      <c r="A287" s="26" t="n"/>
      <c r="B287" s="27" t="n"/>
      <c r="C287" s="5" t="n"/>
      <c r="D287" s="28" t="n"/>
      <c r="E287" s="5" t="n"/>
      <c r="F287" s="27" t="n"/>
    </row>
    <row r="288">
      <c r="A288" s="26" t="n"/>
      <c r="B288" s="27" t="n"/>
      <c r="C288" s="5" t="n"/>
      <c r="D288" s="28" t="n"/>
      <c r="E288" s="5" t="n"/>
      <c r="F288" s="27" t="n"/>
    </row>
    <row r="289">
      <c r="A289" s="26" t="n"/>
      <c r="B289" s="27" t="n"/>
      <c r="C289" s="5" t="n"/>
      <c r="D289" s="28" t="n"/>
      <c r="E289" s="5" t="n"/>
      <c r="F289" s="27" t="n"/>
    </row>
    <row r="290">
      <c r="A290" s="26" t="n"/>
      <c r="B290" s="27" t="n"/>
      <c r="C290" s="5" t="n"/>
      <c r="D290" s="28" t="n"/>
      <c r="E290" s="5" t="n"/>
      <c r="F290" s="27" t="n"/>
    </row>
    <row r="291">
      <c r="A291" s="26" t="n"/>
      <c r="B291" s="27" t="n"/>
      <c r="C291" s="5" t="n"/>
      <c r="D291" s="28" t="n"/>
      <c r="E291" s="5" t="n"/>
      <c r="F291" s="27" t="n"/>
    </row>
    <row r="292">
      <c r="A292" s="26" t="n"/>
      <c r="B292" s="27" t="n"/>
      <c r="C292" s="5" t="n"/>
      <c r="D292" s="28" t="n"/>
      <c r="E292" s="5" t="n"/>
      <c r="F292" s="27" t="n"/>
    </row>
    <row r="293">
      <c r="A293" s="26" t="n"/>
      <c r="B293" s="27" t="n"/>
      <c r="C293" s="5" t="n"/>
      <c r="D293" s="28" t="n"/>
      <c r="E293" s="5" t="n"/>
      <c r="F293" s="27" t="n"/>
    </row>
    <row r="294">
      <c r="A294" s="26" t="n"/>
      <c r="B294" s="27" t="n"/>
      <c r="C294" s="5" t="n"/>
      <c r="D294" s="28" t="n"/>
      <c r="E294" s="5" t="n"/>
      <c r="F294" s="27" t="n"/>
    </row>
    <row r="295">
      <c r="A295" s="26" t="n"/>
      <c r="B295" s="27" t="n"/>
      <c r="C295" s="5" t="n"/>
      <c r="D295" s="28" t="n"/>
      <c r="E295" s="5" t="n"/>
      <c r="F295" s="27" t="n"/>
    </row>
    <row r="296">
      <c r="A296" s="26" t="n"/>
      <c r="B296" s="27" t="n"/>
      <c r="C296" s="5" t="n"/>
      <c r="D296" s="28" t="n"/>
      <c r="E296" s="5" t="n"/>
      <c r="F296" s="27" t="n"/>
    </row>
    <row r="297">
      <c r="A297" s="26" t="n"/>
      <c r="B297" s="27" t="n"/>
      <c r="C297" s="5" t="n"/>
      <c r="D297" s="28" t="n"/>
      <c r="E297" s="5" t="n"/>
      <c r="F297" s="27" t="n"/>
    </row>
    <row r="298">
      <c r="A298" s="26" t="n"/>
      <c r="B298" s="27" t="n"/>
      <c r="C298" s="5" t="n"/>
      <c r="D298" s="28" t="n"/>
      <c r="E298" s="5" t="n"/>
      <c r="F298" s="27" t="n"/>
    </row>
    <row r="299">
      <c r="A299" s="26" t="n"/>
      <c r="B299" s="27" t="n"/>
      <c r="C299" s="5" t="n"/>
      <c r="D299" s="28" t="n"/>
      <c r="E299" s="5" t="n"/>
      <c r="F299" s="27" t="n"/>
    </row>
    <row r="300">
      <c r="A300" s="26" t="n"/>
      <c r="B300" s="27" t="n"/>
      <c r="C300" s="5" t="n"/>
      <c r="D300" s="28" t="n"/>
      <c r="E300" s="5" t="n"/>
      <c r="F300" s="27" t="n"/>
    </row>
    <row r="301">
      <c r="A301" s="26" t="n"/>
      <c r="B301" s="27" t="n"/>
      <c r="C301" s="5" t="n"/>
      <c r="D301" s="28" t="n"/>
      <c r="E301" s="5" t="n"/>
      <c r="F301" s="27" t="n"/>
    </row>
    <row r="302">
      <c r="A302" s="26" t="n"/>
      <c r="B302" s="27" t="n"/>
      <c r="C302" s="5" t="n"/>
      <c r="D302" s="28" t="n"/>
      <c r="E302" s="5" t="n"/>
      <c r="F302" s="27" t="n"/>
    </row>
    <row r="303">
      <c r="A303" s="26" t="n"/>
      <c r="B303" s="27" t="n"/>
      <c r="C303" s="5" t="n"/>
      <c r="D303" s="28" t="n"/>
      <c r="E303" s="5" t="n"/>
      <c r="F303" s="27" t="n"/>
    </row>
    <row r="304">
      <c r="A304" s="26" t="n"/>
      <c r="B304" s="27" t="n"/>
      <c r="C304" s="5" t="n"/>
      <c r="D304" s="28" t="n"/>
      <c r="E304" s="5" t="n"/>
      <c r="F304" s="27" t="n"/>
    </row>
    <row r="305">
      <c r="A305" s="26" t="n"/>
      <c r="B305" s="27" t="n"/>
      <c r="C305" s="5" t="n"/>
      <c r="D305" s="28" t="n"/>
      <c r="E305" s="5" t="n"/>
      <c r="F305" s="27" t="n"/>
    </row>
    <row r="306">
      <c r="A306" s="26" t="n"/>
      <c r="B306" s="27" t="n"/>
      <c r="C306" s="5" t="n"/>
      <c r="D306" s="28" t="n"/>
      <c r="E306" s="5" t="n"/>
      <c r="F306" s="27" t="n"/>
    </row>
    <row r="307">
      <c r="A307" s="26" t="n"/>
      <c r="B307" s="27" t="n"/>
      <c r="C307" s="5" t="n"/>
      <c r="D307" s="28" t="n"/>
      <c r="E307" s="5" t="n"/>
      <c r="F307" s="27" t="n"/>
    </row>
    <row r="308">
      <c r="A308" s="26" t="n"/>
      <c r="B308" s="27" t="n"/>
      <c r="C308" s="5" t="n"/>
      <c r="D308" s="28" t="n"/>
      <c r="E308" s="5" t="n"/>
      <c r="F308" s="27" t="n"/>
    </row>
    <row r="309">
      <c r="A309" s="26" t="n"/>
      <c r="B309" s="27" t="n"/>
      <c r="C309" s="5" t="n"/>
      <c r="D309" s="28" t="n"/>
      <c r="E309" s="5" t="n"/>
      <c r="F309" s="27" t="n"/>
    </row>
    <row r="310">
      <c r="A310" s="26" t="n"/>
      <c r="B310" s="27" t="n"/>
      <c r="C310" s="5" t="n"/>
      <c r="D310" s="28" t="n"/>
      <c r="E310" s="5" t="n"/>
      <c r="F310" s="27" t="n"/>
    </row>
    <row r="311">
      <c r="A311" s="26" t="n"/>
      <c r="B311" s="27" t="n"/>
      <c r="C311" s="5" t="n"/>
      <c r="D311" s="28" t="n"/>
      <c r="E311" s="5" t="n"/>
      <c r="F311" s="27" t="n"/>
    </row>
    <row r="312">
      <c r="A312" s="26" t="n"/>
      <c r="B312" s="27" t="n"/>
      <c r="C312" s="5" t="n"/>
      <c r="D312" s="28" t="n"/>
      <c r="E312" s="5" t="n"/>
      <c r="F312" s="27" t="n"/>
    </row>
    <row r="313">
      <c r="A313" s="26" t="n"/>
      <c r="B313" s="27" t="n"/>
      <c r="C313" s="5" t="n"/>
      <c r="D313" s="28" t="n"/>
      <c r="E313" s="5" t="n"/>
      <c r="F313" s="27" t="n"/>
    </row>
    <row r="314">
      <c r="A314" s="26" t="n"/>
      <c r="B314" s="27" t="n"/>
      <c r="C314" s="5" t="n"/>
      <c r="D314" s="28" t="n"/>
      <c r="E314" s="5" t="n"/>
      <c r="F314" s="27" t="n"/>
    </row>
    <row r="315">
      <c r="A315" s="26" t="n"/>
      <c r="B315" s="27" t="n"/>
      <c r="C315" s="5" t="n"/>
      <c r="D315" s="28" t="n"/>
      <c r="E315" s="5" t="n"/>
      <c r="F315" s="27" t="n"/>
    </row>
    <row r="316">
      <c r="A316" s="26" t="n"/>
      <c r="B316" s="27" t="n"/>
      <c r="C316" s="5" t="n"/>
      <c r="D316" s="28" t="n"/>
      <c r="E316" s="5" t="n"/>
      <c r="F316" s="27" t="n"/>
    </row>
    <row r="317">
      <c r="A317" s="26" t="n"/>
      <c r="B317" s="27" t="n"/>
      <c r="C317" s="5" t="n"/>
      <c r="D317" s="28" t="n"/>
      <c r="E317" s="5" t="n"/>
      <c r="F317" s="27" t="n"/>
    </row>
    <row r="318">
      <c r="A318" s="26" t="n"/>
      <c r="B318" s="27" t="n"/>
      <c r="C318" s="5" t="n"/>
      <c r="D318" s="28" t="n"/>
      <c r="E318" s="5" t="n"/>
      <c r="F318" s="27" t="n"/>
    </row>
    <row r="319">
      <c r="A319" s="26" t="n"/>
      <c r="B319" s="27" t="n"/>
      <c r="C319" s="5" t="n"/>
      <c r="D319" s="28" t="n"/>
      <c r="E319" s="5" t="n"/>
      <c r="F319" s="27" t="n"/>
    </row>
    <row r="320">
      <c r="A320" s="26" t="n"/>
      <c r="B320" s="27" t="n"/>
      <c r="C320" s="5" t="n"/>
      <c r="D320" s="28" t="n"/>
      <c r="E320" s="5" t="n"/>
      <c r="F320" s="27" t="n"/>
    </row>
    <row r="321">
      <c r="A321" s="26" t="n"/>
      <c r="B321" s="27" t="n"/>
      <c r="C321" s="5" t="n"/>
      <c r="D321" s="28" t="n"/>
      <c r="E321" s="5" t="n"/>
      <c r="F321" s="27" t="n"/>
    </row>
    <row r="322">
      <c r="A322" s="26" t="n"/>
      <c r="B322" s="27" t="n"/>
      <c r="C322" s="5" t="n"/>
      <c r="D322" s="28" t="n"/>
      <c r="E322" s="5" t="n"/>
      <c r="F322" s="27" t="n"/>
    </row>
    <row r="323">
      <c r="A323" s="26" t="n"/>
      <c r="B323" s="27" t="n"/>
      <c r="C323" s="5" t="n"/>
      <c r="D323" s="28" t="n"/>
      <c r="E323" s="5" t="n"/>
      <c r="F323" s="27" t="n"/>
    </row>
    <row r="324">
      <c r="A324" s="26" t="n"/>
      <c r="B324" s="27" t="n"/>
      <c r="C324" s="5" t="n"/>
      <c r="D324" s="28" t="n"/>
      <c r="E324" s="5" t="n"/>
      <c r="F324" s="27" t="n"/>
    </row>
    <row r="325">
      <c r="A325" s="26" t="n"/>
      <c r="B325" s="27" t="n"/>
      <c r="C325" s="5" t="n"/>
      <c r="D325" s="28" t="n"/>
      <c r="E325" s="5" t="n"/>
      <c r="F325" s="27" t="n"/>
    </row>
    <row r="326">
      <c r="A326" s="26" t="n"/>
      <c r="B326" s="27" t="n"/>
      <c r="C326" s="5" t="n"/>
      <c r="D326" s="28" t="n"/>
      <c r="E326" s="5" t="n"/>
      <c r="F326" s="27" t="n"/>
    </row>
    <row r="327">
      <c r="A327" s="26" t="n"/>
      <c r="B327" s="27" t="n"/>
      <c r="C327" s="5" t="n"/>
      <c r="D327" s="28" t="n"/>
      <c r="E327" s="5" t="n"/>
      <c r="F327" s="27" t="n"/>
    </row>
    <row r="328">
      <c r="A328" s="26" t="n"/>
      <c r="B328" s="27" t="n"/>
      <c r="C328" s="5" t="n"/>
      <c r="D328" s="28" t="n"/>
      <c r="E328" s="5" t="n"/>
      <c r="F328" s="27" t="n"/>
    </row>
    <row r="329">
      <c r="A329" s="26" t="n"/>
      <c r="B329" s="27" t="n"/>
      <c r="C329" s="5" t="n"/>
      <c r="D329" s="28" t="n"/>
      <c r="E329" s="5" t="n"/>
      <c r="F329" s="27" t="n"/>
    </row>
    <row r="330">
      <c r="A330" s="26" t="n"/>
      <c r="B330" s="27" t="n"/>
      <c r="C330" s="5" t="n"/>
      <c r="D330" s="28" t="n"/>
      <c r="E330" s="5" t="n"/>
      <c r="F330" s="27" t="n"/>
    </row>
    <row r="331">
      <c r="A331" s="26" t="n"/>
      <c r="B331" s="27" t="n"/>
      <c r="C331" s="5" t="n"/>
      <c r="D331" s="28" t="n"/>
      <c r="E331" s="5" t="n"/>
      <c r="F331" s="27" t="n"/>
    </row>
    <row r="332">
      <c r="A332" s="26" t="n"/>
      <c r="B332" s="27" t="n"/>
      <c r="C332" s="5" t="n"/>
      <c r="D332" s="28" t="n"/>
      <c r="E332" s="5" t="n"/>
      <c r="F332" s="27" t="n"/>
    </row>
    <row r="333">
      <c r="A333" s="26" t="n"/>
      <c r="B333" s="27" t="n"/>
      <c r="C333" s="5" t="n"/>
      <c r="D333" s="28" t="n"/>
      <c r="E333" s="5" t="n"/>
      <c r="F333" s="27" t="n"/>
    </row>
    <row r="334">
      <c r="A334" s="26" t="n"/>
      <c r="B334" s="27" t="n"/>
      <c r="C334" s="5" t="n"/>
      <c r="D334" s="28" t="n"/>
      <c r="E334" s="5" t="n"/>
      <c r="F334" s="27" t="n"/>
    </row>
    <row r="335">
      <c r="A335" s="26" t="n"/>
      <c r="B335" s="27" t="n"/>
      <c r="C335" s="5" t="n"/>
      <c r="D335" s="28" t="n"/>
      <c r="E335" s="5" t="n"/>
      <c r="F335" s="27" t="n"/>
    </row>
    <row r="336">
      <c r="A336" s="26" t="n"/>
      <c r="B336" s="27" t="n"/>
      <c r="C336" s="5" t="n"/>
      <c r="D336" s="28" t="n"/>
      <c r="E336" s="5" t="n"/>
      <c r="F336" s="27" t="n"/>
    </row>
    <row r="337">
      <c r="A337" s="26" t="n"/>
      <c r="B337" s="27" t="n"/>
      <c r="C337" s="5" t="n"/>
      <c r="D337" s="28" t="n"/>
      <c r="E337" s="5" t="n"/>
      <c r="F337" s="27" t="n"/>
    </row>
    <row r="338">
      <c r="A338" s="26" t="n"/>
      <c r="B338" s="27" t="n"/>
      <c r="C338" s="5" t="n"/>
      <c r="D338" s="28" t="n"/>
      <c r="E338" s="5" t="n"/>
      <c r="F338" s="27" t="n"/>
    </row>
    <row r="339">
      <c r="A339" s="26" t="n"/>
      <c r="B339" s="27" t="n"/>
      <c r="C339" s="5" t="n"/>
      <c r="D339" s="28" t="n"/>
      <c r="E339" s="5" t="n"/>
      <c r="F339" s="27" t="n"/>
    </row>
    <row r="340">
      <c r="A340" s="26" t="n"/>
      <c r="B340" s="27" t="n"/>
      <c r="C340" s="5" t="n"/>
      <c r="D340" s="28" t="n"/>
      <c r="E340" s="5" t="n"/>
      <c r="F340" s="27" t="n"/>
    </row>
    <row r="341">
      <c r="A341" s="26" t="n"/>
      <c r="B341" s="27" t="n"/>
      <c r="C341" s="5" t="n"/>
      <c r="D341" s="28" t="n"/>
      <c r="E341" s="5" t="n"/>
      <c r="F341" s="27" t="n"/>
    </row>
    <row r="342">
      <c r="A342" s="26" t="n"/>
      <c r="B342" s="27" t="n"/>
      <c r="C342" s="5" t="n"/>
      <c r="D342" s="28" t="n"/>
      <c r="E342" s="5" t="n"/>
      <c r="F342" s="27" t="n"/>
    </row>
    <row r="343">
      <c r="A343" s="26" t="n"/>
      <c r="B343" s="27" t="n"/>
      <c r="C343" s="5" t="n"/>
      <c r="D343" s="28" t="n"/>
      <c r="E343" s="5" t="n"/>
      <c r="F343" s="27" t="n"/>
    </row>
    <row r="344">
      <c r="A344" s="26" t="n"/>
      <c r="B344" s="27" t="n"/>
      <c r="C344" s="5" t="n"/>
      <c r="D344" s="28" t="n"/>
      <c r="E344" s="5" t="n"/>
      <c r="F344" s="27" t="n"/>
    </row>
    <row r="345">
      <c r="A345" s="26" t="n"/>
      <c r="B345" s="27" t="n"/>
      <c r="C345" s="5" t="n"/>
      <c r="D345" s="28" t="n"/>
      <c r="E345" s="5" t="n"/>
      <c r="F345" s="27" t="n"/>
    </row>
    <row r="346">
      <c r="A346" s="26" t="n"/>
      <c r="B346" s="27" t="n"/>
      <c r="C346" s="5" t="n"/>
      <c r="D346" s="28" t="n"/>
      <c r="E346" s="5" t="n"/>
      <c r="F346" s="27" t="n"/>
    </row>
    <row r="347">
      <c r="A347" s="26" t="n"/>
      <c r="B347" s="27" t="n"/>
      <c r="C347" s="5" t="n"/>
      <c r="D347" s="28" t="n"/>
      <c r="E347" s="5" t="n"/>
      <c r="F347" s="27" t="n"/>
    </row>
    <row r="348">
      <c r="A348" s="26" t="n"/>
      <c r="B348" s="27" t="n"/>
      <c r="C348" s="5" t="n"/>
      <c r="D348" s="28" t="n"/>
      <c r="E348" s="5" t="n"/>
      <c r="F348" s="27" t="n"/>
    </row>
    <row r="349">
      <c r="A349" s="26" t="n"/>
      <c r="B349" s="27" t="n"/>
      <c r="C349" s="5" t="n"/>
      <c r="D349" s="28" t="n"/>
      <c r="E349" s="5" t="n"/>
      <c r="F349" s="27" t="n"/>
    </row>
    <row r="350">
      <c r="A350" s="26" t="n"/>
      <c r="B350" s="27" t="n"/>
      <c r="C350" s="5" t="n"/>
      <c r="D350" s="28" t="n"/>
      <c r="E350" s="5" t="n"/>
      <c r="F350" s="27" t="n"/>
    </row>
    <row r="351">
      <c r="A351" s="26" t="n"/>
      <c r="B351" s="27" t="n"/>
      <c r="C351" s="5" t="n"/>
      <c r="D351" s="28" t="n"/>
      <c r="E351" s="5" t="n"/>
      <c r="F351" s="27" t="n"/>
    </row>
    <row r="352">
      <c r="A352" s="26" t="n"/>
      <c r="B352" s="27" t="n"/>
      <c r="C352" s="5" t="n"/>
      <c r="D352" s="28" t="n"/>
      <c r="E352" s="5" t="n"/>
      <c r="F352" s="27" t="n"/>
    </row>
    <row r="353">
      <c r="A353" s="26" t="n"/>
      <c r="B353" s="27" t="n"/>
      <c r="C353" s="5" t="n"/>
      <c r="D353" s="28" t="n"/>
      <c r="E353" s="5" t="n"/>
      <c r="F353" s="27" t="n"/>
    </row>
    <row r="354">
      <c r="A354" s="26" t="n"/>
      <c r="B354" s="27" t="n"/>
      <c r="C354" s="5" t="n"/>
      <c r="D354" s="28" t="n"/>
      <c r="E354" s="5" t="n"/>
      <c r="F354" s="27" t="n"/>
    </row>
    <row r="355">
      <c r="A355" s="26" t="n"/>
      <c r="B355" s="27" t="n"/>
      <c r="C355" s="5" t="n"/>
      <c r="D355" s="28" t="n"/>
      <c r="E355" s="5" t="n"/>
      <c r="F355" s="27" t="n"/>
    </row>
    <row r="356">
      <c r="A356" s="26" t="n"/>
      <c r="B356" s="27" t="n"/>
      <c r="C356" s="5" t="n"/>
      <c r="D356" s="28" t="n"/>
      <c r="E356" s="5" t="n"/>
      <c r="F356" s="27" t="n"/>
    </row>
    <row r="357">
      <c r="A357" s="26" t="n"/>
      <c r="B357" s="27" t="n"/>
      <c r="C357" s="5" t="n"/>
      <c r="D357" s="28" t="n"/>
      <c r="E357" s="5" t="n"/>
      <c r="F357" s="27" t="n"/>
    </row>
    <row r="358">
      <c r="A358" s="26" t="n"/>
      <c r="B358" s="27" t="n"/>
      <c r="C358" s="5" t="n"/>
      <c r="D358" s="28" t="n"/>
      <c r="E358" s="5" t="n"/>
      <c r="F358" s="27" t="n"/>
    </row>
    <row r="359">
      <c r="A359" s="26" t="n"/>
      <c r="B359" s="27" t="n"/>
      <c r="C359" s="5" t="n"/>
      <c r="D359" s="28" t="n"/>
      <c r="E359" s="5" t="n"/>
      <c r="F359" s="27" t="n"/>
    </row>
    <row r="360">
      <c r="A360" s="26" t="n"/>
      <c r="B360" s="27" t="n"/>
      <c r="C360" s="5" t="n"/>
      <c r="D360" s="28" t="n"/>
      <c r="E360" s="5" t="n"/>
      <c r="F360" s="27" t="n"/>
    </row>
    <row r="361">
      <c r="A361" s="26" t="n"/>
      <c r="B361" s="27" t="n"/>
      <c r="C361" s="5" t="n"/>
      <c r="D361" s="28" t="n"/>
      <c r="E361" s="5" t="n"/>
      <c r="F361" s="27" t="n"/>
    </row>
    <row r="362">
      <c r="A362" s="26" t="n"/>
      <c r="B362" s="27" t="n"/>
      <c r="C362" s="5" t="n"/>
      <c r="D362" s="28" t="n"/>
      <c r="E362" s="5" t="n"/>
      <c r="F362" s="27" t="n"/>
    </row>
    <row r="363">
      <c r="A363" s="26" t="n"/>
      <c r="B363" s="27" t="n"/>
      <c r="C363" s="5" t="n"/>
      <c r="D363" s="28" t="n"/>
      <c r="E363" s="5" t="n"/>
      <c r="F363" s="27" t="n"/>
    </row>
    <row r="364">
      <c r="A364" s="26" t="n"/>
      <c r="B364" s="27" t="n"/>
      <c r="C364" s="5" t="n"/>
      <c r="D364" s="28" t="n"/>
      <c r="E364" s="5" t="n"/>
      <c r="F364" s="27" t="n"/>
    </row>
    <row r="365">
      <c r="A365" s="26" t="n"/>
      <c r="B365" s="27" t="n"/>
      <c r="C365" s="5" t="n"/>
      <c r="D365" s="28" t="n"/>
      <c r="E365" s="5" t="n"/>
      <c r="F365" s="27" t="n"/>
    </row>
    <row r="366">
      <c r="A366" s="26" t="n"/>
      <c r="B366" s="27" t="n"/>
      <c r="C366" s="5" t="n"/>
      <c r="D366" s="28" t="n"/>
      <c r="E366" s="5" t="n"/>
      <c r="F366" s="27" t="n"/>
    </row>
    <row r="367">
      <c r="A367" s="26" t="n"/>
      <c r="B367" s="27" t="n"/>
      <c r="C367" s="5" t="n"/>
      <c r="D367" s="28" t="n"/>
      <c r="E367" s="5" t="n"/>
      <c r="F367" s="27" t="n"/>
    </row>
    <row r="368">
      <c r="A368" s="26" t="n"/>
      <c r="B368" s="27" t="n"/>
      <c r="C368" s="5" t="n"/>
      <c r="D368" s="28" t="n"/>
      <c r="E368" s="5" t="n"/>
      <c r="F368" s="27" t="n"/>
    </row>
    <row r="369">
      <c r="A369" s="26" t="n"/>
      <c r="B369" s="27" t="n"/>
      <c r="C369" s="5" t="n"/>
      <c r="D369" s="28" t="n"/>
      <c r="E369" s="5" t="n"/>
      <c r="F369" s="27" t="n"/>
    </row>
    <row r="370">
      <c r="A370" s="26" t="n"/>
      <c r="B370" s="27" t="n"/>
      <c r="C370" s="5" t="n"/>
      <c r="D370" s="28" t="n"/>
      <c r="E370" s="5" t="n"/>
      <c r="F370" s="27" t="n"/>
    </row>
    <row r="371">
      <c r="A371" s="26" t="n"/>
      <c r="B371" s="27" t="n"/>
      <c r="C371" s="5" t="n"/>
      <c r="D371" s="28" t="n"/>
      <c r="E371" s="5" t="n"/>
      <c r="F371" s="27" t="n"/>
    </row>
    <row r="372">
      <c r="A372" s="26" t="n"/>
      <c r="B372" s="27" t="n"/>
      <c r="C372" s="5" t="n"/>
      <c r="D372" s="28" t="n"/>
      <c r="E372" s="5" t="n"/>
      <c r="F372" s="27" t="n"/>
    </row>
    <row r="373">
      <c r="A373" s="26" t="n"/>
      <c r="B373" s="27" t="n"/>
      <c r="C373" s="5" t="n"/>
      <c r="D373" s="28" t="n"/>
      <c r="E373" s="5" t="n"/>
      <c r="F373" s="27" t="n"/>
    </row>
    <row r="374">
      <c r="A374" s="26" t="n"/>
      <c r="B374" s="27" t="n"/>
      <c r="C374" s="5" t="n"/>
      <c r="D374" s="28" t="n"/>
      <c r="E374" s="5" t="n"/>
      <c r="F374" s="27" t="n"/>
    </row>
    <row r="375">
      <c r="A375" s="26" t="n"/>
      <c r="B375" s="27" t="n"/>
      <c r="C375" s="5" t="n"/>
      <c r="D375" s="28" t="n"/>
      <c r="E375" s="5" t="n"/>
      <c r="F375" s="27" t="n"/>
    </row>
    <row r="376">
      <c r="A376" s="26" t="n"/>
      <c r="B376" s="27" t="n"/>
      <c r="C376" s="5" t="n"/>
      <c r="D376" s="28" t="n"/>
      <c r="E376" s="5" t="n"/>
      <c r="F376" s="27" t="n"/>
    </row>
    <row r="377">
      <c r="A377" s="26" t="n"/>
      <c r="B377" s="27" t="n"/>
      <c r="C377" s="5" t="n"/>
      <c r="D377" s="28" t="n"/>
      <c r="E377" s="5" t="n"/>
      <c r="F377" s="27" t="n"/>
    </row>
    <row r="378">
      <c r="A378" s="26" t="n"/>
      <c r="B378" s="27" t="n"/>
      <c r="C378" s="5" t="n"/>
      <c r="D378" s="28" t="n"/>
      <c r="E378" s="5" t="n"/>
      <c r="F378" s="27" t="n"/>
    </row>
    <row r="379">
      <c r="A379" s="26" t="n"/>
      <c r="B379" s="27" t="n"/>
      <c r="C379" s="5" t="n"/>
      <c r="D379" s="28" t="n"/>
      <c r="E379" s="5" t="n"/>
      <c r="F379" s="27" t="n"/>
    </row>
    <row r="380">
      <c r="A380" s="26" t="n"/>
      <c r="B380" s="27" t="n"/>
      <c r="C380" s="5" t="n"/>
      <c r="D380" s="28" t="n"/>
      <c r="E380" s="5" t="n"/>
      <c r="F380" s="27" t="n"/>
    </row>
    <row r="381">
      <c r="A381" s="26" t="n"/>
      <c r="B381" s="27" t="n"/>
      <c r="C381" s="5" t="n"/>
      <c r="D381" s="28" t="n"/>
      <c r="E381" s="5" t="n"/>
      <c r="F381" s="27" t="n"/>
    </row>
    <row r="382">
      <c r="A382" s="26" t="n"/>
      <c r="B382" s="27" t="n"/>
      <c r="C382" s="5" t="n"/>
      <c r="D382" s="28" t="n"/>
      <c r="E382" s="5" t="n"/>
      <c r="F382" s="27" t="n"/>
    </row>
    <row r="383">
      <c r="A383" s="26" t="n"/>
      <c r="B383" s="27" t="n"/>
      <c r="C383" s="5" t="n"/>
      <c r="D383" s="28" t="n"/>
      <c r="E383" s="5" t="n"/>
      <c r="F383" s="27" t="n"/>
    </row>
    <row r="384">
      <c r="A384" s="26" t="n"/>
      <c r="B384" s="27" t="n"/>
      <c r="C384" s="5" t="n"/>
      <c r="D384" s="28" t="n"/>
      <c r="E384" s="5" t="n"/>
      <c r="F384" s="27" t="n"/>
    </row>
    <row r="385">
      <c r="A385" s="26" t="n"/>
      <c r="B385" s="27" t="n"/>
      <c r="C385" s="5" t="n"/>
      <c r="D385" s="28" t="n"/>
      <c r="E385" s="5" t="n"/>
      <c r="F385" s="27" t="n"/>
    </row>
    <row r="386">
      <c r="A386" s="26" t="n"/>
      <c r="B386" s="27" t="n"/>
      <c r="C386" s="5" t="n"/>
      <c r="D386" s="28" t="n"/>
      <c r="E386" s="5" t="n"/>
      <c r="F386" s="27" t="n"/>
    </row>
    <row r="387">
      <c r="A387" s="26" t="n"/>
      <c r="B387" s="27" t="n"/>
      <c r="C387" s="5" t="n"/>
      <c r="D387" s="28" t="n"/>
      <c r="E387" s="5" t="n"/>
      <c r="F387" s="27" t="n"/>
    </row>
    <row r="388">
      <c r="A388" s="26" t="n"/>
      <c r="B388" s="27" t="n"/>
      <c r="C388" s="5" t="n"/>
      <c r="D388" s="28" t="n"/>
      <c r="E388" s="5" t="n"/>
      <c r="F388" s="27" t="n"/>
    </row>
    <row r="389">
      <c r="A389" s="26" t="n"/>
      <c r="B389" s="27" t="n"/>
      <c r="C389" s="5" t="n"/>
      <c r="D389" s="28" t="n"/>
      <c r="E389" s="5" t="n"/>
      <c r="F389" s="27" t="n"/>
    </row>
    <row r="390">
      <c r="A390" s="26" t="n"/>
      <c r="B390" s="27" t="n"/>
      <c r="C390" s="5" t="n"/>
      <c r="D390" s="28" t="n"/>
      <c r="E390" s="5" t="n"/>
      <c r="F390" s="27" t="n"/>
    </row>
    <row r="391">
      <c r="A391" s="26" t="n"/>
      <c r="B391" s="27" t="n"/>
      <c r="C391" s="5" t="n"/>
      <c r="D391" s="28" t="n"/>
      <c r="E391" s="5" t="n"/>
      <c r="F391" s="27" t="n"/>
    </row>
    <row r="392">
      <c r="A392" s="26" t="n"/>
      <c r="B392" s="27" t="n"/>
      <c r="C392" s="5" t="n"/>
      <c r="D392" s="28" t="n"/>
      <c r="E392" s="5" t="n"/>
      <c r="F392" s="27" t="n"/>
    </row>
    <row r="393">
      <c r="A393" s="26" t="n"/>
      <c r="B393" s="27" t="n"/>
      <c r="C393" s="5" t="n"/>
      <c r="D393" s="28" t="n"/>
      <c r="E393" s="5" t="n"/>
      <c r="F393" s="27" t="n"/>
    </row>
    <row r="394">
      <c r="A394" s="26" t="n"/>
      <c r="B394" s="27" t="n"/>
      <c r="C394" s="5" t="n"/>
      <c r="D394" s="28" t="n"/>
      <c r="E394" s="5" t="n"/>
      <c r="F394" s="27" t="n"/>
    </row>
    <row r="395">
      <c r="A395" s="26" t="n"/>
      <c r="B395" s="27" t="n"/>
      <c r="C395" s="5" t="n"/>
      <c r="D395" s="28" t="n"/>
      <c r="E395" s="5" t="n"/>
      <c r="F395" s="27" t="n"/>
    </row>
    <row r="396">
      <c r="A396" s="26" t="n"/>
      <c r="B396" s="27" t="n"/>
      <c r="C396" s="5" t="n"/>
      <c r="D396" s="28" t="n"/>
      <c r="E396" s="5" t="n"/>
      <c r="F396" s="27" t="n"/>
    </row>
    <row r="397">
      <c r="A397" s="26" t="n"/>
      <c r="B397" s="27" t="n"/>
      <c r="C397" s="5" t="n"/>
      <c r="D397" s="28" t="n"/>
      <c r="E397" s="5" t="n"/>
      <c r="F397" s="27" t="n"/>
    </row>
    <row r="398">
      <c r="A398" s="26" t="n"/>
      <c r="B398" s="27" t="n"/>
      <c r="C398" s="5" t="n"/>
      <c r="D398" s="28" t="n"/>
      <c r="E398" s="5" t="n"/>
      <c r="F398" s="27" t="n"/>
    </row>
    <row r="399">
      <c r="A399" s="26" t="n"/>
      <c r="B399" s="27" t="n"/>
      <c r="C399" s="5" t="n"/>
      <c r="D399" s="28" t="n"/>
      <c r="E399" s="5" t="n"/>
      <c r="F399" s="27" t="n"/>
    </row>
    <row r="400">
      <c r="A400" s="26" t="n"/>
      <c r="B400" s="27" t="n"/>
      <c r="C400" s="5" t="n"/>
      <c r="D400" s="28" t="n"/>
      <c r="E400" s="5" t="n"/>
      <c r="F400" s="27" t="n"/>
    </row>
    <row r="401">
      <c r="A401" s="26" t="n"/>
      <c r="B401" s="27" t="n"/>
      <c r="C401" s="5" t="n"/>
      <c r="D401" s="28" t="n"/>
      <c r="E401" s="5" t="n"/>
      <c r="F401" s="27" t="n"/>
    </row>
    <row r="402">
      <c r="A402" s="26" t="n"/>
      <c r="B402" s="27" t="n"/>
      <c r="C402" s="5" t="n"/>
      <c r="D402" s="28" t="n"/>
      <c r="E402" s="5" t="n"/>
      <c r="F402" s="27" t="n"/>
    </row>
    <row r="403">
      <c r="A403" s="26" t="n"/>
      <c r="B403" s="27" t="n"/>
      <c r="C403" s="5" t="n"/>
      <c r="D403" s="28" t="n"/>
      <c r="E403" s="5" t="n"/>
      <c r="F403" s="27" t="n"/>
    </row>
    <row r="404">
      <c r="A404" s="26" t="n"/>
      <c r="B404" s="27" t="n"/>
      <c r="C404" s="5" t="n"/>
      <c r="D404" s="28" t="n"/>
      <c r="E404" s="5" t="n"/>
      <c r="F404" s="27" t="n"/>
    </row>
    <row r="405">
      <c r="A405" s="26" t="n"/>
      <c r="B405" s="27" t="n"/>
      <c r="C405" s="5" t="n"/>
      <c r="D405" s="28" t="n"/>
      <c r="E405" s="5" t="n"/>
      <c r="F405" s="27" t="n"/>
    </row>
    <row r="406">
      <c r="A406" s="26" t="n"/>
      <c r="B406" s="27" t="n"/>
      <c r="C406" s="5" t="n"/>
      <c r="D406" s="28" t="n"/>
      <c r="E406" s="5" t="n"/>
      <c r="F406" s="27" t="n"/>
    </row>
    <row r="407">
      <c r="A407" s="26" t="n"/>
      <c r="B407" s="27" t="n"/>
      <c r="C407" s="5" t="n"/>
      <c r="D407" s="28" t="n"/>
      <c r="E407" s="5" t="n"/>
      <c r="F407" s="27" t="n"/>
    </row>
    <row r="408">
      <c r="A408" s="26" t="n"/>
      <c r="B408" s="27" t="n"/>
      <c r="C408" s="5" t="n"/>
      <c r="D408" s="28" t="n"/>
      <c r="E408" s="5" t="n"/>
      <c r="F408" s="27" t="n"/>
    </row>
    <row r="409">
      <c r="A409" s="26" t="n"/>
      <c r="B409" s="27" t="n"/>
      <c r="C409" s="5" t="n"/>
      <c r="D409" s="28" t="n"/>
      <c r="E409" s="5" t="n"/>
      <c r="F409" s="27" t="n"/>
    </row>
    <row r="410">
      <c r="A410" s="26" t="n"/>
      <c r="B410" s="27" t="n"/>
      <c r="C410" s="5" t="n"/>
      <c r="D410" s="28" t="n"/>
      <c r="E410" s="5" t="n"/>
      <c r="F410" s="27" t="n"/>
    </row>
    <row r="411">
      <c r="A411" s="26" t="n"/>
      <c r="B411" s="27" t="n"/>
      <c r="C411" s="5" t="n"/>
      <c r="D411" s="28" t="n"/>
      <c r="E411" s="5" t="n"/>
      <c r="F411" s="27" t="n"/>
    </row>
    <row r="412">
      <c r="A412" s="26" t="n"/>
      <c r="B412" s="27" t="n"/>
      <c r="C412" s="5" t="n"/>
      <c r="D412" s="28" t="n"/>
      <c r="E412" s="5" t="n"/>
      <c r="F412" s="27" t="n"/>
    </row>
    <row r="413">
      <c r="A413" s="26" t="n"/>
      <c r="B413" s="27" t="n"/>
      <c r="C413" s="5" t="n"/>
      <c r="D413" s="28" t="n"/>
      <c r="E413" s="5" t="n"/>
      <c r="F413" s="27" t="n"/>
    </row>
    <row r="414">
      <c r="A414" s="26" t="n"/>
      <c r="B414" s="27" t="n"/>
      <c r="C414" s="5" t="n"/>
      <c r="D414" s="28" t="n"/>
      <c r="E414" s="5" t="n"/>
      <c r="F414" s="27" t="n"/>
    </row>
    <row r="415">
      <c r="A415" s="26" t="n"/>
      <c r="B415" s="27" t="n"/>
      <c r="C415" s="5" t="n"/>
      <c r="D415" s="28" t="n"/>
      <c r="E415" s="5" t="n"/>
      <c r="F415" s="27" t="n"/>
    </row>
    <row r="416">
      <c r="A416" s="26" t="n"/>
      <c r="B416" s="27" t="n"/>
      <c r="C416" s="5" t="n"/>
      <c r="D416" s="28" t="n"/>
      <c r="E416" s="5" t="n"/>
      <c r="F416" s="27" t="n"/>
    </row>
    <row r="417">
      <c r="A417" s="26" t="n"/>
      <c r="B417" s="27" t="n"/>
      <c r="C417" s="5" t="n"/>
      <c r="D417" s="28" t="n"/>
      <c r="E417" s="5" t="n"/>
      <c r="F417" s="27" t="n"/>
    </row>
    <row r="418">
      <c r="A418" s="26" t="n"/>
      <c r="B418" s="27" t="n"/>
      <c r="C418" s="5" t="n"/>
      <c r="D418" s="28" t="n"/>
      <c r="E418" s="5" t="n"/>
      <c r="F418" s="27" t="n"/>
    </row>
    <row r="419">
      <c r="A419" s="26" t="n"/>
      <c r="B419" s="27" t="n"/>
      <c r="C419" s="5" t="n"/>
      <c r="D419" s="28" t="n"/>
      <c r="E419" s="5" t="n"/>
      <c r="F419" s="27" t="n"/>
    </row>
    <row r="420">
      <c r="A420" s="26" t="n"/>
      <c r="B420" s="27" t="n"/>
      <c r="C420" s="5" t="n"/>
      <c r="D420" s="28" t="n"/>
      <c r="E420" s="5" t="n"/>
      <c r="F420" s="27" t="n"/>
    </row>
    <row r="421">
      <c r="A421" s="26" t="n"/>
      <c r="B421" s="27" t="n"/>
      <c r="C421" s="5" t="n"/>
      <c r="D421" s="28" t="n"/>
      <c r="E421" s="5" t="n"/>
      <c r="F421" s="27" t="n"/>
    </row>
    <row r="422">
      <c r="A422" s="26" t="n"/>
      <c r="B422" s="27" t="n"/>
      <c r="C422" s="5" t="n"/>
      <c r="D422" s="28" t="n"/>
      <c r="E422" s="5" t="n"/>
      <c r="F422" s="27" t="n"/>
    </row>
    <row r="423">
      <c r="A423" s="26" t="n"/>
      <c r="B423" s="27" t="n"/>
      <c r="C423" s="5" t="n"/>
      <c r="D423" s="28" t="n"/>
      <c r="E423" s="5" t="n"/>
      <c r="F423" s="27" t="n"/>
    </row>
    <row r="424">
      <c r="A424" s="26" t="n"/>
      <c r="B424" s="27" t="n"/>
      <c r="C424" s="5" t="n"/>
      <c r="D424" s="28" t="n"/>
      <c r="E424" s="5" t="n"/>
      <c r="F424" s="27" t="n"/>
    </row>
    <row r="425">
      <c r="A425" s="26" t="n"/>
      <c r="B425" s="27" t="n"/>
      <c r="C425" s="5" t="n"/>
      <c r="D425" s="28" t="n"/>
      <c r="E425" s="5" t="n"/>
      <c r="F425" s="27" t="n"/>
    </row>
    <row r="426">
      <c r="A426" s="26" t="n"/>
      <c r="B426" s="27" t="n"/>
      <c r="C426" s="5" t="n"/>
      <c r="D426" s="28" t="n"/>
      <c r="E426" s="5" t="n"/>
      <c r="F426" s="27" t="n"/>
    </row>
    <row r="427">
      <c r="A427" s="26" t="n"/>
      <c r="B427" s="27" t="n"/>
      <c r="C427" s="5" t="n"/>
      <c r="D427" s="28" t="n"/>
      <c r="E427" s="5" t="n"/>
      <c r="F427" s="27" t="n"/>
    </row>
    <row r="428">
      <c r="A428" s="26" t="n"/>
      <c r="B428" s="27" t="n"/>
      <c r="C428" s="5" t="n"/>
      <c r="D428" s="28" t="n"/>
      <c r="E428" s="5" t="n"/>
      <c r="F428" s="27" t="n"/>
    </row>
    <row r="429">
      <c r="A429" s="26" t="n"/>
      <c r="B429" s="27" t="n"/>
      <c r="C429" s="5" t="n"/>
      <c r="D429" s="28" t="n"/>
      <c r="E429" s="5" t="n"/>
      <c r="F429" s="27" t="n"/>
    </row>
    <row r="430">
      <c r="A430" s="26" t="n"/>
      <c r="B430" s="27" t="n"/>
      <c r="C430" s="5" t="n"/>
      <c r="D430" s="28" t="n"/>
      <c r="E430" s="5" t="n"/>
      <c r="F430" s="27" t="n"/>
    </row>
    <row r="431">
      <c r="A431" s="26" t="n"/>
      <c r="B431" s="27" t="n"/>
      <c r="C431" s="5" t="n"/>
      <c r="D431" s="28" t="n"/>
      <c r="E431" s="5" t="n"/>
      <c r="F431" s="27" t="n"/>
    </row>
    <row r="432">
      <c r="A432" s="26" t="n"/>
      <c r="B432" s="27" t="n"/>
      <c r="C432" s="5" t="n"/>
      <c r="D432" s="28" t="n"/>
      <c r="E432" s="5" t="n"/>
      <c r="F432" s="27" t="n"/>
    </row>
    <row r="433">
      <c r="A433" s="26" t="n"/>
      <c r="B433" s="27" t="n"/>
      <c r="C433" s="5" t="n"/>
      <c r="D433" s="28" t="n"/>
      <c r="E433" s="5" t="n"/>
      <c r="F433" s="27" t="n"/>
    </row>
    <row r="434">
      <c r="A434" s="26" t="n"/>
      <c r="B434" s="27" t="n"/>
      <c r="C434" s="5" t="n"/>
      <c r="D434" s="28" t="n"/>
      <c r="E434" s="5" t="n"/>
      <c r="F434" s="27" t="n"/>
    </row>
    <row r="435">
      <c r="A435" s="26" t="n"/>
      <c r="B435" s="27" t="n"/>
      <c r="C435" s="5" t="n"/>
      <c r="D435" s="28" t="n"/>
      <c r="E435" s="5" t="n"/>
      <c r="F435" s="27" t="n"/>
    </row>
    <row r="436">
      <c r="A436" s="26" t="n"/>
      <c r="B436" s="27" t="n"/>
      <c r="C436" s="5" t="n"/>
      <c r="D436" s="28" t="n"/>
      <c r="E436" s="5" t="n"/>
      <c r="F436" s="27" t="n"/>
    </row>
    <row r="437">
      <c r="A437" s="26" t="n"/>
      <c r="B437" s="27" t="n"/>
      <c r="C437" s="5" t="n"/>
      <c r="D437" s="28" t="n"/>
      <c r="E437" s="5" t="n"/>
      <c r="F437" s="27" t="n"/>
    </row>
    <row r="438">
      <c r="A438" s="26" t="n"/>
      <c r="B438" s="27" t="n"/>
      <c r="C438" s="5" t="n"/>
      <c r="D438" s="28" t="n"/>
      <c r="E438" s="5" t="n"/>
      <c r="F438" s="27" t="n"/>
    </row>
    <row r="439">
      <c r="A439" s="26" t="n"/>
      <c r="B439" s="27" t="n"/>
      <c r="C439" s="5" t="n"/>
      <c r="D439" s="28" t="n"/>
      <c r="E439" s="5" t="n"/>
      <c r="F439" s="27" t="n"/>
    </row>
    <row r="440">
      <c r="A440" s="26" t="n"/>
      <c r="B440" s="27" t="n"/>
      <c r="C440" s="5" t="n"/>
      <c r="D440" s="28" t="n"/>
      <c r="E440" s="5" t="n"/>
      <c r="F440" s="27" t="n"/>
    </row>
    <row r="441">
      <c r="A441" s="26" t="n"/>
      <c r="B441" s="27" t="n"/>
      <c r="C441" s="5" t="n"/>
      <c r="D441" s="28" t="n"/>
      <c r="E441" s="5" t="n"/>
      <c r="F441" s="27" t="n"/>
    </row>
    <row r="442">
      <c r="A442" s="26" t="n"/>
      <c r="B442" s="27" t="n"/>
      <c r="C442" s="5" t="n"/>
      <c r="D442" s="28" t="n"/>
      <c r="E442" s="5" t="n"/>
      <c r="F442" s="27" t="n"/>
    </row>
    <row r="443">
      <c r="A443" s="26" t="n"/>
      <c r="B443" s="27" t="n"/>
      <c r="C443" s="5" t="n"/>
      <c r="D443" s="28" t="n"/>
      <c r="E443" s="5" t="n"/>
      <c r="F443" s="27" t="n"/>
    </row>
    <row r="444">
      <c r="A444" s="26" t="n"/>
      <c r="B444" s="27" t="n"/>
      <c r="C444" s="5" t="n"/>
      <c r="D444" s="28" t="n"/>
      <c r="E444" s="5" t="n"/>
      <c r="F444" s="27" t="n"/>
    </row>
    <row r="445">
      <c r="A445" s="26" t="n"/>
      <c r="B445" s="27" t="n"/>
      <c r="C445" s="5" t="n"/>
      <c r="D445" s="28" t="n"/>
      <c r="E445" s="5" t="n"/>
      <c r="F445" s="27" t="n"/>
    </row>
    <row r="446">
      <c r="A446" s="26" t="n"/>
      <c r="B446" s="27" t="n"/>
      <c r="C446" s="5" t="n"/>
      <c r="D446" s="28" t="n"/>
      <c r="E446" s="5" t="n"/>
      <c r="F446" s="27" t="n"/>
    </row>
    <row r="447">
      <c r="A447" s="26" t="n"/>
      <c r="B447" s="27" t="n"/>
      <c r="C447" s="5" t="n"/>
      <c r="D447" s="28" t="n"/>
      <c r="E447" s="5" t="n"/>
      <c r="F447" s="27" t="n"/>
    </row>
    <row r="448">
      <c r="A448" s="26" t="n"/>
      <c r="B448" s="27" t="n"/>
      <c r="C448" s="5" t="n"/>
      <c r="D448" s="28" t="n"/>
      <c r="E448" s="5" t="n"/>
      <c r="F448" s="27" t="n"/>
    </row>
    <row r="449">
      <c r="A449" s="26" t="n"/>
      <c r="B449" s="27" t="n"/>
      <c r="C449" s="5" t="n"/>
      <c r="D449" s="28" t="n"/>
      <c r="E449" s="5" t="n"/>
      <c r="F449" s="27" t="n"/>
    </row>
    <row r="450">
      <c r="A450" s="26" t="n"/>
      <c r="B450" s="27" t="n"/>
      <c r="C450" s="5" t="n"/>
      <c r="D450" s="28" t="n"/>
      <c r="E450" s="5" t="n"/>
      <c r="F450" s="27" t="n"/>
    </row>
    <row r="451">
      <c r="A451" s="26" t="n"/>
      <c r="B451" s="27" t="n"/>
      <c r="C451" s="5" t="n"/>
      <c r="D451" s="28" t="n"/>
      <c r="E451" s="5" t="n"/>
      <c r="F451" s="27" t="n"/>
    </row>
    <row r="452">
      <c r="A452" s="26" t="n"/>
      <c r="B452" s="27" t="n"/>
      <c r="C452" s="5" t="n"/>
      <c r="D452" s="28" t="n"/>
      <c r="E452" s="5" t="n"/>
      <c r="F452" s="27" t="n"/>
    </row>
    <row r="453">
      <c r="A453" s="26" t="n"/>
      <c r="B453" s="27" t="n"/>
      <c r="C453" s="5" t="n"/>
      <c r="D453" s="28" t="n"/>
      <c r="E453" s="5" t="n"/>
      <c r="F453" s="27" t="n"/>
    </row>
    <row r="454">
      <c r="A454" s="26" t="n"/>
      <c r="B454" s="27" t="n"/>
      <c r="C454" s="5" t="n"/>
      <c r="D454" s="28" t="n"/>
      <c r="E454" s="5" t="n"/>
      <c r="F454" s="27" t="n"/>
    </row>
    <row r="455">
      <c r="A455" s="26" t="n"/>
      <c r="B455" s="27" t="n"/>
      <c r="C455" s="5" t="n"/>
      <c r="D455" s="28" t="n"/>
      <c r="E455" s="5" t="n"/>
      <c r="F455" s="27" t="n"/>
    </row>
    <row r="456">
      <c r="A456" s="26" t="n"/>
      <c r="B456" s="27" t="n"/>
      <c r="C456" s="5" t="n"/>
      <c r="D456" s="28" t="n"/>
      <c r="E456" s="5" t="n"/>
      <c r="F456" s="27" t="n"/>
    </row>
    <row r="457">
      <c r="A457" s="26" t="n"/>
      <c r="B457" s="27" t="n"/>
      <c r="C457" s="5" t="n"/>
      <c r="D457" s="28" t="n"/>
      <c r="E457" s="5" t="n"/>
      <c r="F457" s="27" t="n"/>
    </row>
    <row r="458">
      <c r="A458" s="26" t="n"/>
      <c r="B458" s="27" t="n"/>
      <c r="C458" s="5" t="n"/>
      <c r="D458" s="28" t="n"/>
      <c r="E458" s="5" t="n"/>
      <c r="F458" s="27" t="n"/>
    </row>
    <row r="459">
      <c r="A459" s="26" t="n"/>
      <c r="B459" s="27" t="n"/>
      <c r="C459" s="5" t="n"/>
      <c r="D459" s="28" t="n"/>
      <c r="E459" s="5" t="n"/>
      <c r="F459" s="27" t="n"/>
    </row>
    <row r="460">
      <c r="A460" s="26" t="n"/>
      <c r="B460" s="27" t="n"/>
      <c r="C460" s="5" t="n"/>
      <c r="D460" s="28" t="n"/>
      <c r="E460" s="5" t="n"/>
      <c r="F460" s="27" t="n"/>
    </row>
    <row r="461">
      <c r="A461" s="26" t="n"/>
      <c r="B461" s="27" t="n"/>
      <c r="C461" s="5" t="n"/>
      <c r="D461" s="28" t="n"/>
      <c r="E461" s="5" t="n"/>
      <c r="F461" s="27" t="n"/>
    </row>
    <row r="462">
      <c r="A462" s="26" t="n"/>
      <c r="B462" s="27" t="n"/>
      <c r="C462" s="5" t="n"/>
      <c r="D462" s="28" t="n"/>
      <c r="E462" s="5" t="n"/>
      <c r="F462" s="27" t="n"/>
    </row>
    <row r="463">
      <c r="A463" s="26" t="n"/>
      <c r="B463" s="27" t="n"/>
      <c r="C463" s="5" t="n"/>
      <c r="D463" s="28" t="n"/>
      <c r="E463" s="5" t="n"/>
      <c r="F463" s="27" t="n"/>
    </row>
    <row r="464">
      <c r="A464" s="26" t="n"/>
      <c r="B464" s="27" t="n"/>
      <c r="C464" s="5" t="n"/>
      <c r="D464" s="28" t="n"/>
      <c r="E464" s="5" t="n"/>
      <c r="F464" s="27" t="n"/>
    </row>
    <row r="465">
      <c r="A465" s="26" t="n"/>
      <c r="B465" s="27" t="n"/>
      <c r="C465" s="5" t="n"/>
      <c r="D465" s="28" t="n"/>
      <c r="E465" s="5" t="n"/>
      <c r="F465" s="27" t="n"/>
    </row>
    <row r="466">
      <c r="A466" s="26" t="n"/>
      <c r="B466" s="27" t="n"/>
      <c r="C466" s="5" t="n"/>
      <c r="D466" s="28" t="n"/>
      <c r="E466" s="5" t="n"/>
      <c r="F466" s="27" t="n"/>
    </row>
    <row r="467">
      <c r="A467" s="26" t="n"/>
      <c r="B467" s="27" t="n"/>
      <c r="C467" s="5" t="n"/>
      <c r="D467" s="28" t="n"/>
      <c r="E467" s="5" t="n"/>
      <c r="F467" s="27" t="n"/>
    </row>
    <row r="468">
      <c r="A468" s="26" t="n"/>
      <c r="B468" s="27" t="n"/>
      <c r="C468" s="5" t="n"/>
      <c r="D468" s="28" t="n"/>
      <c r="E468" s="5" t="n"/>
      <c r="F468" s="27" t="n"/>
    </row>
    <row r="469">
      <c r="A469" s="26" t="n"/>
      <c r="B469" s="27" t="n"/>
      <c r="C469" s="5" t="n"/>
      <c r="D469" s="28" t="n"/>
      <c r="E469" s="5" t="n"/>
      <c r="F469" s="27" t="n"/>
    </row>
    <row r="470">
      <c r="A470" s="26" t="n"/>
      <c r="B470" s="27" t="n"/>
      <c r="C470" s="5" t="n"/>
      <c r="D470" s="28" t="n"/>
      <c r="E470" s="5" t="n"/>
      <c r="F470" s="27" t="n"/>
    </row>
    <row r="471">
      <c r="A471" s="26" t="n"/>
      <c r="B471" s="27" t="n"/>
      <c r="C471" s="5" t="n"/>
      <c r="D471" s="28" t="n"/>
      <c r="E471" s="5" t="n"/>
      <c r="F471" s="27" t="n"/>
    </row>
    <row r="472">
      <c r="A472" s="26" t="n"/>
      <c r="B472" s="27" t="n"/>
      <c r="C472" s="5" t="n"/>
      <c r="D472" s="28" t="n"/>
      <c r="E472" s="5" t="n"/>
      <c r="F472" s="27" t="n"/>
    </row>
    <row r="473">
      <c r="A473" s="26" t="n"/>
      <c r="B473" s="27" t="n"/>
      <c r="C473" s="5" t="n"/>
      <c r="D473" s="28" t="n"/>
      <c r="E473" s="5" t="n"/>
      <c r="F473" s="27" t="n"/>
    </row>
    <row r="474">
      <c r="A474" s="26" t="n"/>
      <c r="B474" s="27" t="n"/>
      <c r="C474" s="5" t="n"/>
      <c r="D474" s="28" t="n"/>
      <c r="E474" s="5" t="n"/>
      <c r="F474" s="27" t="n"/>
    </row>
    <row r="475">
      <c r="A475" s="26" t="n"/>
      <c r="B475" s="27" t="n"/>
      <c r="C475" s="5" t="n"/>
      <c r="D475" s="28" t="n"/>
      <c r="E475" s="5" t="n"/>
      <c r="F475" s="27" t="n"/>
    </row>
    <row r="476">
      <c r="A476" s="26" t="n"/>
      <c r="B476" s="27" t="n"/>
      <c r="C476" s="5" t="n"/>
      <c r="D476" s="28" t="n"/>
      <c r="E476" s="5" t="n"/>
      <c r="F476" s="27" t="n"/>
    </row>
    <row r="477">
      <c r="A477" s="26" t="n"/>
      <c r="B477" s="27" t="n"/>
      <c r="C477" s="5" t="n"/>
      <c r="D477" s="28" t="n"/>
      <c r="E477" s="5" t="n"/>
      <c r="F477" s="27" t="n"/>
    </row>
    <row r="478">
      <c r="A478" s="26" t="n"/>
      <c r="B478" s="27" t="n"/>
      <c r="C478" s="5" t="n"/>
      <c r="D478" s="28" t="n"/>
      <c r="E478" s="5" t="n"/>
      <c r="F478" s="27" t="n"/>
    </row>
    <row r="479">
      <c r="A479" s="26" t="n"/>
      <c r="B479" s="27" t="n"/>
      <c r="C479" s="5" t="n"/>
      <c r="D479" s="28" t="n"/>
      <c r="E479" s="5" t="n"/>
      <c r="F479" s="27" t="n"/>
    </row>
    <row r="480">
      <c r="A480" s="26" t="n"/>
      <c r="B480" s="27" t="n"/>
      <c r="C480" s="5" t="n"/>
      <c r="D480" s="28" t="n"/>
      <c r="E480" s="5" t="n"/>
      <c r="F480" s="27" t="n"/>
    </row>
    <row r="481">
      <c r="A481" s="26" t="n"/>
      <c r="B481" s="27" t="n"/>
      <c r="C481" s="5" t="n"/>
      <c r="D481" s="28" t="n"/>
      <c r="E481" s="5" t="n"/>
      <c r="F481" s="27" t="n"/>
    </row>
    <row r="482">
      <c r="A482" s="26" t="n"/>
      <c r="B482" s="27" t="n"/>
      <c r="C482" s="5" t="n"/>
      <c r="D482" s="28" t="n"/>
      <c r="E482" s="5" t="n"/>
      <c r="F482" s="27" t="n"/>
    </row>
    <row r="483">
      <c r="A483" s="26" t="n"/>
      <c r="B483" s="27" t="n"/>
      <c r="C483" s="5" t="n"/>
      <c r="D483" s="28" t="n"/>
      <c r="E483" s="5" t="n"/>
      <c r="F483" s="27" t="n"/>
    </row>
    <row r="484">
      <c r="A484" s="26" t="n"/>
      <c r="B484" s="27" t="n"/>
      <c r="C484" s="5" t="n"/>
      <c r="D484" s="28" t="n"/>
      <c r="E484" s="5" t="n"/>
      <c r="F484" s="27" t="n"/>
    </row>
    <row r="485">
      <c r="A485" s="26" t="n"/>
      <c r="B485" s="27" t="n"/>
      <c r="C485" s="5" t="n"/>
      <c r="D485" s="28" t="n"/>
      <c r="E485" s="5" t="n"/>
      <c r="F485" s="27" t="n"/>
    </row>
    <row r="486">
      <c r="A486" s="26" t="n"/>
      <c r="B486" s="27" t="n"/>
      <c r="C486" s="5" t="n"/>
      <c r="D486" s="28" t="n"/>
      <c r="E486" s="5" t="n"/>
      <c r="F486" s="27" t="n"/>
    </row>
    <row r="487">
      <c r="A487" s="26" t="n"/>
      <c r="B487" s="27" t="n"/>
      <c r="C487" s="5" t="n"/>
      <c r="D487" s="28" t="n"/>
      <c r="E487" s="5" t="n"/>
      <c r="F487" s="27" t="n"/>
    </row>
    <row r="488">
      <c r="A488" s="26" t="n"/>
      <c r="B488" s="27" t="n"/>
      <c r="C488" s="5" t="n"/>
      <c r="D488" s="28" t="n"/>
      <c r="E488" s="5" t="n"/>
      <c r="F488" s="27" t="n"/>
    </row>
    <row r="489">
      <c r="A489" s="26" t="n"/>
      <c r="B489" s="27" t="n"/>
      <c r="C489" s="5" t="n"/>
      <c r="D489" s="28" t="n"/>
      <c r="E489" s="5" t="n"/>
      <c r="F489" s="27" t="n"/>
    </row>
    <row r="490">
      <c r="A490" s="26" t="n"/>
      <c r="B490" s="27" t="n"/>
      <c r="C490" s="5" t="n"/>
      <c r="D490" s="28" t="n"/>
      <c r="E490" s="5" t="n"/>
      <c r="F490" s="27" t="n"/>
    </row>
    <row r="491">
      <c r="A491" s="26" t="n"/>
      <c r="B491" s="27" t="n"/>
      <c r="C491" s="5" t="n"/>
      <c r="D491" s="28" t="n"/>
      <c r="E491" s="5" t="n"/>
      <c r="F491" s="27" t="n"/>
    </row>
    <row r="492">
      <c r="A492" s="26" t="n"/>
      <c r="B492" s="27" t="n"/>
      <c r="C492" s="5" t="n"/>
      <c r="D492" s="28" t="n"/>
      <c r="E492" s="5" t="n"/>
      <c r="F492" s="27" t="n"/>
    </row>
    <row r="493">
      <c r="A493" s="26" t="n"/>
      <c r="B493" s="27" t="n"/>
      <c r="C493" s="5" t="n"/>
      <c r="D493" s="28" t="n"/>
      <c r="E493" s="5" t="n"/>
      <c r="F493" s="27" t="n"/>
    </row>
    <row r="494">
      <c r="A494" s="26" t="n"/>
      <c r="B494" s="27" t="n"/>
      <c r="C494" s="5" t="n"/>
      <c r="D494" s="28" t="n"/>
      <c r="E494" s="5" t="n"/>
      <c r="F494" s="27" t="n"/>
    </row>
    <row r="495">
      <c r="A495" s="26" t="n"/>
      <c r="B495" s="27" t="n"/>
      <c r="C495" s="5" t="n"/>
      <c r="D495" s="28" t="n"/>
      <c r="E495" s="5" t="n"/>
      <c r="F495" s="27" t="n"/>
    </row>
    <row r="496">
      <c r="A496" s="26" t="n"/>
      <c r="B496" s="27" t="n"/>
      <c r="C496" s="5" t="n"/>
      <c r="D496" s="28" t="n"/>
      <c r="E496" s="5" t="n"/>
      <c r="F496" s="27" t="n"/>
    </row>
    <row r="497">
      <c r="A497" s="26" t="n"/>
      <c r="B497" s="27" t="n"/>
      <c r="C497" s="5" t="n"/>
      <c r="D497" s="28" t="n"/>
      <c r="E497" s="5" t="n"/>
      <c r="F497" s="27" t="n"/>
    </row>
    <row r="498">
      <c r="A498" s="26" t="n"/>
      <c r="B498" s="27" t="n"/>
      <c r="C498" s="5" t="n"/>
      <c r="D498" s="28" t="n"/>
      <c r="E498" s="5" t="n"/>
      <c r="F498" s="27" t="n"/>
    </row>
    <row r="499">
      <c r="A499" s="26" t="n"/>
      <c r="B499" s="27" t="n"/>
      <c r="C499" s="5" t="n"/>
      <c r="D499" s="28" t="n"/>
      <c r="E499" s="5" t="n"/>
      <c r="F499" s="27" t="n"/>
    </row>
    <row r="500">
      <c r="A500" s="26" t="n"/>
      <c r="B500" s="27" t="n"/>
      <c r="C500" s="5" t="n"/>
      <c r="D500" s="28" t="n"/>
      <c r="E500" s="5" t="n"/>
      <c r="F500" s="27" t="n"/>
    </row>
    <row r="501">
      <c r="A501" s="26" t="n"/>
      <c r="B501" s="27" t="n"/>
      <c r="C501" s="5" t="n"/>
      <c r="D501" s="28" t="n"/>
      <c r="E501" s="5" t="n"/>
      <c r="F501" s="27" t="n"/>
    </row>
    <row r="502">
      <c r="A502" s="26" t="n"/>
      <c r="B502" s="27" t="n"/>
      <c r="C502" s="5" t="n"/>
      <c r="D502" s="28" t="n"/>
      <c r="E502" s="5" t="n"/>
      <c r="F502" s="27" t="n"/>
    </row>
    <row r="503">
      <c r="A503" s="26" t="n"/>
      <c r="B503" s="27" t="n"/>
      <c r="C503" s="5" t="n"/>
      <c r="D503" s="28" t="n"/>
      <c r="E503" s="5" t="n"/>
      <c r="F503" s="2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A2:F2"/>
    <mergeCell ref="A1:F1"/>
  </mergeCells>
  <conditionalFormatting sqref="D4:D503">
    <cfRule type="dataBar" priority="1">
      <dataBar>
        <cfvo type="min"/>
        <cfvo type="max"/>
        <color rgb="00E74C3C"/>
      </dataBar>
    </cfRule>
  </conditionalFormatting>
  <dataValidations count="3">
    <dataValidation sqref="C4:C503" showDropDown="0" showInputMessage="0" showErrorMessage="0" allowBlank="1" promptTitle="Categoria" prompt="Selecciona la categoria del gasto" type="list">
      <formula1>"Alquiler,Servicios (luz/agua/gas),Internet/Telefono,Sueldos y Salarios,Seguro Social,Material de Oficina,Publicidad/Marketing,Transporte/Combustible,Mantenimiento,Seguros,Impuestos/Patentes,Otros Gastos"</formula1>
    </dataValidation>
    <dataValidation sqref="E4:E503" showDropDown="0" showInputMessage="0" showErrorMessage="0" allowBlank="1" promptTitle="Metodo de Pago" prompt="Selecciona el metodo de pago" type="list">
      <formula1>"Efectivo,Transferencia,Cheque,Tarjeta,Otro"</formula1>
    </dataValidation>
    <dataValidation sqref="D4:D503" showDropDown="0" showInputMessage="0" showErrorMessage="0" allowBlank="1" errorTitle="Monto invalido" error="El monto no puede ser negativo" promptTitle="Monto" prompt="Ingresa el monto del gasto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085"/>
    <outlinePr summaryBelow="1" summaryRight="1"/>
    <pageSetUpPr/>
  </sheetPr>
  <dimension ref="A1:P6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35" customHeight="1">
      <c r="A1" s="1" t="n"/>
      <c r="B1" s="23" t="inlineStr">
        <is>
          <t>PRESUPUESTO vs REAL POR CATEGORIA</t>
        </is>
      </c>
      <c r="P1" s="1" t="n"/>
    </row>
    <row r="2">
      <c r="A2" s="1" t="n"/>
      <c r="B2" s="4" t="inlineStr">
        <is>
          <t>Ano:</t>
        </is>
      </c>
      <c r="C2" s="29">
        <f>Dashboard!C4</f>
        <v/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1" t="inlineStr"/>
      <c r="B4" s="30" t="inlineStr">
        <is>
          <t>PRESUPUESTO MENSUAL (Bs.)</t>
        </is>
      </c>
      <c r="P4" s="1" t="n"/>
    </row>
    <row r="5">
      <c r="A5" s="1" t="n"/>
      <c r="B5" s="31" t="inlineStr">
        <is>
          <t>CATEGORIA</t>
        </is>
      </c>
      <c r="C5" s="31" t="inlineStr">
        <is>
          <t>ENE</t>
        </is>
      </c>
      <c r="D5" s="31" t="inlineStr">
        <is>
          <t>FEB</t>
        </is>
      </c>
      <c r="E5" s="31" t="inlineStr">
        <is>
          <t>MAR</t>
        </is>
      </c>
      <c r="F5" s="31" t="inlineStr">
        <is>
          <t>ABR</t>
        </is>
      </c>
      <c r="G5" s="31" t="inlineStr">
        <is>
          <t>MAY</t>
        </is>
      </c>
      <c r="H5" s="31" t="inlineStr">
        <is>
          <t>JUN</t>
        </is>
      </c>
      <c r="I5" s="31" t="inlineStr">
        <is>
          <t>JUL</t>
        </is>
      </c>
      <c r="J5" s="31" t="inlineStr">
        <is>
          <t>AGO</t>
        </is>
      </c>
      <c r="K5" s="31" t="inlineStr">
        <is>
          <t>SEP</t>
        </is>
      </c>
      <c r="L5" s="31" t="inlineStr">
        <is>
          <t>OCT</t>
        </is>
      </c>
      <c r="M5" s="31" t="inlineStr">
        <is>
          <t>NOV</t>
        </is>
      </c>
      <c r="N5" s="31" t="inlineStr">
        <is>
          <t>DIC</t>
        </is>
      </c>
      <c r="O5" s="31" t="inlineStr">
        <is>
          <t>TOTAL</t>
        </is>
      </c>
      <c r="P5" s="1" t="n"/>
    </row>
    <row r="6">
      <c r="A6" s="1" t="n"/>
      <c r="B6" s="18" t="inlineStr">
        <is>
          <t>Alquiler</t>
        </is>
      </c>
      <c r="C6" s="32" t="n">
        <v>3500</v>
      </c>
      <c r="D6" s="32" t="n">
        <v>3500</v>
      </c>
      <c r="E6" s="32" t="n">
        <v>3500</v>
      </c>
      <c r="F6" s="32" t="n">
        <v>3500</v>
      </c>
      <c r="G6" s="32" t="n">
        <v>3500</v>
      </c>
      <c r="H6" s="32" t="n">
        <v>3500</v>
      </c>
      <c r="I6" s="32" t="n">
        <v>3500</v>
      </c>
      <c r="J6" s="32" t="n">
        <v>3500</v>
      </c>
      <c r="K6" s="32" t="n">
        <v>3500</v>
      </c>
      <c r="L6" s="32" t="n">
        <v>3500</v>
      </c>
      <c r="M6" s="32" t="n">
        <v>3500</v>
      </c>
      <c r="N6" s="32" t="n">
        <v>3500</v>
      </c>
      <c r="O6" s="33">
        <f>SUM(C6:N6)</f>
        <v/>
      </c>
      <c r="P6" s="1" t="n"/>
    </row>
    <row r="7">
      <c r="A7" s="1" t="n"/>
      <c r="B7" s="18" t="inlineStr">
        <is>
          <t>Servicios (luz/agua/gas)</t>
        </is>
      </c>
      <c r="C7" s="32" t="n">
        <v>500</v>
      </c>
      <c r="D7" s="32" t="n">
        <v>500</v>
      </c>
      <c r="E7" s="32" t="n">
        <v>500</v>
      </c>
      <c r="F7" s="32" t="n">
        <v>500</v>
      </c>
      <c r="G7" s="32" t="n">
        <v>500</v>
      </c>
      <c r="H7" s="32" t="n">
        <v>500</v>
      </c>
      <c r="I7" s="32" t="n">
        <v>500</v>
      </c>
      <c r="J7" s="32" t="n">
        <v>500</v>
      </c>
      <c r="K7" s="32" t="n">
        <v>500</v>
      </c>
      <c r="L7" s="32" t="n">
        <v>500</v>
      </c>
      <c r="M7" s="32" t="n">
        <v>500</v>
      </c>
      <c r="N7" s="32" t="n">
        <v>500</v>
      </c>
      <c r="O7" s="33">
        <f>SUM(C7:N7)</f>
        <v/>
      </c>
      <c r="P7" s="1" t="n"/>
    </row>
    <row r="8">
      <c r="A8" s="1" t="n"/>
      <c r="B8" s="18" t="inlineStr">
        <is>
          <t>Internet/Telefono</t>
        </is>
      </c>
      <c r="C8" s="32" t="n">
        <v>250</v>
      </c>
      <c r="D8" s="32" t="n">
        <v>250</v>
      </c>
      <c r="E8" s="32" t="n">
        <v>250</v>
      </c>
      <c r="F8" s="32" t="n">
        <v>250</v>
      </c>
      <c r="G8" s="32" t="n">
        <v>250</v>
      </c>
      <c r="H8" s="32" t="n">
        <v>250</v>
      </c>
      <c r="I8" s="32" t="n">
        <v>250</v>
      </c>
      <c r="J8" s="32" t="n">
        <v>250</v>
      </c>
      <c r="K8" s="32" t="n">
        <v>250</v>
      </c>
      <c r="L8" s="32" t="n">
        <v>250</v>
      </c>
      <c r="M8" s="32" t="n">
        <v>250</v>
      </c>
      <c r="N8" s="32" t="n">
        <v>250</v>
      </c>
      <c r="O8" s="33">
        <f>SUM(C8:N8)</f>
        <v/>
      </c>
      <c r="P8" s="1" t="n"/>
    </row>
    <row r="9">
      <c r="A9" s="1" t="n"/>
      <c r="B9" s="18" t="inlineStr">
        <is>
          <t>Sueldos y Salarios</t>
        </is>
      </c>
      <c r="C9" s="32" t="n">
        <v>8000</v>
      </c>
      <c r="D9" s="32" t="n">
        <v>8000</v>
      </c>
      <c r="E9" s="32" t="n">
        <v>8000</v>
      </c>
      <c r="F9" s="32" t="n">
        <v>8000</v>
      </c>
      <c r="G9" s="32" t="n">
        <v>8000</v>
      </c>
      <c r="H9" s="32" t="n">
        <v>8000</v>
      </c>
      <c r="I9" s="32" t="n">
        <v>8000</v>
      </c>
      <c r="J9" s="32" t="n">
        <v>8000</v>
      </c>
      <c r="K9" s="32" t="n">
        <v>8000</v>
      </c>
      <c r="L9" s="32" t="n">
        <v>8000</v>
      </c>
      <c r="M9" s="32" t="n">
        <v>8000</v>
      </c>
      <c r="N9" s="32" t="n">
        <v>8000</v>
      </c>
      <c r="O9" s="33">
        <f>SUM(C9:N9)</f>
        <v/>
      </c>
      <c r="P9" s="1" t="n"/>
    </row>
    <row r="10">
      <c r="A10" s="1" t="n"/>
      <c r="B10" s="18" t="inlineStr">
        <is>
          <t>Seguro Social</t>
        </is>
      </c>
      <c r="C10" s="32" t="n">
        <v>1200</v>
      </c>
      <c r="D10" s="32" t="n">
        <v>1200</v>
      </c>
      <c r="E10" s="32" t="n">
        <v>1200</v>
      </c>
      <c r="F10" s="32" t="n">
        <v>1200</v>
      </c>
      <c r="G10" s="32" t="n">
        <v>1200</v>
      </c>
      <c r="H10" s="32" t="n">
        <v>1200</v>
      </c>
      <c r="I10" s="32" t="n">
        <v>1200</v>
      </c>
      <c r="J10" s="32" t="n">
        <v>1200</v>
      </c>
      <c r="K10" s="32" t="n">
        <v>1200</v>
      </c>
      <c r="L10" s="32" t="n">
        <v>1200</v>
      </c>
      <c r="M10" s="32" t="n">
        <v>1200</v>
      </c>
      <c r="N10" s="32" t="n">
        <v>1200</v>
      </c>
      <c r="O10" s="33">
        <f>SUM(C10:N10)</f>
        <v/>
      </c>
      <c r="P10" s="1" t="n"/>
    </row>
    <row r="11">
      <c r="A11" s="1" t="n"/>
      <c r="B11" s="18" t="inlineStr">
        <is>
          <t>Material de Oficina</t>
        </is>
      </c>
      <c r="C11" s="32" t="n">
        <v>400</v>
      </c>
      <c r="D11" s="32" t="n">
        <v>400</v>
      </c>
      <c r="E11" s="32" t="n">
        <v>400</v>
      </c>
      <c r="F11" s="32" t="n">
        <v>400</v>
      </c>
      <c r="G11" s="32" t="n">
        <v>400</v>
      </c>
      <c r="H11" s="32" t="n">
        <v>400</v>
      </c>
      <c r="I11" s="32" t="n">
        <v>400</v>
      </c>
      <c r="J11" s="32" t="n">
        <v>400</v>
      </c>
      <c r="K11" s="32" t="n">
        <v>400</v>
      </c>
      <c r="L11" s="32" t="n">
        <v>400</v>
      </c>
      <c r="M11" s="32" t="n">
        <v>400</v>
      </c>
      <c r="N11" s="32" t="n">
        <v>400</v>
      </c>
      <c r="O11" s="33">
        <f>SUM(C11:N11)</f>
        <v/>
      </c>
      <c r="P11" s="1" t="n"/>
    </row>
    <row r="12">
      <c r="A12" s="1" t="n"/>
      <c r="B12" s="18" t="inlineStr">
        <is>
          <t>Publicidad/Marketing</t>
        </is>
      </c>
      <c r="C12" s="32" t="n">
        <v>600</v>
      </c>
      <c r="D12" s="32" t="n">
        <v>600</v>
      </c>
      <c r="E12" s="32" t="n">
        <v>600</v>
      </c>
      <c r="F12" s="32" t="n">
        <v>600</v>
      </c>
      <c r="G12" s="32" t="n">
        <v>600</v>
      </c>
      <c r="H12" s="32" t="n">
        <v>600</v>
      </c>
      <c r="I12" s="32" t="n">
        <v>600</v>
      </c>
      <c r="J12" s="32" t="n">
        <v>600</v>
      </c>
      <c r="K12" s="32" t="n">
        <v>600</v>
      </c>
      <c r="L12" s="32" t="n">
        <v>600</v>
      </c>
      <c r="M12" s="32" t="n">
        <v>600</v>
      </c>
      <c r="N12" s="32" t="n">
        <v>600</v>
      </c>
      <c r="O12" s="33">
        <f>SUM(C12:N12)</f>
        <v/>
      </c>
      <c r="P12" s="1" t="n"/>
    </row>
    <row r="13">
      <c r="A13" s="1" t="n"/>
      <c r="B13" s="18" t="inlineStr">
        <is>
          <t>Transporte/Combustible</t>
        </is>
      </c>
      <c r="C13" s="32" t="n">
        <v>500</v>
      </c>
      <c r="D13" s="32" t="n">
        <v>500</v>
      </c>
      <c r="E13" s="32" t="n">
        <v>500</v>
      </c>
      <c r="F13" s="32" t="n">
        <v>500</v>
      </c>
      <c r="G13" s="32" t="n">
        <v>500</v>
      </c>
      <c r="H13" s="32" t="n">
        <v>500</v>
      </c>
      <c r="I13" s="32" t="n">
        <v>500</v>
      </c>
      <c r="J13" s="32" t="n">
        <v>500</v>
      </c>
      <c r="K13" s="32" t="n">
        <v>500</v>
      </c>
      <c r="L13" s="32" t="n">
        <v>500</v>
      </c>
      <c r="M13" s="32" t="n">
        <v>500</v>
      </c>
      <c r="N13" s="32" t="n">
        <v>500</v>
      </c>
      <c r="O13" s="33">
        <f>SUM(C13:N13)</f>
        <v/>
      </c>
      <c r="P13" s="1" t="n"/>
    </row>
    <row r="14">
      <c r="A14" s="1" t="n"/>
      <c r="B14" s="18" t="inlineStr">
        <is>
          <t>Mantenimiento</t>
        </is>
      </c>
      <c r="C14" s="32" t="n">
        <v>300</v>
      </c>
      <c r="D14" s="32" t="n">
        <v>300</v>
      </c>
      <c r="E14" s="32" t="n">
        <v>300</v>
      </c>
      <c r="F14" s="32" t="n">
        <v>300</v>
      </c>
      <c r="G14" s="32" t="n">
        <v>300</v>
      </c>
      <c r="H14" s="32" t="n">
        <v>300</v>
      </c>
      <c r="I14" s="32" t="n">
        <v>300</v>
      </c>
      <c r="J14" s="32" t="n">
        <v>300</v>
      </c>
      <c r="K14" s="32" t="n">
        <v>300</v>
      </c>
      <c r="L14" s="32" t="n">
        <v>300</v>
      </c>
      <c r="M14" s="32" t="n">
        <v>300</v>
      </c>
      <c r="N14" s="32" t="n">
        <v>300</v>
      </c>
      <c r="O14" s="33">
        <f>SUM(C14:N14)</f>
        <v/>
      </c>
      <c r="P14" s="1" t="n"/>
    </row>
    <row r="15">
      <c r="A15" s="1" t="n"/>
      <c r="B15" s="18" t="inlineStr">
        <is>
          <t>Seguros</t>
        </is>
      </c>
      <c r="C15" s="32" t="n">
        <v>200</v>
      </c>
      <c r="D15" s="32" t="n">
        <v>200</v>
      </c>
      <c r="E15" s="32" t="n">
        <v>200</v>
      </c>
      <c r="F15" s="32" t="n">
        <v>200</v>
      </c>
      <c r="G15" s="32" t="n">
        <v>200</v>
      </c>
      <c r="H15" s="32" t="n">
        <v>200</v>
      </c>
      <c r="I15" s="32" t="n">
        <v>200</v>
      </c>
      <c r="J15" s="32" t="n">
        <v>200</v>
      </c>
      <c r="K15" s="32" t="n">
        <v>200</v>
      </c>
      <c r="L15" s="32" t="n">
        <v>200</v>
      </c>
      <c r="M15" s="32" t="n">
        <v>200</v>
      </c>
      <c r="N15" s="32" t="n">
        <v>200</v>
      </c>
      <c r="O15" s="33">
        <f>SUM(C15:N15)</f>
        <v/>
      </c>
      <c r="P15" s="1" t="n"/>
    </row>
    <row r="16">
      <c r="A16" s="1" t="n"/>
      <c r="B16" s="18" t="inlineStr">
        <is>
          <t>Impuestos/Patentes</t>
        </is>
      </c>
      <c r="C16" s="32" t="n">
        <v>150</v>
      </c>
      <c r="D16" s="32" t="n">
        <v>150</v>
      </c>
      <c r="E16" s="32" t="n">
        <v>150</v>
      </c>
      <c r="F16" s="32" t="n">
        <v>150</v>
      </c>
      <c r="G16" s="32" t="n">
        <v>150</v>
      </c>
      <c r="H16" s="32" t="n">
        <v>150</v>
      </c>
      <c r="I16" s="32" t="n">
        <v>150</v>
      </c>
      <c r="J16" s="32" t="n">
        <v>150</v>
      </c>
      <c r="K16" s="32" t="n">
        <v>150</v>
      </c>
      <c r="L16" s="32" t="n">
        <v>150</v>
      </c>
      <c r="M16" s="32" t="n">
        <v>150</v>
      </c>
      <c r="N16" s="32" t="n">
        <v>150</v>
      </c>
      <c r="O16" s="33">
        <f>SUM(C16:N16)</f>
        <v/>
      </c>
      <c r="P16" s="1" t="n"/>
    </row>
    <row r="17">
      <c r="A17" s="1" t="n"/>
      <c r="B17" s="18" t="inlineStr">
        <is>
          <t>Otros Gastos</t>
        </is>
      </c>
      <c r="C17" s="32" t="n">
        <v>200</v>
      </c>
      <c r="D17" s="32" t="n">
        <v>200</v>
      </c>
      <c r="E17" s="32" t="n">
        <v>200</v>
      </c>
      <c r="F17" s="32" t="n">
        <v>200</v>
      </c>
      <c r="G17" s="32" t="n">
        <v>200</v>
      </c>
      <c r="H17" s="32" t="n">
        <v>200</v>
      </c>
      <c r="I17" s="32" t="n">
        <v>200</v>
      </c>
      <c r="J17" s="32" t="n">
        <v>200</v>
      </c>
      <c r="K17" s="32" t="n">
        <v>200</v>
      </c>
      <c r="L17" s="32" t="n">
        <v>200</v>
      </c>
      <c r="M17" s="32" t="n">
        <v>200</v>
      </c>
      <c r="N17" s="32" t="n">
        <v>200</v>
      </c>
      <c r="O17" s="33">
        <f>SUM(C17:N17)</f>
        <v/>
      </c>
      <c r="P17" s="1" t="n"/>
    </row>
    <row r="18">
      <c r="A18" s="1" t="n"/>
      <c r="B18" s="34" t="inlineStr">
        <is>
          <t>TOTAL PRESUPUESTO</t>
        </is>
      </c>
      <c r="C18" s="33">
        <f>SUM(C6:C17)</f>
        <v/>
      </c>
      <c r="D18" s="33">
        <f>SUM(D6:D17)</f>
        <v/>
      </c>
      <c r="E18" s="33">
        <f>SUM(E6:E17)</f>
        <v/>
      </c>
      <c r="F18" s="33">
        <f>SUM(F6:F17)</f>
        <v/>
      </c>
      <c r="G18" s="33">
        <f>SUM(G6:G17)</f>
        <v/>
      </c>
      <c r="H18" s="33">
        <f>SUM(H6:H17)</f>
        <v/>
      </c>
      <c r="I18" s="33">
        <f>SUM(I6:I17)</f>
        <v/>
      </c>
      <c r="J18" s="33">
        <f>SUM(J6:J17)</f>
        <v/>
      </c>
      <c r="K18" s="33">
        <f>SUM(K6:K17)</f>
        <v/>
      </c>
      <c r="L18" s="33">
        <f>SUM(L6:L17)</f>
        <v/>
      </c>
      <c r="M18" s="33">
        <f>SUM(M6:M17)</f>
        <v/>
      </c>
      <c r="N18" s="33">
        <f>SUM(N6:N17)</f>
        <v/>
      </c>
      <c r="O18" s="33">
        <f>SUM(O6:O17)</f>
        <v/>
      </c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35" t="inlineStr">
        <is>
          <t>GASTO REAL MENSUAL (Bs.)</t>
        </is>
      </c>
      <c r="P20" s="1" t="n"/>
    </row>
    <row r="21">
      <c r="A21" s="1" t="n"/>
      <c r="B21" s="31" t="inlineStr">
        <is>
          <t>CATEGORIA</t>
        </is>
      </c>
      <c r="C21" s="31" t="inlineStr">
        <is>
          <t>ENE</t>
        </is>
      </c>
      <c r="D21" s="31" t="inlineStr">
        <is>
          <t>FEB</t>
        </is>
      </c>
      <c r="E21" s="31" t="inlineStr">
        <is>
          <t>MAR</t>
        </is>
      </c>
      <c r="F21" s="31" t="inlineStr">
        <is>
          <t>ABR</t>
        </is>
      </c>
      <c r="G21" s="31" t="inlineStr">
        <is>
          <t>MAY</t>
        </is>
      </c>
      <c r="H21" s="31" t="inlineStr">
        <is>
          <t>JUN</t>
        </is>
      </c>
      <c r="I21" s="31" t="inlineStr">
        <is>
          <t>JUL</t>
        </is>
      </c>
      <c r="J21" s="31" t="inlineStr">
        <is>
          <t>AGO</t>
        </is>
      </c>
      <c r="K21" s="31" t="inlineStr">
        <is>
          <t>SEP</t>
        </is>
      </c>
      <c r="L21" s="31" t="inlineStr">
        <is>
          <t>OCT</t>
        </is>
      </c>
      <c r="M21" s="31" t="inlineStr">
        <is>
          <t>NOV</t>
        </is>
      </c>
      <c r="N21" s="31" t="inlineStr">
        <is>
          <t>DIC</t>
        </is>
      </c>
      <c r="O21" s="31" t="inlineStr">
        <is>
          <t>TOTAL</t>
        </is>
      </c>
      <c r="P21" s="1" t="n"/>
    </row>
    <row r="22">
      <c r="A22" s="1" t="n"/>
      <c r="B22" s="18" t="inlineStr">
        <is>
          <t>Alquiler</t>
        </is>
      </c>
      <c r="C22" s="36">
        <f>IFERROR(SUMPRODUCT((Gastos!C4:C503="Alquiler")*(MONTH(Gastos!A4:A503)=1)*(YEAR(Gastos!A4:A503)=C2)*Gastos!D4:D503),0)</f>
        <v/>
      </c>
      <c r="D22" s="36">
        <f>IFERROR(SUMPRODUCT((Gastos!C4:C503="Alquiler")*(MONTH(Gastos!A4:A503)=2)*(YEAR(Gastos!A4:A503)=C2)*Gastos!D4:D503),0)</f>
        <v/>
      </c>
      <c r="E22" s="36">
        <f>IFERROR(SUMPRODUCT((Gastos!C4:C503="Alquiler")*(MONTH(Gastos!A4:A503)=3)*(YEAR(Gastos!A4:A503)=C2)*Gastos!D4:D503),0)</f>
        <v/>
      </c>
      <c r="F22" s="36">
        <f>IFERROR(SUMPRODUCT((Gastos!C4:C503="Alquiler")*(MONTH(Gastos!A4:A503)=4)*(YEAR(Gastos!A4:A503)=C2)*Gastos!D4:D503),0)</f>
        <v/>
      </c>
      <c r="G22" s="36">
        <f>IFERROR(SUMPRODUCT((Gastos!C4:C503="Alquiler")*(MONTH(Gastos!A4:A503)=5)*(YEAR(Gastos!A4:A503)=C2)*Gastos!D4:D503),0)</f>
        <v/>
      </c>
      <c r="H22" s="36">
        <f>IFERROR(SUMPRODUCT((Gastos!C4:C503="Alquiler")*(MONTH(Gastos!A4:A503)=6)*(YEAR(Gastos!A4:A503)=C2)*Gastos!D4:D503),0)</f>
        <v/>
      </c>
      <c r="I22" s="36">
        <f>IFERROR(SUMPRODUCT((Gastos!C4:C503="Alquiler")*(MONTH(Gastos!A4:A503)=7)*(YEAR(Gastos!A4:A503)=C2)*Gastos!D4:D503),0)</f>
        <v/>
      </c>
      <c r="J22" s="36">
        <f>IFERROR(SUMPRODUCT((Gastos!C4:C503="Alquiler")*(MONTH(Gastos!A4:A503)=8)*(YEAR(Gastos!A4:A503)=C2)*Gastos!D4:D503),0)</f>
        <v/>
      </c>
      <c r="K22" s="36">
        <f>IFERROR(SUMPRODUCT((Gastos!C4:C503="Alquiler")*(MONTH(Gastos!A4:A503)=9)*(YEAR(Gastos!A4:A503)=C2)*Gastos!D4:D503),0)</f>
        <v/>
      </c>
      <c r="L22" s="36">
        <f>IFERROR(SUMPRODUCT((Gastos!C4:C503="Alquiler")*(MONTH(Gastos!A4:A503)=10)*(YEAR(Gastos!A4:A503)=C2)*Gastos!D4:D503),0)</f>
        <v/>
      </c>
      <c r="M22" s="36">
        <f>IFERROR(SUMPRODUCT((Gastos!C4:C503="Alquiler")*(MONTH(Gastos!A4:A503)=11)*(YEAR(Gastos!A4:A503)=C2)*Gastos!D4:D503),0)</f>
        <v/>
      </c>
      <c r="N22" s="36">
        <f>IFERROR(SUMPRODUCT((Gastos!C4:C503="Alquiler")*(MONTH(Gastos!A4:A503)=12)*(YEAR(Gastos!A4:A503)=C2)*Gastos!D4:D503),0)</f>
        <v/>
      </c>
      <c r="O22" s="37">
        <f>SUM(C22:N22)</f>
        <v/>
      </c>
      <c r="P22" s="1" t="n"/>
    </row>
    <row r="23">
      <c r="A23" s="1" t="n"/>
      <c r="B23" s="18" t="inlineStr">
        <is>
          <t>Servicios (luz/agua/gas)</t>
        </is>
      </c>
      <c r="C23" s="36">
        <f>IFERROR(SUMPRODUCT((Gastos!C4:C503="Servicios (luz/agua/gas)")*(MONTH(Gastos!A4:A503)=1)*(YEAR(Gastos!A4:A503)=C2)*Gastos!D4:D503),0)</f>
        <v/>
      </c>
      <c r="D23" s="36">
        <f>IFERROR(SUMPRODUCT((Gastos!C4:C503="Servicios (luz/agua/gas)")*(MONTH(Gastos!A4:A503)=2)*(YEAR(Gastos!A4:A503)=C2)*Gastos!D4:D503),0)</f>
        <v/>
      </c>
      <c r="E23" s="36">
        <f>IFERROR(SUMPRODUCT((Gastos!C4:C503="Servicios (luz/agua/gas)")*(MONTH(Gastos!A4:A503)=3)*(YEAR(Gastos!A4:A503)=C2)*Gastos!D4:D503),0)</f>
        <v/>
      </c>
      <c r="F23" s="36">
        <f>IFERROR(SUMPRODUCT((Gastos!C4:C503="Servicios (luz/agua/gas)")*(MONTH(Gastos!A4:A503)=4)*(YEAR(Gastos!A4:A503)=C2)*Gastos!D4:D503),0)</f>
        <v/>
      </c>
      <c r="G23" s="36">
        <f>IFERROR(SUMPRODUCT((Gastos!C4:C503="Servicios (luz/agua/gas)")*(MONTH(Gastos!A4:A503)=5)*(YEAR(Gastos!A4:A503)=C2)*Gastos!D4:D503),0)</f>
        <v/>
      </c>
      <c r="H23" s="36">
        <f>IFERROR(SUMPRODUCT((Gastos!C4:C503="Servicios (luz/agua/gas)")*(MONTH(Gastos!A4:A503)=6)*(YEAR(Gastos!A4:A503)=C2)*Gastos!D4:D503),0)</f>
        <v/>
      </c>
      <c r="I23" s="36">
        <f>IFERROR(SUMPRODUCT((Gastos!C4:C503="Servicios (luz/agua/gas)")*(MONTH(Gastos!A4:A503)=7)*(YEAR(Gastos!A4:A503)=C2)*Gastos!D4:D503),0)</f>
        <v/>
      </c>
      <c r="J23" s="36">
        <f>IFERROR(SUMPRODUCT((Gastos!C4:C503="Servicios (luz/agua/gas)")*(MONTH(Gastos!A4:A503)=8)*(YEAR(Gastos!A4:A503)=C2)*Gastos!D4:D503),0)</f>
        <v/>
      </c>
      <c r="K23" s="36">
        <f>IFERROR(SUMPRODUCT((Gastos!C4:C503="Servicios (luz/agua/gas)")*(MONTH(Gastos!A4:A503)=9)*(YEAR(Gastos!A4:A503)=C2)*Gastos!D4:D503),0)</f>
        <v/>
      </c>
      <c r="L23" s="36">
        <f>IFERROR(SUMPRODUCT((Gastos!C4:C503="Servicios (luz/agua/gas)")*(MONTH(Gastos!A4:A503)=10)*(YEAR(Gastos!A4:A503)=C2)*Gastos!D4:D503),0)</f>
        <v/>
      </c>
      <c r="M23" s="36">
        <f>IFERROR(SUMPRODUCT((Gastos!C4:C503="Servicios (luz/agua/gas)")*(MONTH(Gastos!A4:A503)=11)*(YEAR(Gastos!A4:A503)=C2)*Gastos!D4:D503),0)</f>
        <v/>
      </c>
      <c r="N23" s="36">
        <f>IFERROR(SUMPRODUCT((Gastos!C4:C503="Servicios (luz/agua/gas)")*(MONTH(Gastos!A4:A503)=12)*(YEAR(Gastos!A4:A503)=C2)*Gastos!D4:D503),0)</f>
        <v/>
      </c>
      <c r="O23" s="37">
        <f>SUM(C23:N23)</f>
        <v/>
      </c>
      <c r="P23" s="1" t="n"/>
    </row>
    <row r="24">
      <c r="A24" s="1" t="n"/>
      <c r="B24" s="18" t="inlineStr">
        <is>
          <t>Internet/Telefono</t>
        </is>
      </c>
      <c r="C24" s="36">
        <f>IFERROR(SUMPRODUCT((Gastos!C4:C503="Internet/Telefono")*(MONTH(Gastos!A4:A503)=1)*(YEAR(Gastos!A4:A503)=C2)*Gastos!D4:D503),0)</f>
        <v/>
      </c>
      <c r="D24" s="36">
        <f>IFERROR(SUMPRODUCT((Gastos!C4:C503="Internet/Telefono")*(MONTH(Gastos!A4:A503)=2)*(YEAR(Gastos!A4:A503)=C2)*Gastos!D4:D503),0)</f>
        <v/>
      </c>
      <c r="E24" s="36">
        <f>IFERROR(SUMPRODUCT((Gastos!C4:C503="Internet/Telefono")*(MONTH(Gastos!A4:A503)=3)*(YEAR(Gastos!A4:A503)=C2)*Gastos!D4:D503),0)</f>
        <v/>
      </c>
      <c r="F24" s="36">
        <f>IFERROR(SUMPRODUCT((Gastos!C4:C503="Internet/Telefono")*(MONTH(Gastos!A4:A503)=4)*(YEAR(Gastos!A4:A503)=C2)*Gastos!D4:D503),0)</f>
        <v/>
      </c>
      <c r="G24" s="36">
        <f>IFERROR(SUMPRODUCT((Gastos!C4:C503="Internet/Telefono")*(MONTH(Gastos!A4:A503)=5)*(YEAR(Gastos!A4:A503)=C2)*Gastos!D4:D503),0)</f>
        <v/>
      </c>
      <c r="H24" s="36">
        <f>IFERROR(SUMPRODUCT((Gastos!C4:C503="Internet/Telefono")*(MONTH(Gastos!A4:A503)=6)*(YEAR(Gastos!A4:A503)=C2)*Gastos!D4:D503),0)</f>
        <v/>
      </c>
      <c r="I24" s="36">
        <f>IFERROR(SUMPRODUCT((Gastos!C4:C503="Internet/Telefono")*(MONTH(Gastos!A4:A503)=7)*(YEAR(Gastos!A4:A503)=C2)*Gastos!D4:D503),0)</f>
        <v/>
      </c>
      <c r="J24" s="36">
        <f>IFERROR(SUMPRODUCT((Gastos!C4:C503="Internet/Telefono")*(MONTH(Gastos!A4:A503)=8)*(YEAR(Gastos!A4:A503)=C2)*Gastos!D4:D503),0)</f>
        <v/>
      </c>
      <c r="K24" s="36">
        <f>IFERROR(SUMPRODUCT((Gastos!C4:C503="Internet/Telefono")*(MONTH(Gastos!A4:A503)=9)*(YEAR(Gastos!A4:A503)=C2)*Gastos!D4:D503),0)</f>
        <v/>
      </c>
      <c r="L24" s="36">
        <f>IFERROR(SUMPRODUCT((Gastos!C4:C503="Internet/Telefono")*(MONTH(Gastos!A4:A503)=10)*(YEAR(Gastos!A4:A503)=C2)*Gastos!D4:D503),0)</f>
        <v/>
      </c>
      <c r="M24" s="36">
        <f>IFERROR(SUMPRODUCT((Gastos!C4:C503="Internet/Telefono")*(MONTH(Gastos!A4:A503)=11)*(YEAR(Gastos!A4:A503)=C2)*Gastos!D4:D503),0)</f>
        <v/>
      </c>
      <c r="N24" s="36">
        <f>IFERROR(SUMPRODUCT((Gastos!C4:C503="Internet/Telefono")*(MONTH(Gastos!A4:A503)=12)*(YEAR(Gastos!A4:A503)=C2)*Gastos!D4:D503),0)</f>
        <v/>
      </c>
      <c r="O24" s="37">
        <f>SUM(C24:N24)</f>
        <v/>
      </c>
      <c r="P24" s="1" t="n"/>
    </row>
    <row r="25">
      <c r="A25" s="1" t="n"/>
      <c r="B25" s="18" t="inlineStr">
        <is>
          <t>Sueldos y Salarios</t>
        </is>
      </c>
      <c r="C25" s="36">
        <f>IFERROR(SUMPRODUCT((Gastos!C4:C503="Sueldos y Salarios")*(MONTH(Gastos!A4:A503)=1)*(YEAR(Gastos!A4:A503)=C2)*Gastos!D4:D503),0)</f>
        <v/>
      </c>
      <c r="D25" s="36">
        <f>IFERROR(SUMPRODUCT((Gastos!C4:C503="Sueldos y Salarios")*(MONTH(Gastos!A4:A503)=2)*(YEAR(Gastos!A4:A503)=C2)*Gastos!D4:D503),0)</f>
        <v/>
      </c>
      <c r="E25" s="36">
        <f>IFERROR(SUMPRODUCT((Gastos!C4:C503="Sueldos y Salarios")*(MONTH(Gastos!A4:A503)=3)*(YEAR(Gastos!A4:A503)=C2)*Gastos!D4:D503),0)</f>
        <v/>
      </c>
      <c r="F25" s="36">
        <f>IFERROR(SUMPRODUCT((Gastos!C4:C503="Sueldos y Salarios")*(MONTH(Gastos!A4:A503)=4)*(YEAR(Gastos!A4:A503)=C2)*Gastos!D4:D503),0)</f>
        <v/>
      </c>
      <c r="G25" s="36">
        <f>IFERROR(SUMPRODUCT((Gastos!C4:C503="Sueldos y Salarios")*(MONTH(Gastos!A4:A503)=5)*(YEAR(Gastos!A4:A503)=C2)*Gastos!D4:D503),0)</f>
        <v/>
      </c>
      <c r="H25" s="36">
        <f>IFERROR(SUMPRODUCT((Gastos!C4:C503="Sueldos y Salarios")*(MONTH(Gastos!A4:A503)=6)*(YEAR(Gastos!A4:A503)=C2)*Gastos!D4:D503),0)</f>
        <v/>
      </c>
      <c r="I25" s="36">
        <f>IFERROR(SUMPRODUCT((Gastos!C4:C503="Sueldos y Salarios")*(MONTH(Gastos!A4:A503)=7)*(YEAR(Gastos!A4:A503)=C2)*Gastos!D4:D503),0)</f>
        <v/>
      </c>
      <c r="J25" s="36">
        <f>IFERROR(SUMPRODUCT((Gastos!C4:C503="Sueldos y Salarios")*(MONTH(Gastos!A4:A503)=8)*(YEAR(Gastos!A4:A503)=C2)*Gastos!D4:D503),0)</f>
        <v/>
      </c>
      <c r="K25" s="36">
        <f>IFERROR(SUMPRODUCT((Gastos!C4:C503="Sueldos y Salarios")*(MONTH(Gastos!A4:A503)=9)*(YEAR(Gastos!A4:A503)=C2)*Gastos!D4:D503),0)</f>
        <v/>
      </c>
      <c r="L25" s="36">
        <f>IFERROR(SUMPRODUCT((Gastos!C4:C503="Sueldos y Salarios")*(MONTH(Gastos!A4:A503)=10)*(YEAR(Gastos!A4:A503)=C2)*Gastos!D4:D503),0)</f>
        <v/>
      </c>
      <c r="M25" s="36">
        <f>IFERROR(SUMPRODUCT((Gastos!C4:C503="Sueldos y Salarios")*(MONTH(Gastos!A4:A503)=11)*(YEAR(Gastos!A4:A503)=C2)*Gastos!D4:D503),0)</f>
        <v/>
      </c>
      <c r="N25" s="36">
        <f>IFERROR(SUMPRODUCT((Gastos!C4:C503="Sueldos y Salarios")*(MONTH(Gastos!A4:A503)=12)*(YEAR(Gastos!A4:A503)=C2)*Gastos!D4:D503),0)</f>
        <v/>
      </c>
      <c r="O25" s="37">
        <f>SUM(C25:N25)</f>
        <v/>
      </c>
      <c r="P25" s="1" t="n"/>
    </row>
    <row r="26">
      <c r="A26" s="1" t="n"/>
      <c r="B26" s="18" t="inlineStr">
        <is>
          <t>Seguro Social</t>
        </is>
      </c>
      <c r="C26" s="36">
        <f>IFERROR(SUMPRODUCT((Gastos!C4:C503="Seguro Social")*(MONTH(Gastos!A4:A503)=1)*(YEAR(Gastos!A4:A503)=C2)*Gastos!D4:D503),0)</f>
        <v/>
      </c>
      <c r="D26" s="36">
        <f>IFERROR(SUMPRODUCT((Gastos!C4:C503="Seguro Social")*(MONTH(Gastos!A4:A503)=2)*(YEAR(Gastos!A4:A503)=C2)*Gastos!D4:D503),0)</f>
        <v/>
      </c>
      <c r="E26" s="36">
        <f>IFERROR(SUMPRODUCT((Gastos!C4:C503="Seguro Social")*(MONTH(Gastos!A4:A503)=3)*(YEAR(Gastos!A4:A503)=C2)*Gastos!D4:D503),0)</f>
        <v/>
      </c>
      <c r="F26" s="36">
        <f>IFERROR(SUMPRODUCT((Gastos!C4:C503="Seguro Social")*(MONTH(Gastos!A4:A503)=4)*(YEAR(Gastos!A4:A503)=C2)*Gastos!D4:D503),0)</f>
        <v/>
      </c>
      <c r="G26" s="36">
        <f>IFERROR(SUMPRODUCT((Gastos!C4:C503="Seguro Social")*(MONTH(Gastos!A4:A503)=5)*(YEAR(Gastos!A4:A503)=C2)*Gastos!D4:D503),0)</f>
        <v/>
      </c>
      <c r="H26" s="36">
        <f>IFERROR(SUMPRODUCT((Gastos!C4:C503="Seguro Social")*(MONTH(Gastos!A4:A503)=6)*(YEAR(Gastos!A4:A503)=C2)*Gastos!D4:D503),0)</f>
        <v/>
      </c>
      <c r="I26" s="36">
        <f>IFERROR(SUMPRODUCT((Gastos!C4:C503="Seguro Social")*(MONTH(Gastos!A4:A503)=7)*(YEAR(Gastos!A4:A503)=C2)*Gastos!D4:D503),0)</f>
        <v/>
      </c>
      <c r="J26" s="36">
        <f>IFERROR(SUMPRODUCT((Gastos!C4:C503="Seguro Social")*(MONTH(Gastos!A4:A503)=8)*(YEAR(Gastos!A4:A503)=C2)*Gastos!D4:D503),0)</f>
        <v/>
      </c>
      <c r="K26" s="36">
        <f>IFERROR(SUMPRODUCT((Gastos!C4:C503="Seguro Social")*(MONTH(Gastos!A4:A503)=9)*(YEAR(Gastos!A4:A503)=C2)*Gastos!D4:D503),0)</f>
        <v/>
      </c>
      <c r="L26" s="36">
        <f>IFERROR(SUMPRODUCT((Gastos!C4:C503="Seguro Social")*(MONTH(Gastos!A4:A503)=10)*(YEAR(Gastos!A4:A503)=C2)*Gastos!D4:D503),0)</f>
        <v/>
      </c>
      <c r="M26" s="36">
        <f>IFERROR(SUMPRODUCT((Gastos!C4:C503="Seguro Social")*(MONTH(Gastos!A4:A503)=11)*(YEAR(Gastos!A4:A503)=C2)*Gastos!D4:D503),0)</f>
        <v/>
      </c>
      <c r="N26" s="36">
        <f>IFERROR(SUMPRODUCT((Gastos!C4:C503="Seguro Social")*(MONTH(Gastos!A4:A503)=12)*(YEAR(Gastos!A4:A503)=C2)*Gastos!D4:D503),0)</f>
        <v/>
      </c>
      <c r="O26" s="37">
        <f>SUM(C26:N26)</f>
        <v/>
      </c>
      <c r="P26" s="1" t="n"/>
    </row>
    <row r="27">
      <c r="A27" s="1" t="n"/>
      <c r="B27" s="18" t="inlineStr">
        <is>
          <t>Material de Oficina</t>
        </is>
      </c>
      <c r="C27" s="36">
        <f>IFERROR(SUMPRODUCT((Gastos!C4:C503="Material de Oficina")*(MONTH(Gastos!A4:A503)=1)*(YEAR(Gastos!A4:A503)=C2)*Gastos!D4:D503),0)</f>
        <v/>
      </c>
      <c r="D27" s="36">
        <f>IFERROR(SUMPRODUCT((Gastos!C4:C503="Material de Oficina")*(MONTH(Gastos!A4:A503)=2)*(YEAR(Gastos!A4:A503)=C2)*Gastos!D4:D503),0)</f>
        <v/>
      </c>
      <c r="E27" s="36">
        <f>IFERROR(SUMPRODUCT((Gastos!C4:C503="Material de Oficina")*(MONTH(Gastos!A4:A503)=3)*(YEAR(Gastos!A4:A503)=C2)*Gastos!D4:D503),0)</f>
        <v/>
      </c>
      <c r="F27" s="36">
        <f>IFERROR(SUMPRODUCT((Gastos!C4:C503="Material de Oficina")*(MONTH(Gastos!A4:A503)=4)*(YEAR(Gastos!A4:A503)=C2)*Gastos!D4:D503),0)</f>
        <v/>
      </c>
      <c r="G27" s="36">
        <f>IFERROR(SUMPRODUCT((Gastos!C4:C503="Material de Oficina")*(MONTH(Gastos!A4:A503)=5)*(YEAR(Gastos!A4:A503)=C2)*Gastos!D4:D503),0)</f>
        <v/>
      </c>
      <c r="H27" s="36">
        <f>IFERROR(SUMPRODUCT((Gastos!C4:C503="Material de Oficina")*(MONTH(Gastos!A4:A503)=6)*(YEAR(Gastos!A4:A503)=C2)*Gastos!D4:D503),0)</f>
        <v/>
      </c>
      <c r="I27" s="36">
        <f>IFERROR(SUMPRODUCT((Gastos!C4:C503="Material de Oficina")*(MONTH(Gastos!A4:A503)=7)*(YEAR(Gastos!A4:A503)=C2)*Gastos!D4:D503),0)</f>
        <v/>
      </c>
      <c r="J27" s="36">
        <f>IFERROR(SUMPRODUCT((Gastos!C4:C503="Material de Oficina")*(MONTH(Gastos!A4:A503)=8)*(YEAR(Gastos!A4:A503)=C2)*Gastos!D4:D503),0)</f>
        <v/>
      </c>
      <c r="K27" s="36">
        <f>IFERROR(SUMPRODUCT((Gastos!C4:C503="Material de Oficina")*(MONTH(Gastos!A4:A503)=9)*(YEAR(Gastos!A4:A503)=C2)*Gastos!D4:D503),0)</f>
        <v/>
      </c>
      <c r="L27" s="36">
        <f>IFERROR(SUMPRODUCT((Gastos!C4:C503="Material de Oficina")*(MONTH(Gastos!A4:A503)=10)*(YEAR(Gastos!A4:A503)=C2)*Gastos!D4:D503),0)</f>
        <v/>
      </c>
      <c r="M27" s="36">
        <f>IFERROR(SUMPRODUCT((Gastos!C4:C503="Material de Oficina")*(MONTH(Gastos!A4:A503)=11)*(YEAR(Gastos!A4:A503)=C2)*Gastos!D4:D503),0)</f>
        <v/>
      </c>
      <c r="N27" s="36">
        <f>IFERROR(SUMPRODUCT((Gastos!C4:C503="Material de Oficina")*(MONTH(Gastos!A4:A503)=12)*(YEAR(Gastos!A4:A503)=C2)*Gastos!D4:D503),0)</f>
        <v/>
      </c>
      <c r="O27" s="37">
        <f>SUM(C27:N27)</f>
        <v/>
      </c>
      <c r="P27" s="1" t="n"/>
    </row>
    <row r="28">
      <c r="A28" s="1" t="n"/>
      <c r="B28" s="18" t="inlineStr">
        <is>
          <t>Publicidad/Marketing</t>
        </is>
      </c>
      <c r="C28" s="36">
        <f>IFERROR(SUMPRODUCT((Gastos!C4:C503="Publicidad/Marketing")*(MONTH(Gastos!A4:A503)=1)*(YEAR(Gastos!A4:A503)=C2)*Gastos!D4:D503),0)</f>
        <v/>
      </c>
      <c r="D28" s="36">
        <f>IFERROR(SUMPRODUCT((Gastos!C4:C503="Publicidad/Marketing")*(MONTH(Gastos!A4:A503)=2)*(YEAR(Gastos!A4:A503)=C2)*Gastos!D4:D503),0)</f>
        <v/>
      </c>
      <c r="E28" s="36">
        <f>IFERROR(SUMPRODUCT((Gastos!C4:C503="Publicidad/Marketing")*(MONTH(Gastos!A4:A503)=3)*(YEAR(Gastos!A4:A503)=C2)*Gastos!D4:D503),0)</f>
        <v/>
      </c>
      <c r="F28" s="36">
        <f>IFERROR(SUMPRODUCT((Gastos!C4:C503="Publicidad/Marketing")*(MONTH(Gastos!A4:A503)=4)*(YEAR(Gastos!A4:A503)=C2)*Gastos!D4:D503),0)</f>
        <v/>
      </c>
      <c r="G28" s="36">
        <f>IFERROR(SUMPRODUCT((Gastos!C4:C503="Publicidad/Marketing")*(MONTH(Gastos!A4:A503)=5)*(YEAR(Gastos!A4:A503)=C2)*Gastos!D4:D503),0)</f>
        <v/>
      </c>
      <c r="H28" s="36">
        <f>IFERROR(SUMPRODUCT((Gastos!C4:C503="Publicidad/Marketing")*(MONTH(Gastos!A4:A503)=6)*(YEAR(Gastos!A4:A503)=C2)*Gastos!D4:D503),0)</f>
        <v/>
      </c>
      <c r="I28" s="36">
        <f>IFERROR(SUMPRODUCT((Gastos!C4:C503="Publicidad/Marketing")*(MONTH(Gastos!A4:A503)=7)*(YEAR(Gastos!A4:A503)=C2)*Gastos!D4:D503),0)</f>
        <v/>
      </c>
      <c r="J28" s="36">
        <f>IFERROR(SUMPRODUCT((Gastos!C4:C503="Publicidad/Marketing")*(MONTH(Gastos!A4:A503)=8)*(YEAR(Gastos!A4:A503)=C2)*Gastos!D4:D503),0)</f>
        <v/>
      </c>
      <c r="K28" s="36">
        <f>IFERROR(SUMPRODUCT((Gastos!C4:C503="Publicidad/Marketing")*(MONTH(Gastos!A4:A503)=9)*(YEAR(Gastos!A4:A503)=C2)*Gastos!D4:D503),0)</f>
        <v/>
      </c>
      <c r="L28" s="36">
        <f>IFERROR(SUMPRODUCT((Gastos!C4:C503="Publicidad/Marketing")*(MONTH(Gastos!A4:A503)=10)*(YEAR(Gastos!A4:A503)=C2)*Gastos!D4:D503),0)</f>
        <v/>
      </c>
      <c r="M28" s="36">
        <f>IFERROR(SUMPRODUCT((Gastos!C4:C503="Publicidad/Marketing")*(MONTH(Gastos!A4:A503)=11)*(YEAR(Gastos!A4:A503)=C2)*Gastos!D4:D503),0)</f>
        <v/>
      </c>
      <c r="N28" s="36">
        <f>IFERROR(SUMPRODUCT((Gastos!C4:C503="Publicidad/Marketing")*(MONTH(Gastos!A4:A503)=12)*(YEAR(Gastos!A4:A503)=C2)*Gastos!D4:D503),0)</f>
        <v/>
      </c>
      <c r="O28" s="37">
        <f>SUM(C28:N28)</f>
        <v/>
      </c>
      <c r="P28" s="1" t="n"/>
    </row>
    <row r="29">
      <c r="A29" s="1" t="n"/>
      <c r="B29" s="18" t="inlineStr">
        <is>
          <t>Transporte/Combustible</t>
        </is>
      </c>
      <c r="C29" s="36">
        <f>IFERROR(SUMPRODUCT((Gastos!C4:C503="Transporte/Combustible")*(MONTH(Gastos!A4:A503)=1)*(YEAR(Gastos!A4:A503)=C2)*Gastos!D4:D503),0)</f>
        <v/>
      </c>
      <c r="D29" s="36">
        <f>IFERROR(SUMPRODUCT((Gastos!C4:C503="Transporte/Combustible")*(MONTH(Gastos!A4:A503)=2)*(YEAR(Gastos!A4:A503)=C2)*Gastos!D4:D503),0)</f>
        <v/>
      </c>
      <c r="E29" s="36">
        <f>IFERROR(SUMPRODUCT((Gastos!C4:C503="Transporte/Combustible")*(MONTH(Gastos!A4:A503)=3)*(YEAR(Gastos!A4:A503)=C2)*Gastos!D4:D503),0)</f>
        <v/>
      </c>
      <c r="F29" s="36">
        <f>IFERROR(SUMPRODUCT((Gastos!C4:C503="Transporte/Combustible")*(MONTH(Gastos!A4:A503)=4)*(YEAR(Gastos!A4:A503)=C2)*Gastos!D4:D503),0)</f>
        <v/>
      </c>
      <c r="G29" s="36">
        <f>IFERROR(SUMPRODUCT((Gastos!C4:C503="Transporte/Combustible")*(MONTH(Gastos!A4:A503)=5)*(YEAR(Gastos!A4:A503)=C2)*Gastos!D4:D503),0)</f>
        <v/>
      </c>
      <c r="H29" s="36">
        <f>IFERROR(SUMPRODUCT((Gastos!C4:C503="Transporte/Combustible")*(MONTH(Gastos!A4:A503)=6)*(YEAR(Gastos!A4:A503)=C2)*Gastos!D4:D503),0)</f>
        <v/>
      </c>
      <c r="I29" s="36">
        <f>IFERROR(SUMPRODUCT((Gastos!C4:C503="Transporte/Combustible")*(MONTH(Gastos!A4:A503)=7)*(YEAR(Gastos!A4:A503)=C2)*Gastos!D4:D503),0)</f>
        <v/>
      </c>
      <c r="J29" s="36">
        <f>IFERROR(SUMPRODUCT((Gastos!C4:C503="Transporte/Combustible")*(MONTH(Gastos!A4:A503)=8)*(YEAR(Gastos!A4:A503)=C2)*Gastos!D4:D503),0)</f>
        <v/>
      </c>
      <c r="K29" s="36">
        <f>IFERROR(SUMPRODUCT((Gastos!C4:C503="Transporte/Combustible")*(MONTH(Gastos!A4:A503)=9)*(YEAR(Gastos!A4:A503)=C2)*Gastos!D4:D503),0)</f>
        <v/>
      </c>
      <c r="L29" s="36">
        <f>IFERROR(SUMPRODUCT((Gastos!C4:C503="Transporte/Combustible")*(MONTH(Gastos!A4:A503)=10)*(YEAR(Gastos!A4:A503)=C2)*Gastos!D4:D503),0)</f>
        <v/>
      </c>
      <c r="M29" s="36">
        <f>IFERROR(SUMPRODUCT((Gastos!C4:C503="Transporte/Combustible")*(MONTH(Gastos!A4:A503)=11)*(YEAR(Gastos!A4:A503)=C2)*Gastos!D4:D503),0)</f>
        <v/>
      </c>
      <c r="N29" s="36">
        <f>IFERROR(SUMPRODUCT((Gastos!C4:C503="Transporte/Combustible")*(MONTH(Gastos!A4:A503)=12)*(YEAR(Gastos!A4:A503)=C2)*Gastos!D4:D503),0)</f>
        <v/>
      </c>
      <c r="O29" s="37">
        <f>SUM(C29:N29)</f>
        <v/>
      </c>
      <c r="P29" s="1" t="n"/>
    </row>
    <row r="30">
      <c r="A30" s="1" t="n"/>
      <c r="B30" s="18" t="inlineStr">
        <is>
          <t>Mantenimiento</t>
        </is>
      </c>
      <c r="C30" s="36">
        <f>IFERROR(SUMPRODUCT((Gastos!C4:C503="Mantenimiento")*(MONTH(Gastos!A4:A503)=1)*(YEAR(Gastos!A4:A503)=C2)*Gastos!D4:D503),0)</f>
        <v/>
      </c>
      <c r="D30" s="36">
        <f>IFERROR(SUMPRODUCT((Gastos!C4:C503="Mantenimiento")*(MONTH(Gastos!A4:A503)=2)*(YEAR(Gastos!A4:A503)=C2)*Gastos!D4:D503),0)</f>
        <v/>
      </c>
      <c r="E30" s="36">
        <f>IFERROR(SUMPRODUCT((Gastos!C4:C503="Mantenimiento")*(MONTH(Gastos!A4:A503)=3)*(YEAR(Gastos!A4:A503)=C2)*Gastos!D4:D503),0)</f>
        <v/>
      </c>
      <c r="F30" s="36">
        <f>IFERROR(SUMPRODUCT((Gastos!C4:C503="Mantenimiento")*(MONTH(Gastos!A4:A503)=4)*(YEAR(Gastos!A4:A503)=C2)*Gastos!D4:D503),0)</f>
        <v/>
      </c>
      <c r="G30" s="36">
        <f>IFERROR(SUMPRODUCT((Gastos!C4:C503="Mantenimiento")*(MONTH(Gastos!A4:A503)=5)*(YEAR(Gastos!A4:A503)=C2)*Gastos!D4:D503),0)</f>
        <v/>
      </c>
      <c r="H30" s="36">
        <f>IFERROR(SUMPRODUCT((Gastos!C4:C503="Mantenimiento")*(MONTH(Gastos!A4:A503)=6)*(YEAR(Gastos!A4:A503)=C2)*Gastos!D4:D503),0)</f>
        <v/>
      </c>
      <c r="I30" s="36">
        <f>IFERROR(SUMPRODUCT((Gastos!C4:C503="Mantenimiento")*(MONTH(Gastos!A4:A503)=7)*(YEAR(Gastos!A4:A503)=C2)*Gastos!D4:D503),0)</f>
        <v/>
      </c>
      <c r="J30" s="36">
        <f>IFERROR(SUMPRODUCT((Gastos!C4:C503="Mantenimiento")*(MONTH(Gastos!A4:A503)=8)*(YEAR(Gastos!A4:A503)=C2)*Gastos!D4:D503),0)</f>
        <v/>
      </c>
      <c r="K30" s="36">
        <f>IFERROR(SUMPRODUCT((Gastos!C4:C503="Mantenimiento")*(MONTH(Gastos!A4:A503)=9)*(YEAR(Gastos!A4:A503)=C2)*Gastos!D4:D503),0)</f>
        <v/>
      </c>
      <c r="L30" s="36">
        <f>IFERROR(SUMPRODUCT((Gastos!C4:C503="Mantenimiento")*(MONTH(Gastos!A4:A503)=10)*(YEAR(Gastos!A4:A503)=C2)*Gastos!D4:D503),0)</f>
        <v/>
      </c>
      <c r="M30" s="36">
        <f>IFERROR(SUMPRODUCT((Gastos!C4:C503="Mantenimiento")*(MONTH(Gastos!A4:A503)=11)*(YEAR(Gastos!A4:A503)=C2)*Gastos!D4:D503),0)</f>
        <v/>
      </c>
      <c r="N30" s="36">
        <f>IFERROR(SUMPRODUCT((Gastos!C4:C503="Mantenimiento")*(MONTH(Gastos!A4:A503)=12)*(YEAR(Gastos!A4:A503)=C2)*Gastos!D4:D503),0)</f>
        <v/>
      </c>
      <c r="O30" s="37">
        <f>SUM(C30:N30)</f>
        <v/>
      </c>
      <c r="P30" s="1" t="n"/>
    </row>
    <row r="31">
      <c r="A31" s="1" t="n"/>
      <c r="B31" s="18" t="inlineStr">
        <is>
          <t>Seguros</t>
        </is>
      </c>
      <c r="C31" s="36">
        <f>IFERROR(SUMPRODUCT((Gastos!C4:C503="Seguros")*(MONTH(Gastos!A4:A503)=1)*(YEAR(Gastos!A4:A503)=C2)*Gastos!D4:D503),0)</f>
        <v/>
      </c>
      <c r="D31" s="36">
        <f>IFERROR(SUMPRODUCT((Gastos!C4:C503="Seguros")*(MONTH(Gastos!A4:A503)=2)*(YEAR(Gastos!A4:A503)=C2)*Gastos!D4:D503),0)</f>
        <v/>
      </c>
      <c r="E31" s="36">
        <f>IFERROR(SUMPRODUCT((Gastos!C4:C503="Seguros")*(MONTH(Gastos!A4:A503)=3)*(YEAR(Gastos!A4:A503)=C2)*Gastos!D4:D503),0)</f>
        <v/>
      </c>
      <c r="F31" s="36">
        <f>IFERROR(SUMPRODUCT((Gastos!C4:C503="Seguros")*(MONTH(Gastos!A4:A503)=4)*(YEAR(Gastos!A4:A503)=C2)*Gastos!D4:D503),0)</f>
        <v/>
      </c>
      <c r="G31" s="36">
        <f>IFERROR(SUMPRODUCT((Gastos!C4:C503="Seguros")*(MONTH(Gastos!A4:A503)=5)*(YEAR(Gastos!A4:A503)=C2)*Gastos!D4:D503),0)</f>
        <v/>
      </c>
      <c r="H31" s="36">
        <f>IFERROR(SUMPRODUCT((Gastos!C4:C503="Seguros")*(MONTH(Gastos!A4:A503)=6)*(YEAR(Gastos!A4:A503)=C2)*Gastos!D4:D503),0)</f>
        <v/>
      </c>
      <c r="I31" s="36">
        <f>IFERROR(SUMPRODUCT((Gastos!C4:C503="Seguros")*(MONTH(Gastos!A4:A503)=7)*(YEAR(Gastos!A4:A503)=C2)*Gastos!D4:D503),0)</f>
        <v/>
      </c>
      <c r="J31" s="36">
        <f>IFERROR(SUMPRODUCT((Gastos!C4:C503="Seguros")*(MONTH(Gastos!A4:A503)=8)*(YEAR(Gastos!A4:A503)=C2)*Gastos!D4:D503),0)</f>
        <v/>
      </c>
      <c r="K31" s="36">
        <f>IFERROR(SUMPRODUCT((Gastos!C4:C503="Seguros")*(MONTH(Gastos!A4:A503)=9)*(YEAR(Gastos!A4:A503)=C2)*Gastos!D4:D503),0)</f>
        <v/>
      </c>
      <c r="L31" s="36">
        <f>IFERROR(SUMPRODUCT((Gastos!C4:C503="Seguros")*(MONTH(Gastos!A4:A503)=10)*(YEAR(Gastos!A4:A503)=C2)*Gastos!D4:D503),0)</f>
        <v/>
      </c>
      <c r="M31" s="36">
        <f>IFERROR(SUMPRODUCT((Gastos!C4:C503="Seguros")*(MONTH(Gastos!A4:A503)=11)*(YEAR(Gastos!A4:A503)=C2)*Gastos!D4:D503),0)</f>
        <v/>
      </c>
      <c r="N31" s="36">
        <f>IFERROR(SUMPRODUCT((Gastos!C4:C503="Seguros")*(MONTH(Gastos!A4:A503)=12)*(YEAR(Gastos!A4:A503)=C2)*Gastos!D4:D503),0)</f>
        <v/>
      </c>
      <c r="O31" s="37">
        <f>SUM(C31:N31)</f>
        <v/>
      </c>
      <c r="P31" s="1" t="n"/>
    </row>
    <row r="32">
      <c r="A32" s="1" t="n"/>
      <c r="B32" s="18" t="inlineStr">
        <is>
          <t>Impuestos/Patentes</t>
        </is>
      </c>
      <c r="C32" s="36">
        <f>IFERROR(SUMPRODUCT((Gastos!C4:C503="Impuestos/Patentes")*(MONTH(Gastos!A4:A503)=1)*(YEAR(Gastos!A4:A503)=C2)*Gastos!D4:D503),0)</f>
        <v/>
      </c>
      <c r="D32" s="36">
        <f>IFERROR(SUMPRODUCT((Gastos!C4:C503="Impuestos/Patentes")*(MONTH(Gastos!A4:A503)=2)*(YEAR(Gastos!A4:A503)=C2)*Gastos!D4:D503),0)</f>
        <v/>
      </c>
      <c r="E32" s="36">
        <f>IFERROR(SUMPRODUCT((Gastos!C4:C503="Impuestos/Patentes")*(MONTH(Gastos!A4:A503)=3)*(YEAR(Gastos!A4:A503)=C2)*Gastos!D4:D503),0)</f>
        <v/>
      </c>
      <c r="F32" s="36">
        <f>IFERROR(SUMPRODUCT((Gastos!C4:C503="Impuestos/Patentes")*(MONTH(Gastos!A4:A503)=4)*(YEAR(Gastos!A4:A503)=C2)*Gastos!D4:D503),0)</f>
        <v/>
      </c>
      <c r="G32" s="36">
        <f>IFERROR(SUMPRODUCT((Gastos!C4:C503="Impuestos/Patentes")*(MONTH(Gastos!A4:A503)=5)*(YEAR(Gastos!A4:A503)=C2)*Gastos!D4:D503),0)</f>
        <v/>
      </c>
      <c r="H32" s="36">
        <f>IFERROR(SUMPRODUCT((Gastos!C4:C503="Impuestos/Patentes")*(MONTH(Gastos!A4:A503)=6)*(YEAR(Gastos!A4:A503)=C2)*Gastos!D4:D503),0)</f>
        <v/>
      </c>
      <c r="I32" s="36">
        <f>IFERROR(SUMPRODUCT((Gastos!C4:C503="Impuestos/Patentes")*(MONTH(Gastos!A4:A503)=7)*(YEAR(Gastos!A4:A503)=C2)*Gastos!D4:D503),0)</f>
        <v/>
      </c>
      <c r="J32" s="36">
        <f>IFERROR(SUMPRODUCT((Gastos!C4:C503="Impuestos/Patentes")*(MONTH(Gastos!A4:A503)=8)*(YEAR(Gastos!A4:A503)=C2)*Gastos!D4:D503),0)</f>
        <v/>
      </c>
      <c r="K32" s="36">
        <f>IFERROR(SUMPRODUCT((Gastos!C4:C503="Impuestos/Patentes")*(MONTH(Gastos!A4:A503)=9)*(YEAR(Gastos!A4:A503)=C2)*Gastos!D4:D503),0)</f>
        <v/>
      </c>
      <c r="L32" s="36">
        <f>IFERROR(SUMPRODUCT((Gastos!C4:C503="Impuestos/Patentes")*(MONTH(Gastos!A4:A503)=10)*(YEAR(Gastos!A4:A503)=C2)*Gastos!D4:D503),0)</f>
        <v/>
      </c>
      <c r="M32" s="36">
        <f>IFERROR(SUMPRODUCT((Gastos!C4:C503="Impuestos/Patentes")*(MONTH(Gastos!A4:A503)=11)*(YEAR(Gastos!A4:A503)=C2)*Gastos!D4:D503),0)</f>
        <v/>
      </c>
      <c r="N32" s="36">
        <f>IFERROR(SUMPRODUCT((Gastos!C4:C503="Impuestos/Patentes")*(MONTH(Gastos!A4:A503)=12)*(YEAR(Gastos!A4:A503)=C2)*Gastos!D4:D503),0)</f>
        <v/>
      </c>
      <c r="O32" s="37">
        <f>SUM(C32:N32)</f>
        <v/>
      </c>
      <c r="P32" s="1" t="n"/>
    </row>
    <row r="33">
      <c r="A33" s="1" t="n"/>
      <c r="B33" s="18" t="inlineStr">
        <is>
          <t>Otros Gastos</t>
        </is>
      </c>
      <c r="C33" s="36">
        <f>IFERROR(SUMPRODUCT((Gastos!C4:C503="Otros Gastos")*(MONTH(Gastos!A4:A503)=1)*(YEAR(Gastos!A4:A503)=C2)*Gastos!D4:D503),0)</f>
        <v/>
      </c>
      <c r="D33" s="36">
        <f>IFERROR(SUMPRODUCT((Gastos!C4:C503="Otros Gastos")*(MONTH(Gastos!A4:A503)=2)*(YEAR(Gastos!A4:A503)=C2)*Gastos!D4:D503),0)</f>
        <v/>
      </c>
      <c r="E33" s="36">
        <f>IFERROR(SUMPRODUCT((Gastos!C4:C503="Otros Gastos")*(MONTH(Gastos!A4:A503)=3)*(YEAR(Gastos!A4:A503)=C2)*Gastos!D4:D503),0)</f>
        <v/>
      </c>
      <c r="F33" s="36">
        <f>IFERROR(SUMPRODUCT((Gastos!C4:C503="Otros Gastos")*(MONTH(Gastos!A4:A503)=4)*(YEAR(Gastos!A4:A503)=C2)*Gastos!D4:D503),0)</f>
        <v/>
      </c>
      <c r="G33" s="36">
        <f>IFERROR(SUMPRODUCT((Gastos!C4:C503="Otros Gastos")*(MONTH(Gastos!A4:A503)=5)*(YEAR(Gastos!A4:A503)=C2)*Gastos!D4:D503),0)</f>
        <v/>
      </c>
      <c r="H33" s="36">
        <f>IFERROR(SUMPRODUCT((Gastos!C4:C503="Otros Gastos")*(MONTH(Gastos!A4:A503)=6)*(YEAR(Gastos!A4:A503)=C2)*Gastos!D4:D503),0)</f>
        <v/>
      </c>
      <c r="I33" s="36">
        <f>IFERROR(SUMPRODUCT((Gastos!C4:C503="Otros Gastos")*(MONTH(Gastos!A4:A503)=7)*(YEAR(Gastos!A4:A503)=C2)*Gastos!D4:D503),0)</f>
        <v/>
      </c>
      <c r="J33" s="36">
        <f>IFERROR(SUMPRODUCT((Gastos!C4:C503="Otros Gastos")*(MONTH(Gastos!A4:A503)=8)*(YEAR(Gastos!A4:A503)=C2)*Gastos!D4:D503),0)</f>
        <v/>
      </c>
      <c r="K33" s="36">
        <f>IFERROR(SUMPRODUCT((Gastos!C4:C503="Otros Gastos")*(MONTH(Gastos!A4:A503)=9)*(YEAR(Gastos!A4:A503)=C2)*Gastos!D4:D503),0)</f>
        <v/>
      </c>
      <c r="L33" s="36">
        <f>IFERROR(SUMPRODUCT((Gastos!C4:C503="Otros Gastos")*(MONTH(Gastos!A4:A503)=10)*(YEAR(Gastos!A4:A503)=C2)*Gastos!D4:D503),0)</f>
        <v/>
      </c>
      <c r="M33" s="36">
        <f>IFERROR(SUMPRODUCT((Gastos!C4:C503="Otros Gastos")*(MONTH(Gastos!A4:A503)=11)*(YEAR(Gastos!A4:A503)=C2)*Gastos!D4:D503),0)</f>
        <v/>
      </c>
      <c r="N33" s="36">
        <f>IFERROR(SUMPRODUCT((Gastos!C4:C503="Otros Gastos")*(MONTH(Gastos!A4:A503)=12)*(YEAR(Gastos!A4:A503)=C2)*Gastos!D4:D503),0)</f>
        <v/>
      </c>
      <c r="O33" s="37">
        <f>SUM(C33:N33)</f>
        <v/>
      </c>
      <c r="P33" s="1" t="n"/>
    </row>
    <row r="34">
      <c r="A34" s="1" t="n"/>
      <c r="B34" s="34" t="inlineStr">
        <is>
          <t>TOTAL REAL</t>
        </is>
      </c>
      <c r="C34" s="33">
        <f>SUM(C22:C33)</f>
        <v/>
      </c>
      <c r="D34" s="33">
        <f>SUM(D22:D33)</f>
        <v/>
      </c>
      <c r="E34" s="33">
        <f>SUM(E22:E33)</f>
        <v/>
      </c>
      <c r="F34" s="33">
        <f>SUM(F22:F33)</f>
        <v/>
      </c>
      <c r="G34" s="33">
        <f>SUM(G22:G33)</f>
        <v/>
      </c>
      <c r="H34" s="33">
        <f>SUM(H22:H33)</f>
        <v/>
      </c>
      <c r="I34" s="33">
        <f>SUM(I22:I33)</f>
        <v/>
      </c>
      <c r="J34" s="33">
        <f>SUM(J22:J33)</f>
        <v/>
      </c>
      <c r="K34" s="33">
        <f>SUM(K22:K33)</f>
        <v/>
      </c>
      <c r="L34" s="33">
        <f>SUM(L22:L33)</f>
        <v/>
      </c>
      <c r="M34" s="33">
        <f>SUM(M22:M33)</f>
        <v/>
      </c>
      <c r="N34" s="33">
        <f>SUM(N22:N33)</f>
        <v/>
      </c>
      <c r="O34" s="33">
        <f>SUM(O22:O33)</f>
        <v/>
      </c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38" t="inlineStr">
        <is>
          <t>DESVIACION (Presupuesto - Real)</t>
        </is>
      </c>
      <c r="P36" s="1" t="n"/>
    </row>
    <row r="37">
      <c r="A37" s="1" t="n"/>
      <c r="B37" s="31" t="inlineStr">
        <is>
          <t>CATEGORIA</t>
        </is>
      </c>
      <c r="C37" s="31" t="inlineStr">
        <is>
          <t>ENE</t>
        </is>
      </c>
      <c r="D37" s="31" t="inlineStr">
        <is>
          <t>FEB</t>
        </is>
      </c>
      <c r="E37" s="31" t="inlineStr">
        <is>
          <t>MAR</t>
        </is>
      </c>
      <c r="F37" s="31" t="inlineStr">
        <is>
          <t>ABR</t>
        </is>
      </c>
      <c r="G37" s="31" t="inlineStr">
        <is>
          <t>MAY</t>
        </is>
      </c>
      <c r="H37" s="31" t="inlineStr">
        <is>
          <t>JUN</t>
        </is>
      </c>
      <c r="I37" s="31" t="inlineStr">
        <is>
          <t>JUL</t>
        </is>
      </c>
      <c r="J37" s="31" t="inlineStr">
        <is>
          <t>AGO</t>
        </is>
      </c>
      <c r="K37" s="31" t="inlineStr">
        <is>
          <t>SEP</t>
        </is>
      </c>
      <c r="L37" s="31" t="inlineStr">
        <is>
          <t>OCT</t>
        </is>
      </c>
      <c r="M37" s="31" t="inlineStr">
        <is>
          <t>NOV</t>
        </is>
      </c>
      <c r="N37" s="31" t="inlineStr">
        <is>
          <t>DIC</t>
        </is>
      </c>
      <c r="O37" s="31" t="inlineStr">
        <is>
          <t>TOTAL</t>
        </is>
      </c>
      <c r="P37" s="1" t="n"/>
    </row>
    <row r="38">
      <c r="A38" s="1" t="n"/>
      <c r="B38" s="18" t="inlineStr">
        <is>
          <t>Alquiler</t>
        </is>
      </c>
      <c r="C38" s="36">
        <f>C6-C22</f>
        <v/>
      </c>
      <c r="D38" s="36">
        <f>D6-D22</f>
        <v/>
      </c>
      <c r="E38" s="36">
        <f>E6-E22</f>
        <v/>
      </c>
      <c r="F38" s="36">
        <f>F6-F22</f>
        <v/>
      </c>
      <c r="G38" s="36">
        <f>G6-G22</f>
        <v/>
      </c>
      <c r="H38" s="36">
        <f>H6-H22</f>
        <v/>
      </c>
      <c r="I38" s="36">
        <f>I6-I22</f>
        <v/>
      </c>
      <c r="J38" s="36">
        <f>J6-J22</f>
        <v/>
      </c>
      <c r="K38" s="36">
        <f>K6-K22</f>
        <v/>
      </c>
      <c r="L38" s="36">
        <f>L6-L22</f>
        <v/>
      </c>
      <c r="M38" s="36">
        <f>M6-M22</f>
        <v/>
      </c>
      <c r="N38" s="36">
        <f>N6-N22</f>
        <v/>
      </c>
      <c r="O38" s="39">
        <f>SUM(C38:N38)</f>
        <v/>
      </c>
      <c r="P38" s="1" t="n"/>
    </row>
    <row r="39">
      <c r="A39" s="1" t="n"/>
      <c r="B39" s="18" t="inlineStr">
        <is>
          <t>Servicios (luz/agua/gas)</t>
        </is>
      </c>
      <c r="C39" s="36">
        <f>C7-C23</f>
        <v/>
      </c>
      <c r="D39" s="36">
        <f>D7-D23</f>
        <v/>
      </c>
      <c r="E39" s="36">
        <f>E7-E23</f>
        <v/>
      </c>
      <c r="F39" s="36">
        <f>F7-F23</f>
        <v/>
      </c>
      <c r="G39" s="36">
        <f>G7-G23</f>
        <v/>
      </c>
      <c r="H39" s="36">
        <f>H7-H23</f>
        <v/>
      </c>
      <c r="I39" s="36">
        <f>I7-I23</f>
        <v/>
      </c>
      <c r="J39" s="36">
        <f>J7-J23</f>
        <v/>
      </c>
      <c r="K39" s="36">
        <f>K7-K23</f>
        <v/>
      </c>
      <c r="L39" s="36">
        <f>L7-L23</f>
        <v/>
      </c>
      <c r="M39" s="36">
        <f>M7-M23</f>
        <v/>
      </c>
      <c r="N39" s="36">
        <f>N7-N23</f>
        <v/>
      </c>
      <c r="O39" s="39">
        <f>SUM(C39:N39)</f>
        <v/>
      </c>
      <c r="P39" s="1" t="n"/>
    </row>
    <row r="40">
      <c r="A40" s="1" t="n"/>
      <c r="B40" s="18" t="inlineStr">
        <is>
          <t>Internet/Telefono</t>
        </is>
      </c>
      <c r="C40" s="36">
        <f>C8-C24</f>
        <v/>
      </c>
      <c r="D40" s="36">
        <f>D8-D24</f>
        <v/>
      </c>
      <c r="E40" s="36">
        <f>E8-E24</f>
        <v/>
      </c>
      <c r="F40" s="36">
        <f>F8-F24</f>
        <v/>
      </c>
      <c r="G40" s="36">
        <f>G8-G24</f>
        <v/>
      </c>
      <c r="H40" s="36">
        <f>H8-H24</f>
        <v/>
      </c>
      <c r="I40" s="36">
        <f>I8-I24</f>
        <v/>
      </c>
      <c r="J40" s="36">
        <f>J8-J24</f>
        <v/>
      </c>
      <c r="K40" s="36">
        <f>K8-K24</f>
        <v/>
      </c>
      <c r="L40" s="36">
        <f>L8-L24</f>
        <v/>
      </c>
      <c r="M40" s="36">
        <f>M8-M24</f>
        <v/>
      </c>
      <c r="N40" s="36">
        <f>N8-N24</f>
        <v/>
      </c>
      <c r="O40" s="39">
        <f>SUM(C40:N40)</f>
        <v/>
      </c>
      <c r="P40" s="1" t="n"/>
    </row>
    <row r="41">
      <c r="A41" s="1" t="n"/>
      <c r="B41" s="18" t="inlineStr">
        <is>
          <t>Sueldos y Salarios</t>
        </is>
      </c>
      <c r="C41" s="36">
        <f>C9-C25</f>
        <v/>
      </c>
      <c r="D41" s="36">
        <f>D9-D25</f>
        <v/>
      </c>
      <c r="E41" s="36">
        <f>E9-E25</f>
        <v/>
      </c>
      <c r="F41" s="36">
        <f>F9-F25</f>
        <v/>
      </c>
      <c r="G41" s="36">
        <f>G9-G25</f>
        <v/>
      </c>
      <c r="H41" s="36">
        <f>H9-H25</f>
        <v/>
      </c>
      <c r="I41" s="36">
        <f>I9-I25</f>
        <v/>
      </c>
      <c r="J41" s="36">
        <f>J9-J25</f>
        <v/>
      </c>
      <c r="K41" s="36">
        <f>K9-K25</f>
        <v/>
      </c>
      <c r="L41" s="36">
        <f>L9-L25</f>
        <v/>
      </c>
      <c r="M41" s="36">
        <f>M9-M25</f>
        <v/>
      </c>
      <c r="N41" s="36">
        <f>N9-N25</f>
        <v/>
      </c>
      <c r="O41" s="39">
        <f>SUM(C41:N41)</f>
        <v/>
      </c>
      <c r="P41" s="1" t="n"/>
    </row>
    <row r="42">
      <c r="A42" s="1" t="n"/>
      <c r="B42" s="18" t="inlineStr">
        <is>
          <t>Seguro Social</t>
        </is>
      </c>
      <c r="C42" s="36">
        <f>C10-C26</f>
        <v/>
      </c>
      <c r="D42" s="36">
        <f>D10-D26</f>
        <v/>
      </c>
      <c r="E42" s="36">
        <f>E10-E26</f>
        <v/>
      </c>
      <c r="F42" s="36">
        <f>F10-F26</f>
        <v/>
      </c>
      <c r="G42" s="36">
        <f>G10-G26</f>
        <v/>
      </c>
      <c r="H42" s="36">
        <f>H10-H26</f>
        <v/>
      </c>
      <c r="I42" s="36">
        <f>I10-I26</f>
        <v/>
      </c>
      <c r="J42" s="36">
        <f>J10-J26</f>
        <v/>
      </c>
      <c r="K42" s="36">
        <f>K10-K26</f>
        <v/>
      </c>
      <c r="L42" s="36">
        <f>L10-L26</f>
        <v/>
      </c>
      <c r="M42" s="36">
        <f>M10-M26</f>
        <v/>
      </c>
      <c r="N42" s="36">
        <f>N10-N26</f>
        <v/>
      </c>
      <c r="O42" s="39">
        <f>SUM(C42:N42)</f>
        <v/>
      </c>
      <c r="P42" s="1" t="n"/>
    </row>
    <row r="43">
      <c r="A43" s="1" t="n"/>
      <c r="B43" s="18" t="inlineStr">
        <is>
          <t>Material de Oficina</t>
        </is>
      </c>
      <c r="C43" s="36">
        <f>C11-C27</f>
        <v/>
      </c>
      <c r="D43" s="36">
        <f>D11-D27</f>
        <v/>
      </c>
      <c r="E43" s="36">
        <f>E11-E27</f>
        <v/>
      </c>
      <c r="F43" s="36">
        <f>F11-F27</f>
        <v/>
      </c>
      <c r="G43" s="36">
        <f>G11-G27</f>
        <v/>
      </c>
      <c r="H43" s="36">
        <f>H11-H27</f>
        <v/>
      </c>
      <c r="I43" s="36">
        <f>I11-I27</f>
        <v/>
      </c>
      <c r="J43" s="36">
        <f>J11-J27</f>
        <v/>
      </c>
      <c r="K43" s="36">
        <f>K11-K27</f>
        <v/>
      </c>
      <c r="L43" s="36">
        <f>L11-L27</f>
        <v/>
      </c>
      <c r="M43" s="36">
        <f>M11-M27</f>
        <v/>
      </c>
      <c r="N43" s="36">
        <f>N11-N27</f>
        <v/>
      </c>
      <c r="O43" s="39">
        <f>SUM(C43:N43)</f>
        <v/>
      </c>
      <c r="P43" s="1" t="n"/>
    </row>
    <row r="44">
      <c r="A44" s="1" t="n"/>
      <c r="B44" s="18" t="inlineStr">
        <is>
          <t>Publicidad/Marketing</t>
        </is>
      </c>
      <c r="C44" s="36">
        <f>C12-C28</f>
        <v/>
      </c>
      <c r="D44" s="36">
        <f>D12-D28</f>
        <v/>
      </c>
      <c r="E44" s="36">
        <f>E12-E28</f>
        <v/>
      </c>
      <c r="F44" s="36">
        <f>F12-F28</f>
        <v/>
      </c>
      <c r="G44" s="36">
        <f>G12-G28</f>
        <v/>
      </c>
      <c r="H44" s="36">
        <f>H12-H28</f>
        <v/>
      </c>
      <c r="I44" s="36">
        <f>I12-I28</f>
        <v/>
      </c>
      <c r="J44" s="36">
        <f>J12-J28</f>
        <v/>
      </c>
      <c r="K44" s="36">
        <f>K12-K28</f>
        <v/>
      </c>
      <c r="L44" s="36">
        <f>L12-L28</f>
        <v/>
      </c>
      <c r="M44" s="36">
        <f>M12-M28</f>
        <v/>
      </c>
      <c r="N44" s="36">
        <f>N12-N28</f>
        <v/>
      </c>
      <c r="O44" s="39">
        <f>SUM(C44:N44)</f>
        <v/>
      </c>
      <c r="P44" s="1" t="n"/>
    </row>
    <row r="45">
      <c r="A45" s="1" t="n"/>
      <c r="B45" s="18" t="inlineStr">
        <is>
          <t>Transporte/Combustible</t>
        </is>
      </c>
      <c r="C45" s="36">
        <f>C13-C29</f>
        <v/>
      </c>
      <c r="D45" s="36">
        <f>D13-D29</f>
        <v/>
      </c>
      <c r="E45" s="36">
        <f>E13-E29</f>
        <v/>
      </c>
      <c r="F45" s="36">
        <f>F13-F29</f>
        <v/>
      </c>
      <c r="G45" s="36">
        <f>G13-G29</f>
        <v/>
      </c>
      <c r="H45" s="36">
        <f>H13-H29</f>
        <v/>
      </c>
      <c r="I45" s="36">
        <f>I13-I29</f>
        <v/>
      </c>
      <c r="J45" s="36">
        <f>J13-J29</f>
        <v/>
      </c>
      <c r="K45" s="36">
        <f>K13-K29</f>
        <v/>
      </c>
      <c r="L45" s="36">
        <f>L13-L29</f>
        <v/>
      </c>
      <c r="M45" s="36">
        <f>M13-M29</f>
        <v/>
      </c>
      <c r="N45" s="36">
        <f>N13-N29</f>
        <v/>
      </c>
      <c r="O45" s="39">
        <f>SUM(C45:N45)</f>
        <v/>
      </c>
      <c r="P45" s="1" t="n"/>
    </row>
    <row r="46">
      <c r="A46" s="1" t="n"/>
      <c r="B46" s="18" t="inlineStr">
        <is>
          <t>Mantenimiento</t>
        </is>
      </c>
      <c r="C46" s="36">
        <f>C14-C30</f>
        <v/>
      </c>
      <c r="D46" s="36">
        <f>D14-D30</f>
        <v/>
      </c>
      <c r="E46" s="36">
        <f>E14-E30</f>
        <v/>
      </c>
      <c r="F46" s="36">
        <f>F14-F30</f>
        <v/>
      </c>
      <c r="G46" s="36">
        <f>G14-G30</f>
        <v/>
      </c>
      <c r="H46" s="36">
        <f>H14-H30</f>
        <v/>
      </c>
      <c r="I46" s="36">
        <f>I14-I30</f>
        <v/>
      </c>
      <c r="J46" s="36">
        <f>J14-J30</f>
        <v/>
      </c>
      <c r="K46" s="36">
        <f>K14-K30</f>
        <v/>
      </c>
      <c r="L46" s="36">
        <f>L14-L30</f>
        <v/>
      </c>
      <c r="M46" s="36">
        <f>M14-M30</f>
        <v/>
      </c>
      <c r="N46" s="36">
        <f>N14-N30</f>
        <v/>
      </c>
      <c r="O46" s="39">
        <f>SUM(C46:N46)</f>
        <v/>
      </c>
      <c r="P46" s="1" t="n"/>
    </row>
    <row r="47">
      <c r="A47" s="1" t="n"/>
      <c r="B47" s="18" t="inlineStr">
        <is>
          <t>Seguros</t>
        </is>
      </c>
      <c r="C47" s="36">
        <f>C15-C31</f>
        <v/>
      </c>
      <c r="D47" s="36">
        <f>D15-D31</f>
        <v/>
      </c>
      <c r="E47" s="36">
        <f>E15-E31</f>
        <v/>
      </c>
      <c r="F47" s="36">
        <f>F15-F31</f>
        <v/>
      </c>
      <c r="G47" s="36">
        <f>G15-G31</f>
        <v/>
      </c>
      <c r="H47" s="36">
        <f>H15-H31</f>
        <v/>
      </c>
      <c r="I47" s="36">
        <f>I15-I31</f>
        <v/>
      </c>
      <c r="J47" s="36">
        <f>J15-J31</f>
        <v/>
      </c>
      <c r="K47" s="36">
        <f>K15-K31</f>
        <v/>
      </c>
      <c r="L47" s="36">
        <f>L15-L31</f>
        <v/>
      </c>
      <c r="M47" s="36">
        <f>M15-M31</f>
        <v/>
      </c>
      <c r="N47" s="36">
        <f>N15-N31</f>
        <v/>
      </c>
      <c r="O47" s="39">
        <f>SUM(C47:N47)</f>
        <v/>
      </c>
      <c r="P47" s="1" t="n"/>
    </row>
    <row r="48">
      <c r="A48" s="1" t="n"/>
      <c r="B48" s="18" t="inlineStr">
        <is>
          <t>Impuestos/Patentes</t>
        </is>
      </c>
      <c r="C48" s="36">
        <f>C16-C32</f>
        <v/>
      </c>
      <c r="D48" s="36">
        <f>D16-D32</f>
        <v/>
      </c>
      <c r="E48" s="36">
        <f>E16-E32</f>
        <v/>
      </c>
      <c r="F48" s="36">
        <f>F16-F32</f>
        <v/>
      </c>
      <c r="G48" s="36">
        <f>G16-G32</f>
        <v/>
      </c>
      <c r="H48" s="36">
        <f>H16-H32</f>
        <v/>
      </c>
      <c r="I48" s="36">
        <f>I16-I32</f>
        <v/>
      </c>
      <c r="J48" s="36">
        <f>J16-J32</f>
        <v/>
      </c>
      <c r="K48" s="36">
        <f>K16-K32</f>
        <v/>
      </c>
      <c r="L48" s="36">
        <f>L16-L32</f>
        <v/>
      </c>
      <c r="M48" s="36">
        <f>M16-M32</f>
        <v/>
      </c>
      <c r="N48" s="36">
        <f>N16-N32</f>
        <v/>
      </c>
      <c r="O48" s="39">
        <f>SUM(C48:N48)</f>
        <v/>
      </c>
      <c r="P48" s="1" t="n"/>
    </row>
    <row r="49">
      <c r="A49" s="1" t="n"/>
      <c r="B49" s="18" t="inlineStr">
        <is>
          <t>Otros Gastos</t>
        </is>
      </c>
      <c r="C49" s="36">
        <f>C17-C33</f>
        <v/>
      </c>
      <c r="D49" s="36">
        <f>D17-D33</f>
        <v/>
      </c>
      <c r="E49" s="36">
        <f>E17-E33</f>
        <v/>
      </c>
      <c r="F49" s="36">
        <f>F17-F33</f>
        <v/>
      </c>
      <c r="G49" s="36">
        <f>G17-G33</f>
        <v/>
      </c>
      <c r="H49" s="36">
        <f>H17-H33</f>
        <v/>
      </c>
      <c r="I49" s="36">
        <f>I17-I33</f>
        <v/>
      </c>
      <c r="J49" s="36">
        <f>J17-J33</f>
        <v/>
      </c>
      <c r="K49" s="36">
        <f>K17-K33</f>
        <v/>
      </c>
      <c r="L49" s="36">
        <f>L17-L33</f>
        <v/>
      </c>
      <c r="M49" s="36">
        <f>M17-M33</f>
        <v/>
      </c>
      <c r="N49" s="36">
        <f>N17-N33</f>
        <v/>
      </c>
      <c r="O49" s="39">
        <f>SUM(C49:N49)</f>
        <v/>
      </c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4">
    <mergeCell ref="B20:O20"/>
    <mergeCell ref="B1:O1"/>
    <mergeCell ref="B36:O36"/>
    <mergeCell ref="B4:O4"/>
  </mergeCells>
  <conditionalFormatting sqref="C38:N49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O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5" customHeight="1">
      <c r="A1" s="1" t="n"/>
      <c r="B1" s="23" t="inlineStr">
        <is>
          <t>TENDENCIAS DE GASTOS</t>
        </is>
      </c>
      <c r="O1" s="1" t="n"/>
    </row>
    <row r="2">
      <c r="A2" s="1" t="n"/>
      <c r="B2" s="24" t="inlineStr">
        <is>
          <t>Evolucion mensual por categoria. Datos calculados automaticamente desde el registro de gastos.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31" t="inlineStr">
        <is>
          <t>CATEGORIA</t>
        </is>
      </c>
      <c r="C4" s="31" t="inlineStr">
        <is>
          <t>ENE</t>
        </is>
      </c>
      <c r="D4" s="31" t="inlineStr">
        <is>
          <t>FEB</t>
        </is>
      </c>
      <c r="E4" s="31" t="inlineStr">
        <is>
          <t>MAR</t>
        </is>
      </c>
      <c r="F4" s="31" t="inlineStr">
        <is>
          <t>ABR</t>
        </is>
      </c>
      <c r="G4" s="31" t="inlineStr">
        <is>
          <t>MAY</t>
        </is>
      </c>
      <c r="H4" s="31" t="inlineStr">
        <is>
          <t>JUN</t>
        </is>
      </c>
      <c r="I4" s="31" t="inlineStr">
        <is>
          <t>JUL</t>
        </is>
      </c>
      <c r="J4" s="31" t="inlineStr">
        <is>
          <t>AGO</t>
        </is>
      </c>
      <c r="K4" s="31" t="inlineStr">
        <is>
          <t>SEP</t>
        </is>
      </c>
      <c r="L4" s="31" t="inlineStr">
        <is>
          <t>OCT</t>
        </is>
      </c>
      <c r="M4" s="31" t="inlineStr">
        <is>
          <t>NOV</t>
        </is>
      </c>
      <c r="N4" s="31" t="inlineStr">
        <is>
          <t>DIC</t>
        </is>
      </c>
      <c r="O4" s="1" t="n"/>
    </row>
    <row r="5">
      <c r="A5" s="1" t="n"/>
      <c r="B5" s="18" t="inlineStr">
        <is>
          <t>Alquiler</t>
        </is>
      </c>
      <c r="C5" s="36">
        <f>IFERROR(SUMPRODUCT((Gastos!C4:C503="Alquiler")*(MONTH(Gastos!A4:A503)=1)*(YEAR(Gastos!A4:A503)=Dashboard!C4)*Gastos!D4:D503),0)</f>
        <v/>
      </c>
      <c r="D5" s="36">
        <f>IFERROR(SUMPRODUCT((Gastos!C4:C503="Alquiler")*(MONTH(Gastos!A4:A503)=2)*(YEAR(Gastos!A4:A503)=Dashboard!C4)*Gastos!D4:D503),0)</f>
        <v/>
      </c>
      <c r="E5" s="36">
        <f>IFERROR(SUMPRODUCT((Gastos!C4:C503="Alquiler")*(MONTH(Gastos!A4:A503)=3)*(YEAR(Gastos!A4:A503)=Dashboard!C4)*Gastos!D4:D503),0)</f>
        <v/>
      </c>
      <c r="F5" s="36">
        <f>IFERROR(SUMPRODUCT((Gastos!C4:C503="Alquiler")*(MONTH(Gastos!A4:A503)=4)*(YEAR(Gastos!A4:A503)=Dashboard!C4)*Gastos!D4:D503),0)</f>
        <v/>
      </c>
      <c r="G5" s="36">
        <f>IFERROR(SUMPRODUCT((Gastos!C4:C503="Alquiler")*(MONTH(Gastos!A4:A503)=5)*(YEAR(Gastos!A4:A503)=Dashboard!C4)*Gastos!D4:D503),0)</f>
        <v/>
      </c>
      <c r="H5" s="36">
        <f>IFERROR(SUMPRODUCT((Gastos!C4:C503="Alquiler")*(MONTH(Gastos!A4:A503)=6)*(YEAR(Gastos!A4:A503)=Dashboard!C4)*Gastos!D4:D503),0)</f>
        <v/>
      </c>
      <c r="I5" s="36">
        <f>IFERROR(SUMPRODUCT((Gastos!C4:C503="Alquiler")*(MONTH(Gastos!A4:A503)=7)*(YEAR(Gastos!A4:A503)=Dashboard!C4)*Gastos!D4:D503),0)</f>
        <v/>
      </c>
      <c r="J5" s="36">
        <f>IFERROR(SUMPRODUCT((Gastos!C4:C503="Alquiler")*(MONTH(Gastos!A4:A503)=8)*(YEAR(Gastos!A4:A503)=Dashboard!C4)*Gastos!D4:D503),0)</f>
        <v/>
      </c>
      <c r="K5" s="36">
        <f>IFERROR(SUMPRODUCT((Gastos!C4:C503="Alquiler")*(MONTH(Gastos!A4:A503)=9)*(YEAR(Gastos!A4:A503)=Dashboard!C4)*Gastos!D4:D503),0)</f>
        <v/>
      </c>
      <c r="L5" s="36">
        <f>IFERROR(SUMPRODUCT((Gastos!C4:C503="Alquiler")*(MONTH(Gastos!A4:A503)=10)*(YEAR(Gastos!A4:A503)=Dashboard!C4)*Gastos!D4:D503),0)</f>
        <v/>
      </c>
      <c r="M5" s="36">
        <f>IFERROR(SUMPRODUCT((Gastos!C4:C503="Alquiler")*(MONTH(Gastos!A4:A503)=11)*(YEAR(Gastos!A4:A503)=Dashboard!C4)*Gastos!D4:D503),0)</f>
        <v/>
      </c>
      <c r="N5" s="36">
        <f>IFERROR(SUMPRODUCT((Gastos!C4:C503="Alquiler")*(MONTH(Gastos!A4:A503)=12)*(YEAR(Gastos!A4:A503)=Dashboard!C4)*Gastos!D4:D503),0)</f>
        <v/>
      </c>
      <c r="O5" s="1" t="n"/>
    </row>
    <row r="6">
      <c r="A6" s="1" t="n"/>
      <c r="B6" s="18" t="inlineStr">
        <is>
          <t>Servicios (luz/agua/gas)</t>
        </is>
      </c>
      <c r="C6" s="36">
        <f>IFERROR(SUMPRODUCT((Gastos!C4:C503="Servicios (luz/agua/gas)")*(MONTH(Gastos!A4:A503)=1)*(YEAR(Gastos!A4:A503)=Dashboard!C4)*Gastos!D4:D503),0)</f>
        <v/>
      </c>
      <c r="D6" s="36">
        <f>IFERROR(SUMPRODUCT((Gastos!C4:C503="Servicios (luz/agua/gas)")*(MONTH(Gastos!A4:A503)=2)*(YEAR(Gastos!A4:A503)=Dashboard!C4)*Gastos!D4:D503),0)</f>
        <v/>
      </c>
      <c r="E6" s="36">
        <f>IFERROR(SUMPRODUCT((Gastos!C4:C503="Servicios (luz/agua/gas)")*(MONTH(Gastos!A4:A503)=3)*(YEAR(Gastos!A4:A503)=Dashboard!C4)*Gastos!D4:D503),0)</f>
        <v/>
      </c>
      <c r="F6" s="36">
        <f>IFERROR(SUMPRODUCT((Gastos!C4:C503="Servicios (luz/agua/gas)")*(MONTH(Gastos!A4:A503)=4)*(YEAR(Gastos!A4:A503)=Dashboard!C4)*Gastos!D4:D503),0)</f>
        <v/>
      </c>
      <c r="G6" s="36">
        <f>IFERROR(SUMPRODUCT((Gastos!C4:C503="Servicios (luz/agua/gas)")*(MONTH(Gastos!A4:A503)=5)*(YEAR(Gastos!A4:A503)=Dashboard!C4)*Gastos!D4:D503),0)</f>
        <v/>
      </c>
      <c r="H6" s="36">
        <f>IFERROR(SUMPRODUCT((Gastos!C4:C503="Servicios (luz/agua/gas)")*(MONTH(Gastos!A4:A503)=6)*(YEAR(Gastos!A4:A503)=Dashboard!C4)*Gastos!D4:D503),0)</f>
        <v/>
      </c>
      <c r="I6" s="36">
        <f>IFERROR(SUMPRODUCT((Gastos!C4:C503="Servicios (luz/agua/gas)")*(MONTH(Gastos!A4:A503)=7)*(YEAR(Gastos!A4:A503)=Dashboard!C4)*Gastos!D4:D503),0)</f>
        <v/>
      </c>
      <c r="J6" s="36">
        <f>IFERROR(SUMPRODUCT((Gastos!C4:C503="Servicios (luz/agua/gas)")*(MONTH(Gastos!A4:A503)=8)*(YEAR(Gastos!A4:A503)=Dashboard!C4)*Gastos!D4:D503),0)</f>
        <v/>
      </c>
      <c r="K6" s="36">
        <f>IFERROR(SUMPRODUCT((Gastos!C4:C503="Servicios (luz/agua/gas)")*(MONTH(Gastos!A4:A503)=9)*(YEAR(Gastos!A4:A503)=Dashboard!C4)*Gastos!D4:D503),0)</f>
        <v/>
      </c>
      <c r="L6" s="36">
        <f>IFERROR(SUMPRODUCT((Gastos!C4:C503="Servicios (luz/agua/gas)")*(MONTH(Gastos!A4:A503)=10)*(YEAR(Gastos!A4:A503)=Dashboard!C4)*Gastos!D4:D503),0)</f>
        <v/>
      </c>
      <c r="M6" s="36">
        <f>IFERROR(SUMPRODUCT((Gastos!C4:C503="Servicios (luz/agua/gas)")*(MONTH(Gastos!A4:A503)=11)*(YEAR(Gastos!A4:A503)=Dashboard!C4)*Gastos!D4:D503),0)</f>
        <v/>
      </c>
      <c r="N6" s="36">
        <f>IFERROR(SUMPRODUCT((Gastos!C4:C503="Servicios (luz/agua/gas)")*(MONTH(Gastos!A4:A503)=12)*(YEAR(Gastos!A4:A503)=Dashboard!C4)*Gastos!D4:D503),0)</f>
        <v/>
      </c>
      <c r="O6" s="1" t="n"/>
    </row>
    <row r="7">
      <c r="A7" s="1" t="n"/>
      <c r="B7" s="18" t="inlineStr">
        <is>
          <t>Internet/Telefono</t>
        </is>
      </c>
      <c r="C7" s="36">
        <f>IFERROR(SUMPRODUCT((Gastos!C4:C503="Internet/Telefono")*(MONTH(Gastos!A4:A503)=1)*(YEAR(Gastos!A4:A503)=Dashboard!C4)*Gastos!D4:D503),0)</f>
        <v/>
      </c>
      <c r="D7" s="36">
        <f>IFERROR(SUMPRODUCT((Gastos!C4:C503="Internet/Telefono")*(MONTH(Gastos!A4:A503)=2)*(YEAR(Gastos!A4:A503)=Dashboard!C4)*Gastos!D4:D503),0)</f>
        <v/>
      </c>
      <c r="E7" s="36">
        <f>IFERROR(SUMPRODUCT((Gastos!C4:C503="Internet/Telefono")*(MONTH(Gastos!A4:A503)=3)*(YEAR(Gastos!A4:A503)=Dashboard!C4)*Gastos!D4:D503),0)</f>
        <v/>
      </c>
      <c r="F7" s="36">
        <f>IFERROR(SUMPRODUCT((Gastos!C4:C503="Internet/Telefono")*(MONTH(Gastos!A4:A503)=4)*(YEAR(Gastos!A4:A503)=Dashboard!C4)*Gastos!D4:D503),0)</f>
        <v/>
      </c>
      <c r="G7" s="36">
        <f>IFERROR(SUMPRODUCT((Gastos!C4:C503="Internet/Telefono")*(MONTH(Gastos!A4:A503)=5)*(YEAR(Gastos!A4:A503)=Dashboard!C4)*Gastos!D4:D503),0)</f>
        <v/>
      </c>
      <c r="H7" s="36">
        <f>IFERROR(SUMPRODUCT((Gastos!C4:C503="Internet/Telefono")*(MONTH(Gastos!A4:A503)=6)*(YEAR(Gastos!A4:A503)=Dashboard!C4)*Gastos!D4:D503),0)</f>
        <v/>
      </c>
      <c r="I7" s="36">
        <f>IFERROR(SUMPRODUCT((Gastos!C4:C503="Internet/Telefono")*(MONTH(Gastos!A4:A503)=7)*(YEAR(Gastos!A4:A503)=Dashboard!C4)*Gastos!D4:D503),0)</f>
        <v/>
      </c>
      <c r="J7" s="36">
        <f>IFERROR(SUMPRODUCT((Gastos!C4:C503="Internet/Telefono")*(MONTH(Gastos!A4:A503)=8)*(YEAR(Gastos!A4:A503)=Dashboard!C4)*Gastos!D4:D503),0)</f>
        <v/>
      </c>
      <c r="K7" s="36">
        <f>IFERROR(SUMPRODUCT((Gastos!C4:C503="Internet/Telefono")*(MONTH(Gastos!A4:A503)=9)*(YEAR(Gastos!A4:A503)=Dashboard!C4)*Gastos!D4:D503),0)</f>
        <v/>
      </c>
      <c r="L7" s="36">
        <f>IFERROR(SUMPRODUCT((Gastos!C4:C503="Internet/Telefono")*(MONTH(Gastos!A4:A503)=10)*(YEAR(Gastos!A4:A503)=Dashboard!C4)*Gastos!D4:D503),0)</f>
        <v/>
      </c>
      <c r="M7" s="36">
        <f>IFERROR(SUMPRODUCT((Gastos!C4:C503="Internet/Telefono")*(MONTH(Gastos!A4:A503)=11)*(YEAR(Gastos!A4:A503)=Dashboard!C4)*Gastos!D4:D503),0)</f>
        <v/>
      </c>
      <c r="N7" s="36">
        <f>IFERROR(SUMPRODUCT((Gastos!C4:C503="Internet/Telefono")*(MONTH(Gastos!A4:A503)=12)*(YEAR(Gastos!A4:A503)=Dashboard!C4)*Gastos!D4:D503),0)</f>
        <v/>
      </c>
      <c r="O7" s="1" t="n"/>
    </row>
    <row r="8">
      <c r="A8" s="1" t="n"/>
      <c r="B8" s="18" t="inlineStr">
        <is>
          <t>Sueldos y Salarios</t>
        </is>
      </c>
      <c r="C8" s="36">
        <f>IFERROR(SUMPRODUCT((Gastos!C4:C503="Sueldos y Salarios")*(MONTH(Gastos!A4:A503)=1)*(YEAR(Gastos!A4:A503)=Dashboard!C4)*Gastos!D4:D503),0)</f>
        <v/>
      </c>
      <c r="D8" s="36">
        <f>IFERROR(SUMPRODUCT((Gastos!C4:C503="Sueldos y Salarios")*(MONTH(Gastos!A4:A503)=2)*(YEAR(Gastos!A4:A503)=Dashboard!C4)*Gastos!D4:D503),0)</f>
        <v/>
      </c>
      <c r="E8" s="36">
        <f>IFERROR(SUMPRODUCT((Gastos!C4:C503="Sueldos y Salarios")*(MONTH(Gastos!A4:A503)=3)*(YEAR(Gastos!A4:A503)=Dashboard!C4)*Gastos!D4:D503),0)</f>
        <v/>
      </c>
      <c r="F8" s="36">
        <f>IFERROR(SUMPRODUCT((Gastos!C4:C503="Sueldos y Salarios")*(MONTH(Gastos!A4:A503)=4)*(YEAR(Gastos!A4:A503)=Dashboard!C4)*Gastos!D4:D503),0)</f>
        <v/>
      </c>
      <c r="G8" s="36">
        <f>IFERROR(SUMPRODUCT((Gastos!C4:C503="Sueldos y Salarios")*(MONTH(Gastos!A4:A503)=5)*(YEAR(Gastos!A4:A503)=Dashboard!C4)*Gastos!D4:D503),0)</f>
        <v/>
      </c>
      <c r="H8" s="36">
        <f>IFERROR(SUMPRODUCT((Gastos!C4:C503="Sueldos y Salarios")*(MONTH(Gastos!A4:A503)=6)*(YEAR(Gastos!A4:A503)=Dashboard!C4)*Gastos!D4:D503),0)</f>
        <v/>
      </c>
      <c r="I8" s="36">
        <f>IFERROR(SUMPRODUCT((Gastos!C4:C503="Sueldos y Salarios")*(MONTH(Gastos!A4:A503)=7)*(YEAR(Gastos!A4:A503)=Dashboard!C4)*Gastos!D4:D503),0)</f>
        <v/>
      </c>
      <c r="J8" s="36">
        <f>IFERROR(SUMPRODUCT((Gastos!C4:C503="Sueldos y Salarios")*(MONTH(Gastos!A4:A503)=8)*(YEAR(Gastos!A4:A503)=Dashboard!C4)*Gastos!D4:D503),0)</f>
        <v/>
      </c>
      <c r="K8" s="36">
        <f>IFERROR(SUMPRODUCT((Gastos!C4:C503="Sueldos y Salarios")*(MONTH(Gastos!A4:A503)=9)*(YEAR(Gastos!A4:A503)=Dashboard!C4)*Gastos!D4:D503),0)</f>
        <v/>
      </c>
      <c r="L8" s="36">
        <f>IFERROR(SUMPRODUCT((Gastos!C4:C503="Sueldos y Salarios")*(MONTH(Gastos!A4:A503)=10)*(YEAR(Gastos!A4:A503)=Dashboard!C4)*Gastos!D4:D503),0)</f>
        <v/>
      </c>
      <c r="M8" s="36">
        <f>IFERROR(SUMPRODUCT((Gastos!C4:C503="Sueldos y Salarios")*(MONTH(Gastos!A4:A503)=11)*(YEAR(Gastos!A4:A503)=Dashboard!C4)*Gastos!D4:D503),0)</f>
        <v/>
      </c>
      <c r="N8" s="36">
        <f>IFERROR(SUMPRODUCT((Gastos!C4:C503="Sueldos y Salarios")*(MONTH(Gastos!A4:A503)=12)*(YEAR(Gastos!A4:A503)=Dashboard!C4)*Gastos!D4:D503),0)</f>
        <v/>
      </c>
      <c r="O8" s="1" t="n"/>
    </row>
    <row r="9">
      <c r="A9" s="1" t="n"/>
      <c r="B9" s="18" t="inlineStr">
        <is>
          <t>Seguro Social</t>
        </is>
      </c>
      <c r="C9" s="36">
        <f>IFERROR(SUMPRODUCT((Gastos!C4:C503="Seguro Social")*(MONTH(Gastos!A4:A503)=1)*(YEAR(Gastos!A4:A503)=Dashboard!C4)*Gastos!D4:D503),0)</f>
        <v/>
      </c>
      <c r="D9" s="36">
        <f>IFERROR(SUMPRODUCT((Gastos!C4:C503="Seguro Social")*(MONTH(Gastos!A4:A503)=2)*(YEAR(Gastos!A4:A503)=Dashboard!C4)*Gastos!D4:D503),0)</f>
        <v/>
      </c>
      <c r="E9" s="36">
        <f>IFERROR(SUMPRODUCT((Gastos!C4:C503="Seguro Social")*(MONTH(Gastos!A4:A503)=3)*(YEAR(Gastos!A4:A503)=Dashboard!C4)*Gastos!D4:D503),0)</f>
        <v/>
      </c>
      <c r="F9" s="36">
        <f>IFERROR(SUMPRODUCT((Gastos!C4:C503="Seguro Social")*(MONTH(Gastos!A4:A503)=4)*(YEAR(Gastos!A4:A503)=Dashboard!C4)*Gastos!D4:D503),0)</f>
        <v/>
      </c>
      <c r="G9" s="36">
        <f>IFERROR(SUMPRODUCT((Gastos!C4:C503="Seguro Social")*(MONTH(Gastos!A4:A503)=5)*(YEAR(Gastos!A4:A503)=Dashboard!C4)*Gastos!D4:D503),0)</f>
        <v/>
      </c>
      <c r="H9" s="36">
        <f>IFERROR(SUMPRODUCT((Gastos!C4:C503="Seguro Social")*(MONTH(Gastos!A4:A503)=6)*(YEAR(Gastos!A4:A503)=Dashboard!C4)*Gastos!D4:D503),0)</f>
        <v/>
      </c>
      <c r="I9" s="36">
        <f>IFERROR(SUMPRODUCT((Gastos!C4:C503="Seguro Social")*(MONTH(Gastos!A4:A503)=7)*(YEAR(Gastos!A4:A503)=Dashboard!C4)*Gastos!D4:D503),0)</f>
        <v/>
      </c>
      <c r="J9" s="36">
        <f>IFERROR(SUMPRODUCT((Gastos!C4:C503="Seguro Social")*(MONTH(Gastos!A4:A503)=8)*(YEAR(Gastos!A4:A503)=Dashboard!C4)*Gastos!D4:D503),0)</f>
        <v/>
      </c>
      <c r="K9" s="36">
        <f>IFERROR(SUMPRODUCT((Gastos!C4:C503="Seguro Social")*(MONTH(Gastos!A4:A503)=9)*(YEAR(Gastos!A4:A503)=Dashboard!C4)*Gastos!D4:D503),0)</f>
        <v/>
      </c>
      <c r="L9" s="36">
        <f>IFERROR(SUMPRODUCT((Gastos!C4:C503="Seguro Social")*(MONTH(Gastos!A4:A503)=10)*(YEAR(Gastos!A4:A503)=Dashboard!C4)*Gastos!D4:D503),0)</f>
        <v/>
      </c>
      <c r="M9" s="36">
        <f>IFERROR(SUMPRODUCT((Gastos!C4:C503="Seguro Social")*(MONTH(Gastos!A4:A503)=11)*(YEAR(Gastos!A4:A503)=Dashboard!C4)*Gastos!D4:D503),0)</f>
        <v/>
      </c>
      <c r="N9" s="36">
        <f>IFERROR(SUMPRODUCT((Gastos!C4:C503="Seguro Social")*(MONTH(Gastos!A4:A503)=12)*(YEAR(Gastos!A4:A503)=Dashboard!C4)*Gastos!D4:D503),0)</f>
        <v/>
      </c>
      <c r="O9" s="1" t="n"/>
    </row>
    <row r="10">
      <c r="A10" s="1" t="n"/>
      <c r="B10" s="18" t="inlineStr">
        <is>
          <t>Material de Oficina</t>
        </is>
      </c>
      <c r="C10" s="36">
        <f>IFERROR(SUMPRODUCT((Gastos!C4:C503="Material de Oficina")*(MONTH(Gastos!A4:A503)=1)*(YEAR(Gastos!A4:A503)=Dashboard!C4)*Gastos!D4:D503),0)</f>
        <v/>
      </c>
      <c r="D10" s="36">
        <f>IFERROR(SUMPRODUCT((Gastos!C4:C503="Material de Oficina")*(MONTH(Gastos!A4:A503)=2)*(YEAR(Gastos!A4:A503)=Dashboard!C4)*Gastos!D4:D503),0)</f>
        <v/>
      </c>
      <c r="E10" s="36">
        <f>IFERROR(SUMPRODUCT((Gastos!C4:C503="Material de Oficina")*(MONTH(Gastos!A4:A503)=3)*(YEAR(Gastos!A4:A503)=Dashboard!C4)*Gastos!D4:D503),0)</f>
        <v/>
      </c>
      <c r="F10" s="36">
        <f>IFERROR(SUMPRODUCT((Gastos!C4:C503="Material de Oficina")*(MONTH(Gastos!A4:A503)=4)*(YEAR(Gastos!A4:A503)=Dashboard!C4)*Gastos!D4:D503),0)</f>
        <v/>
      </c>
      <c r="G10" s="36">
        <f>IFERROR(SUMPRODUCT((Gastos!C4:C503="Material de Oficina")*(MONTH(Gastos!A4:A503)=5)*(YEAR(Gastos!A4:A503)=Dashboard!C4)*Gastos!D4:D503),0)</f>
        <v/>
      </c>
      <c r="H10" s="36">
        <f>IFERROR(SUMPRODUCT((Gastos!C4:C503="Material de Oficina")*(MONTH(Gastos!A4:A503)=6)*(YEAR(Gastos!A4:A503)=Dashboard!C4)*Gastos!D4:D503),0)</f>
        <v/>
      </c>
      <c r="I10" s="36">
        <f>IFERROR(SUMPRODUCT((Gastos!C4:C503="Material de Oficina")*(MONTH(Gastos!A4:A503)=7)*(YEAR(Gastos!A4:A503)=Dashboard!C4)*Gastos!D4:D503),0)</f>
        <v/>
      </c>
      <c r="J10" s="36">
        <f>IFERROR(SUMPRODUCT((Gastos!C4:C503="Material de Oficina")*(MONTH(Gastos!A4:A503)=8)*(YEAR(Gastos!A4:A503)=Dashboard!C4)*Gastos!D4:D503),0)</f>
        <v/>
      </c>
      <c r="K10" s="36">
        <f>IFERROR(SUMPRODUCT((Gastos!C4:C503="Material de Oficina")*(MONTH(Gastos!A4:A503)=9)*(YEAR(Gastos!A4:A503)=Dashboard!C4)*Gastos!D4:D503),0)</f>
        <v/>
      </c>
      <c r="L10" s="36">
        <f>IFERROR(SUMPRODUCT((Gastos!C4:C503="Material de Oficina")*(MONTH(Gastos!A4:A503)=10)*(YEAR(Gastos!A4:A503)=Dashboard!C4)*Gastos!D4:D503),0)</f>
        <v/>
      </c>
      <c r="M10" s="36">
        <f>IFERROR(SUMPRODUCT((Gastos!C4:C503="Material de Oficina")*(MONTH(Gastos!A4:A503)=11)*(YEAR(Gastos!A4:A503)=Dashboard!C4)*Gastos!D4:D503),0)</f>
        <v/>
      </c>
      <c r="N10" s="36">
        <f>IFERROR(SUMPRODUCT((Gastos!C4:C503="Material de Oficina")*(MONTH(Gastos!A4:A503)=12)*(YEAR(Gastos!A4:A503)=Dashboard!C4)*Gastos!D4:D503),0)</f>
        <v/>
      </c>
      <c r="O10" s="1" t="n"/>
    </row>
    <row r="11">
      <c r="A11" s="1" t="n"/>
      <c r="B11" s="18" t="inlineStr">
        <is>
          <t>Publicidad/Marketing</t>
        </is>
      </c>
      <c r="C11" s="36">
        <f>IFERROR(SUMPRODUCT((Gastos!C4:C503="Publicidad/Marketing")*(MONTH(Gastos!A4:A503)=1)*(YEAR(Gastos!A4:A503)=Dashboard!C4)*Gastos!D4:D503),0)</f>
        <v/>
      </c>
      <c r="D11" s="36">
        <f>IFERROR(SUMPRODUCT((Gastos!C4:C503="Publicidad/Marketing")*(MONTH(Gastos!A4:A503)=2)*(YEAR(Gastos!A4:A503)=Dashboard!C4)*Gastos!D4:D503),0)</f>
        <v/>
      </c>
      <c r="E11" s="36">
        <f>IFERROR(SUMPRODUCT((Gastos!C4:C503="Publicidad/Marketing")*(MONTH(Gastos!A4:A503)=3)*(YEAR(Gastos!A4:A503)=Dashboard!C4)*Gastos!D4:D503),0)</f>
        <v/>
      </c>
      <c r="F11" s="36">
        <f>IFERROR(SUMPRODUCT((Gastos!C4:C503="Publicidad/Marketing")*(MONTH(Gastos!A4:A503)=4)*(YEAR(Gastos!A4:A503)=Dashboard!C4)*Gastos!D4:D503),0)</f>
        <v/>
      </c>
      <c r="G11" s="36">
        <f>IFERROR(SUMPRODUCT((Gastos!C4:C503="Publicidad/Marketing")*(MONTH(Gastos!A4:A503)=5)*(YEAR(Gastos!A4:A503)=Dashboard!C4)*Gastos!D4:D503),0)</f>
        <v/>
      </c>
      <c r="H11" s="36">
        <f>IFERROR(SUMPRODUCT((Gastos!C4:C503="Publicidad/Marketing")*(MONTH(Gastos!A4:A503)=6)*(YEAR(Gastos!A4:A503)=Dashboard!C4)*Gastos!D4:D503),0)</f>
        <v/>
      </c>
      <c r="I11" s="36">
        <f>IFERROR(SUMPRODUCT((Gastos!C4:C503="Publicidad/Marketing")*(MONTH(Gastos!A4:A503)=7)*(YEAR(Gastos!A4:A503)=Dashboard!C4)*Gastos!D4:D503),0)</f>
        <v/>
      </c>
      <c r="J11" s="36">
        <f>IFERROR(SUMPRODUCT((Gastos!C4:C503="Publicidad/Marketing")*(MONTH(Gastos!A4:A503)=8)*(YEAR(Gastos!A4:A503)=Dashboard!C4)*Gastos!D4:D503),0)</f>
        <v/>
      </c>
      <c r="K11" s="36">
        <f>IFERROR(SUMPRODUCT((Gastos!C4:C503="Publicidad/Marketing")*(MONTH(Gastos!A4:A503)=9)*(YEAR(Gastos!A4:A503)=Dashboard!C4)*Gastos!D4:D503),0)</f>
        <v/>
      </c>
      <c r="L11" s="36">
        <f>IFERROR(SUMPRODUCT((Gastos!C4:C503="Publicidad/Marketing")*(MONTH(Gastos!A4:A503)=10)*(YEAR(Gastos!A4:A503)=Dashboard!C4)*Gastos!D4:D503),0)</f>
        <v/>
      </c>
      <c r="M11" s="36">
        <f>IFERROR(SUMPRODUCT((Gastos!C4:C503="Publicidad/Marketing")*(MONTH(Gastos!A4:A503)=11)*(YEAR(Gastos!A4:A503)=Dashboard!C4)*Gastos!D4:D503),0)</f>
        <v/>
      </c>
      <c r="N11" s="36">
        <f>IFERROR(SUMPRODUCT((Gastos!C4:C503="Publicidad/Marketing")*(MONTH(Gastos!A4:A503)=12)*(YEAR(Gastos!A4:A503)=Dashboard!C4)*Gastos!D4:D503),0)</f>
        <v/>
      </c>
      <c r="O11" s="1" t="n"/>
    </row>
    <row r="12">
      <c r="A12" s="1" t="n"/>
      <c r="B12" s="18" t="inlineStr">
        <is>
          <t>Transporte/Combustible</t>
        </is>
      </c>
      <c r="C12" s="36">
        <f>IFERROR(SUMPRODUCT((Gastos!C4:C503="Transporte/Combustible")*(MONTH(Gastos!A4:A503)=1)*(YEAR(Gastos!A4:A503)=Dashboard!C4)*Gastos!D4:D503),0)</f>
        <v/>
      </c>
      <c r="D12" s="36">
        <f>IFERROR(SUMPRODUCT((Gastos!C4:C503="Transporte/Combustible")*(MONTH(Gastos!A4:A503)=2)*(YEAR(Gastos!A4:A503)=Dashboard!C4)*Gastos!D4:D503),0)</f>
        <v/>
      </c>
      <c r="E12" s="36">
        <f>IFERROR(SUMPRODUCT((Gastos!C4:C503="Transporte/Combustible")*(MONTH(Gastos!A4:A503)=3)*(YEAR(Gastos!A4:A503)=Dashboard!C4)*Gastos!D4:D503),0)</f>
        <v/>
      </c>
      <c r="F12" s="36">
        <f>IFERROR(SUMPRODUCT((Gastos!C4:C503="Transporte/Combustible")*(MONTH(Gastos!A4:A503)=4)*(YEAR(Gastos!A4:A503)=Dashboard!C4)*Gastos!D4:D503),0)</f>
        <v/>
      </c>
      <c r="G12" s="36">
        <f>IFERROR(SUMPRODUCT((Gastos!C4:C503="Transporte/Combustible")*(MONTH(Gastos!A4:A503)=5)*(YEAR(Gastos!A4:A503)=Dashboard!C4)*Gastos!D4:D503),0)</f>
        <v/>
      </c>
      <c r="H12" s="36">
        <f>IFERROR(SUMPRODUCT((Gastos!C4:C503="Transporte/Combustible")*(MONTH(Gastos!A4:A503)=6)*(YEAR(Gastos!A4:A503)=Dashboard!C4)*Gastos!D4:D503),0)</f>
        <v/>
      </c>
      <c r="I12" s="36">
        <f>IFERROR(SUMPRODUCT((Gastos!C4:C503="Transporte/Combustible")*(MONTH(Gastos!A4:A503)=7)*(YEAR(Gastos!A4:A503)=Dashboard!C4)*Gastos!D4:D503),0)</f>
        <v/>
      </c>
      <c r="J12" s="36">
        <f>IFERROR(SUMPRODUCT((Gastos!C4:C503="Transporte/Combustible")*(MONTH(Gastos!A4:A503)=8)*(YEAR(Gastos!A4:A503)=Dashboard!C4)*Gastos!D4:D503),0)</f>
        <v/>
      </c>
      <c r="K12" s="36">
        <f>IFERROR(SUMPRODUCT((Gastos!C4:C503="Transporte/Combustible")*(MONTH(Gastos!A4:A503)=9)*(YEAR(Gastos!A4:A503)=Dashboard!C4)*Gastos!D4:D503),0)</f>
        <v/>
      </c>
      <c r="L12" s="36">
        <f>IFERROR(SUMPRODUCT((Gastos!C4:C503="Transporte/Combustible")*(MONTH(Gastos!A4:A503)=10)*(YEAR(Gastos!A4:A503)=Dashboard!C4)*Gastos!D4:D503),0)</f>
        <v/>
      </c>
      <c r="M12" s="36">
        <f>IFERROR(SUMPRODUCT((Gastos!C4:C503="Transporte/Combustible")*(MONTH(Gastos!A4:A503)=11)*(YEAR(Gastos!A4:A503)=Dashboard!C4)*Gastos!D4:D503),0)</f>
        <v/>
      </c>
      <c r="N12" s="36">
        <f>IFERROR(SUMPRODUCT((Gastos!C4:C503="Transporte/Combustible")*(MONTH(Gastos!A4:A503)=12)*(YEAR(Gastos!A4:A503)=Dashboard!C4)*Gastos!D4:D503),0)</f>
        <v/>
      </c>
      <c r="O12" s="1" t="n"/>
    </row>
    <row r="13">
      <c r="A13" s="1" t="n"/>
      <c r="B13" s="18" t="inlineStr">
        <is>
          <t>Mantenimiento</t>
        </is>
      </c>
      <c r="C13" s="36">
        <f>IFERROR(SUMPRODUCT((Gastos!C4:C503="Mantenimiento")*(MONTH(Gastos!A4:A503)=1)*(YEAR(Gastos!A4:A503)=Dashboard!C4)*Gastos!D4:D503),0)</f>
        <v/>
      </c>
      <c r="D13" s="36">
        <f>IFERROR(SUMPRODUCT((Gastos!C4:C503="Mantenimiento")*(MONTH(Gastos!A4:A503)=2)*(YEAR(Gastos!A4:A503)=Dashboard!C4)*Gastos!D4:D503),0)</f>
        <v/>
      </c>
      <c r="E13" s="36">
        <f>IFERROR(SUMPRODUCT((Gastos!C4:C503="Mantenimiento")*(MONTH(Gastos!A4:A503)=3)*(YEAR(Gastos!A4:A503)=Dashboard!C4)*Gastos!D4:D503),0)</f>
        <v/>
      </c>
      <c r="F13" s="36">
        <f>IFERROR(SUMPRODUCT((Gastos!C4:C503="Mantenimiento")*(MONTH(Gastos!A4:A503)=4)*(YEAR(Gastos!A4:A503)=Dashboard!C4)*Gastos!D4:D503),0)</f>
        <v/>
      </c>
      <c r="G13" s="36">
        <f>IFERROR(SUMPRODUCT((Gastos!C4:C503="Mantenimiento")*(MONTH(Gastos!A4:A503)=5)*(YEAR(Gastos!A4:A503)=Dashboard!C4)*Gastos!D4:D503),0)</f>
        <v/>
      </c>
      <c r="H13" s="36">
        <f>IFERROR(SUMPRODUCT((Gastos!C4:C503="Mantenimiento")*(MONTH(Gastos!A4:A503)=6)*(YEAR(Gastos!A4:A503)=Dashboard!C4)*Gastos!D4:D503),0)</f>
        <v/>
      </c>
      <c r="I13" s="36">
        <f>IFERROR(SUMPRODUCT((Gastos!C4:C503="Mantenimiento")*(MONTH(Gastos!A4:A503)=7)*(YEAR(Gastos!A4:A503)=Dashboard!C4)*Gastos!D4:D503),0)</f>
        <v/>
      </c>
      <c r="J13" s="36">
        <f>IFERROR(SUMPRODUCT((Gastos!C4:C503="Mantenimiento")*(MONTH(Gastos!A4:A503)=8)*(YEAR(Gastos!A4:A503)=Dashboard!C4)*Gastos!D4:D503),0)</f>
        <v/>
      </c>
      <c r="K13" s="36">
        <f>IFERROR(SUMPRODUCT((Gastos!C4:C503="Mantenimiento")*(MONTH(Gastos!A4:A503)=9)*(YEAR(Gastos!A4:A503)=Dashboard!C4)*Gastos!D4:D503),0)</f>
        <v/>
      </c>
      <c r="L13" s="36">
        <f>IFERROR(SUMPRODUCT((Gastos!C4:C503="Mantenimiento")*(MONTH(Gastos!A4:A503)=10)*(YEAR(Gastos!A4:A503)=Dashboard!C4)*Gastos!D4:D503),0)</f>
        <v/>
      </c>
      <c r="M13" s="36">
        <f>IFERROR(SUMPRODUCT((Gastos!C4:C503="Mantenimiento")*(MONTH(Gastos!A4:A503)=11)*(YEAR(Gastos!A4:A503)=Dashboard!C4)*Gastos!D4:D503),0)</f>
        <v/>
      </c>
      <c r="N13" s="36">
        <f>IFERROR(SUMPRODUCT((Gastos!C4:C503="Mantenimiento")*(MONTH(Gastos!A4:A503)=12)*(YEAR(Gastos!A4:A503)=Dashboard!C4)*Gastos!D4:D503),0)</f>
        <v/>
      </c>
      <c r="O13" s="1" t="n"/>
    </row>
    <row r="14">
      <c r="A14" s="1" t="n"/>
      <c r="B14" s="18" t="inlineStr">
        <is>
          <t>Seguros</t>
        </is>
      </c>
      <c r="C14" s="36">
        <f>IFERROR(SUMPRODUCT((Gastos!C4:C503="Seguros")*(MONTH(Gastos!A4:A503)=1)*(YEAR(Gastos!A4:A503)=Dashboard!C4)*Gastos!D4:D503),0)</f>
        <v/>
      </c>
      <c r="D14" s="36">
        <f>IFERROR(SUMPRODUCT((Gastos!C4:C503="Seguros")*(MONTH(Gastos!A4:A503)=2)*(YEAR(Gastos!A4:A503)=Dashboard!C4)*Gastos!D4:D503),0)</f>
        <v/>
      </c>
      <c r="E14" s="36">
        <f>IFERROR(SUMPRODUCT((Gastos!C4:C503="Seguros")*(MONTH(Gastos!A4:A503)=3)*(YEAR(Gastos!A4:A503)=Dashboard!C4)*Gastos!D4:D503),0)</f>
        <v/>
      </c>
      <c r="F14" s="36">
        <f>IFERROR(SUMPRODUCT((Gastos!C4:C503="Seguros")*(MONTH(Gastos!A4:A503)=4)*(YEAR(Gastos!A4:A503)=Dashboard!C4)*Gastos!D4:D503),0)</f>
        <v/>
      </c>
      <c r="G14" s="36">
        <f>IFERROR(SUMPRODUCT((Gastos!C4:C503="Seguros")*(MONTH(Gastos!A4:A503)=5)*(YEAR(Gastos!A4:A503)=Dashboard!C4)*Gastos!D4:D503),0)</f>
        <v/>
      </c>
      <c r="H14" s="36">
        <f>IFERROR(SUMPRODUCT((Gastos!C4:C503="Seguros")*(MONTH(Gastos!A4:A503)=6)*(YEAR(Gastos!A4:A503)=Dashboard!C4)*Gastos!D4:D503),0)</f>
        <v/>
      </c>
      <c r="I14" s="36">
        <f>IFERROR(SUMPRODUCT((Gastos!C4:C503="Seguros")*(MONTH(Gastos!A4:A503)=7)*(YEAR(Gastos!A4:A503)=Dashboard!C4)*Gastos!D4:D503),0)</f>
        <v/>
      </c>
      <c r="J14" s="36">
        <f>IFERROR(SUMPRODUCT((Gastos!C4:C503="Seguros")*(MONTH(Gastos!A4:A503)=8)*(YEAR(Gastos!A4:A503)=Dashboard!C4)*Gastos!D4:D503),0)</f>
        <v/>
      </c>
      <c r="K14" s="36">
        <f>IFERROR(SUMPRODUCT((Gastos!C4:C503="Seguros")*(MONTH(Gastos!A4:A503)=9)*(YEAR(Gastos!A4:A503)=Dashboard!C4)*Gastos!D4:D503),0)</f>
        <v/>
      </c>
      <c r="L14" s="36">
        <f>IFERROR(SUMPRODUCT((Gastos!C4:C503="Seguros")*(MONTH(Gastos!A4:A503)=10)*(YEAR(Gastos!A4:A503)=Dashboard!C4)*Gastos!D4:D503),0)</f>
        <v/>
      </c>
      <c r="M14" s="36">
        <f>IFERROR(SUMPRODUCT((Gastos!C4:C503="Seguros")*(MONTH(Gastos!A4:A503)=11)*(YEAR(Gastos!A4:A503)=Dashboard!C4)*Gastos!D4:D503),0)</f>
        <v/>
      </c>
      <c r="N14" s="36">
        <f>IFERROR(SUMPRODUCT((Gastos!C4:C503="Seguros")*(MONTH(Gastos!A4:A503)=12)*(YEAR(Gastos!A4:A503)=Dashboard!C4)*Gastos!D4:D503),0)</f>
        <v/>
      </c>
      <c r="O14" s="1" t="n"/>
    </row>
    <row r="15">
      <c r="A15" s="1" t="n"/>
      <c r="B15" s="18" t="inlineStr">
        <is>
          <t>Impuestos/Patentes</t>
        </is>
      </c>
      <c r="C15" s="36">
        <f>IFERROR(SUMPRODUCT((Gastos!C4:C503="Impuestos/Patentes")*(MONTH(Gastos!A4:A503)=1)*(YEAR(Gastos!A4:A503)=Dashboard!C4)*Gastos!D4:D503),0)</f>
        <v/>
      </c>
      <c r="D15" s="36">
        <f>IFERROR(SUMPRODUCT((Gastos!C4:C503="Impuestos/Patentes")*(MONTH(Gastos!A4:A503)=2)*(YEAR(Gastos!A4:A503)=Dashboard!C4)*Gastos!D4:D503),0)</f>
        <v/>
      </c>
      <c r="E15" s="36">
        <f>IFERROR(SUMPRODUCT((Gastos!C4:C503="Impuestos/Patentes")*(MONTH(Gastos!A4:A503)=3)*(YEAR(Gastos!A4:A503)=Dashboard!C4)*Gastos!D4:D503),0)</f>
        <v/>
      </c>
      <c r="F15" s="36">
        <f>IFERROR(SUMPRODUCT((Gastos!C4:C503="Impuestos/Patentes")*(MONTH(Gastos!A4:A503)=4)*(YEAR(Gastos!A4:A503)=Dashboard!C4)*Gastos!D4:D503),0)</f>
        <v/>
      </c>
      <c r="G15" s="36">
        <f>IFERROR(SUMPRODUCT((Gastos!C4:C503="Impuestos/Patentes")*(MONTH(Gastos!A4:A503)=5)*(YEAR(Gastos!A4:A503)=Dashboard!C4)*Gastos!D4:D503),0)</f>
        <v/>
      </c>
      <c r="H15" s="36">
        <f>IFERROR(SUMPRODUCT((Gastos!C4:C503="Impuestos/Patentes")*(MONTH(Gastos!A4:A503)=6)*(YEAR(Gastos!A4:A503)=Dashboard!C4)*Gastos!D4:D503),0)</f>
        <v/>
      </c>
      <c r="I15" s="36">
        <f>IFERROR(SUMPRODUCT((Gastos!C4:C503="Impuestos/Patentes")*(MONTH(Gastos!A4:A503)=7)*(YEAR(Gastos!A4:A503)=Dashboard!C4)*Gastos!D4:D503),0)</f>
        <v/>
      </c>
      <c r="J15" s="36">
        <f>IFERROR(SUMPRODUCT((Gastos!C4:C503="Impuestos/Patentes")*(MONTH(Gastos!A4:A503)=8)*(YEAR(Gastos!A4:A503)=Dashboard!C4)*Gastos!D4:D503),0)</f>
        <v/>
      </c>
      <c r="K15" s="36">
        <f>IFERROR(SUMPRODUCT((Gastos!C4:C503="Impuestos/Patentes")*(MONTH(Gastos!A4:A503)=9)*(YEAR(Gastos!A4:A503)=Dashboard!C4)*Gastos!D4:D503),0)</f>
        <v/>
      </c>
      <c r="L15" s="36">
        <f>IFERROR(SUMPRODUCT((Gastos!C4:C503="Impuestos/Patentes")*(MONTH(Gastos!A4:A503)=10)*(YEAR(Gastos!A4:A503)=Dashboard!C4)*Gastos!D4:D503),0)</f>
        <v/>
      </c>
      <c r="M15" s="36">
        <f>IFERROR(SUMPRODUCT((Gastos!C4:C503="Impuestos/Patentes")*(MONTH(Gastos!A4:A503)=11)*(YEAR(Gastos!A4:A503)=Dashboard!C4)*Gastos!D4:D503),0)</f>
        <v/>
      </c>
      <c r="N15" s="36">
        <f>IFERROR(SUMPRODUCT((Gastos!C4:C503="Impuestos/Patentes")*(MONTH(Gastos!A4:A503)=12)*(YEAR(Gastos!A4:A503)=Dashboard!C4)*Gastos!D4:D503),0)</f>
        <v/>
      </c>
      <c r="O15" s="1" t="n"/>
    </row>
    <row r="16">
      <c r="A16" s="1" t="n"/>
      <c r="B16" s="18" t="inlineStr">
        <is>
          <t>Otros Gastos</t>
        </is>
      </c>
      <c r="C16" s="36">
        <f>IFERROR(SUMPRODUCT((Gastos!C4:C503="Otros Gastos")*(MONTH(Gastos!A4:A503)=1)*(YEAR(Gastos!A4:A503)=Dashboard!C4)*Gastos!D4:D503),0)</f>
        <v/>
      </c>
      <c r="D16" s="36">
        <f>IFERROR(SUMPRODUCT((Gastos!C4:C503="Otros Gastos")*(MONTH(Gastos!A4:A503)=2)*(YEAR(Gastos!A4:A503)=Dashboard!C4)*Gastos!D4:D503),0)</f>
        <v/>
      </c>
      <c r="E16" s="36">
        <f>IFERROR(SUMPRODUCT((Gastos!C4:C503="Otros Gastos")*(MONTH(Gastos!A4:A503)=3)*(YEAR(Gastos!A4:A503)=Dashboard!C4)*Gastos!D4:D503),0)</f>
        <v/>
      </c>
      <c r="F16" s="36">
        <f>IFERROR(SUMPRODUCT((Gastos!C4:C503="Otros Gastos")*(MONTH(Gastos!A4:A503)=4)*(YEAR(Gastos!A4:A503)=Dashboard!C4)*Gastos!D4:D503),0)</f>
        <v/>
      </c>
      <c r="G16" s="36">
        <f>IFERROR(SUMPRODUCT((Gastos!C4:C503="Otros Gastos")*(MONTH(Gastos!A4:A503)=5)*(YEAR(Gastos!A4:A503)=Dashboard!C4)*Gastos!D4:D503),0)</f>
        <v/>
      </c>
      <c r="H16" s="36">
        <f>IFERROR(SUMPRODUCT((Gastos!C4:C503="Otros Gastos")*(MONTH(Gastos!A4:A503)=6)*(YEAR(Gastos!A4:A503)=Dashboard!C4)*Gastos!D4:D503),0)</f>
        <v/>
      </c>
      <c r="I16" s="36">
        <f>IFERROR(SUMPRODUCT((Gastos!C4:C503="Otros Gastos")*(MONTH(Gastos!A4:A503)=7)*(YEAR(Gastos!A4:A503)=Dashboard!C4)*Gastos!D4:D503),0)</f>
        <v/>
      </c>
      <c r="J16" s="36">
        <f>IFERROR(SUMPRODUCT((Gastos!C4:C503="Otros Gastos")*(MONTH(Gastos!A4:A503)=8)*(YEAR(Gastos!A4:A503)=Dashboard!C4)*Gastos!D4:D503),0)</f>
        <v/>
      </c>
      <c r="K16" s="36">
        <f>IFERROR(SUMPRODUCT((Gastos!C4:C503="Otros Gastos")*(MONTH(Gastos!A4:A503)=9)*(YEAR(Gastos!A4:A503)=Dashboard!C4)*Gastos!D4:D503),0)</f>
        <v/>
      </c>
      <c r="L16" s="36">
        <f>IFERROR(SUMPRODUCT((Gastos!C4:C503="Otros Gastos")*(MONTH(Gastos!A4:A503)=10)*(YEAR(Gastos!A4:A503)=Dashboard!C4)*Gastos!D4:D503),0)</f>
        <v/>
      </c>
      <c r="M16" s="36">
        <f>IFERROR(SUMPRODUCT((Gastos!C4:C503="Otros Gastos")*(MONTH(Gastos!A4:A503)=11)*(YEAR(Gastos!A4:A503)=Dashboard!C4)*Gastos!D4:D503),0)</f>
        <v/>
      </c>
      <c r="N16" s="36">
        <f>IFERROR(SUMPRODUCT((Gastos!C4:C503="Otros Gastos")*(MONTH(Gastos!A4:A503)=12)*(YEAR(Gastos!A4:A503)=Dashboard!C4)*Gastos!D4:D503),0)</f>
        <v/>
      </c>
      <c r="O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">
    <mergeCell ref="B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6B7280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0" t="inlineStr">
        <is>
          <t>v1.0.0</t>
        </is>
      </c>
      <c r="B1" s="1" t="n"/>
      <c r="C1" s="1" t="n"/>
    </row>
    <row r="2">
      <c r="A2" s="1" t="n"/>
      <c r="B2" s="1" t="n"/>
      <c r="C2" s="1" t="n"/>
    </row>
    <row r="3">
      <c r="A3" s="41" t="inlineStr">
        <is>
          <t>CONFIGURACION</t>
        </is>
      </c>
      <c r="C3" s="1" t="n"/>
    </row>
    <row r="4">
      <c r="A4" s="1" t="n"/>
      <c r="B4" s="1" t="n"/>
      <c r="C4" s="1" t="n"/>
    </row>
    <row r="5">
      <c r="A5" s="4" t="inlineStr">
        <is>
          <t>Producto</t>
        </is>
      </c>
      <c r="B5" s="42" t="inlineStr">
        <is>
          <t>Control de Gastos Operativos</t>
        </is>
      </c>
      <c r="C5" s="1" t="n"/>
    </row>
    <row r="6">
      <c r="A6" s="4" t="inlineStr">
        <is>
          <t>Version</t>
        </is>
      </c>
      <c r="B6" s="42" t="inlineStr">
        <is>
          <t>v1.0.0</t>
        </is>
      </c>
      <c r="C6" s="1" t="n"/>
    </row>
    <row r="7">
      <c r="A7" s="4" t="inlineStr">
        <is>
          <t>Marca</t>
        </is>
      </c>
      <c r="B7" s="42" t="inlineStr">
        <is>
          <t>No Somos Ignorantes</t>
        </is>
      </c>
      <c r="C7" s="1" t="n"/>
    </row>
    <row r="8">
      <c r="A8" s="4" t="inlineStr">
        <is>
          <t>Precio</t>
        </is>
      </c>
      <c r="B8" s="42" t="inlineStr">
        <is>
          <t>Bs. 59</t>
        </is>
      </c>
      <c r="C8" s="1" t="n"/>
    </row>
    <row r="9">
      <c r="A9" s="4" t="inlineStr">
        <is>
          <t>Proteccion</t>
        </is>
      </c>
      <c r="B9" s="42" t="inlineStr">
        <is>
          <t>nsi2024</t>
        </is>
      </c>
      <c r="C9" s="1" t="n"/>
    </row>
    <row r="10">
      <c r="A10" s="4" t="inlineStr"/>
      <c r="B10" s="42" t="inlineStr"/>
      <c r="C10" s="1" t="n"/>
    </row>
    <row r="11">
      <c r="A11" s="4" t="inlineStr">
        <is>
          <t>INSTRUCCIONES</t>
        </is>
      </c>
      <c r="B11" s="42" t="inlineStr"/>
      <c r="C11" s="1" t="n"/>
    </row>
    <row r="12">
      <c r="A12" s="4" t="inlineStr">
        <is>
          <t>1.</t>
        </is>
      </c>
      <c r="B12" s="42" t="inlineStr">
        <is>
          <t>Las celdas AMARILLAS son editables.</t>
        </is>
      </c>
      <c r="C12" s="1" t="n"/>
    </row>
    <row r="13">
      <c r="A13" s="4" t="inlineStr">
        <is>
          <t>2.</t>
        </is>
      </c>
      <c r="B13" s="42" t="inlineStr">
        <is>
          <t>En 'Gastos', registra cada gasto con fecha, descripcion y categoria.</t>
        </is>
      </c>
      <c r="C13" s="1" t="n"/>
    </row>
    <row r="14">
      <c r="A14" s="4" t="inlineStr">
        <is>
          <t>3.</t>
        </is>
      </c>
      <c r="B14" s="42" t="inlineStr">
        <is>
          <t>En 'Presupuesto', define tu presupuesto mensual por categoria.</t>
        </is>
      </c>
      <c r="C14" s="1" t="n"/>
    </row>
    <row r="15">
      <c r="A15" s="4" t="inlineStr">
        <is>
          <t>4.</t>
        </is>
      </c>
      <c r="B15" s="42" t="inlineStr">
        <is>
          <t>El Dashboard muestra KPIs, graficos de tendencia y comparacion real vs presupuesto.</t>
        </is>
      </c>
      <c r="C15" s="1" t="n"/>
    </row>
    <row r="16">
      <c r="A16" s="4" t="inlineStr">
        <is>
          <t>5.</t>
        </is>
      </c>
      <c r="B16" s="42" t="inlineStr">
        <is>
          <t>La hoja 'Tendencias' muestra la evolucion mensual por categoria.</t>
        </is>
      </c>
      <c r="C16" s="1" t="n"/>
    </row>
    <row r="17">
      <c r="A17" s="4" t="inlineStr">
        <is>
          <t>6.</t>
        </is>
      </c>
      <c r="B17" s="42" t="inlineStr">
        <is>
          <t>Para desbloquear: Revisar -&gt; Desproteger hoja -&gt; nsi2024</t>
        </is>
      </c>
      <c r="C17" s="1" t="n"/>
    </row>
    <row r="18">
      <c r="A18" s="1" t="n"/>
      <c r="B18" s="1" t="n"/>
      <c r="C18" s="1" t="n"/>
    </row>
    <row r="19">
      <c r="A19" s="1" t="n"/>
      <c r="B19" s="1" t="n"/>
      <c r="C19" s="1" t="n"/>
    </row>
    <row r="20">
      <c r="A20" s="1" t="n"/>
      <c r="B20" s="1" t="n"/>
      <c r="C20" s="1" t="n"/>
    </row>
    <row r="21">
      <c r="A21" s="1" t="n"/>
      <c r="B21" s="1" t="n"/>
      <c r="C21" s="1" t="n"/>
    </row>
    <row r="22">
      <c r="A22" s="1" t="n"/>
      <c r="B22" s="1" t="n"/>
      <c r="C22" s="1" t="n"/>
    </row>
    <row r="23">
      <c r="A23" s="1" t="n"/>
      <c r="B23" s="1" t="n"/>
      <c r="C23" s="1" t="n"/>
    </row>
    <row r="24">
      <c r="A24" s="1" t="n"/>
      <c r="B24" s="1" t="n"/>
      <c r="C24" s="1" t="n"/>
    </row>
    <row r="25">
      <c r="A25" s="1" t="n"/>
      <c r="B25" s="1" t="n"/>
      <c r="C2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2026-02-06T13:18:14Z</dcterms:created>
  <dcterms:modified xmlns:dcterms="http://purl.org/dc/terms/" xmlns:xsi="http://www.w3.org/2001/XMLSchema-instance" xsi:type="dcterms:W3CDTF">2026-02-06T13:18:15Z</dcterms:modified>
</cp:coreProperties>
</file>