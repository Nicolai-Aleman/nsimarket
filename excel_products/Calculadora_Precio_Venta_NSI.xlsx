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mpetencia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#,##0.00;-#,##0.00"/>
  </numFmts>
  <fonts count="24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color rgb="00374151"/>
      <sz val="11"/>
    </font>
    <font>
      <name val="Calibri"/>
      <color rgb="000000FF"/>
      <sz val="11"/>
    </font>
    <font>
      <name val="Calibri"/>
      <b val="1"/>
      <color rgb="00D4AF37"/>
      <sz val="11"/>
    </font>
    <font>
      <name val="Calibri"/>
      <b val="1"/>
      <color rgb="00374151"/>
      <sz val="11"/>
    </font>
    <font>
      <name val="Calibri"/>
      <b val="1"/>
      <color rgb="00111827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0000FF"/>
      <sz val="18"/>
    </font>
    <font>
      <name val="Calibri"/>
      <b val="1"/>
      <color rgb="00000000"/>
      <sz val="16"/>
    </font>
    <font>
      <name val="Calibri"/>
      <i val="1"/>
      <color rgb="006B7280"/>
      <sz val="10"/>
    </font>
    <font>
      <name val="Calibri"/>
      <b val="1"/>
      <color rgb="00D4AF37"/>
      <sz val="9"/>
    </font>
    <font>
      <name val="Calibri"/>
      <color rgb="00111827"/>
      <sz val="11"/>
    </font>
    <font>
      <name val="Calibri"/>
      <b val="1"/>
      <color rgb="00000000"/>
      <sz val="11"/>
    </font>
    <font>
      <name val="Calibri"/>
      <b val="1"/>
      <color rgb="00374151"/>
      <sz val="10"/>
    </font>
    <font>
      <name val="Calibri"/>
      <b val="1"/>
      <color rgb="000F3460"/>
      <sz val="14"/>
    </font>
    <font>
      <name val="Calibri"/>
      <b val="1"/>
      <color rgb="00D4AF37"/>
      <sz val="10"/>
    </font>
    <font>
      <name val="Calibri"/>
      <b val="1"/>
      <sz val="10"/>
    </font>
    <font>
      <name val="Calibri"/>
      <color rgb="009CA3AF"/>
      <sz val="9"/>
    </font>
    <font>
      <name val="Calibri"/>
      <b val="1"/>
      <color rgb="00000000"/>
      <sz val="14"/>
    </font>
    <font>
      <name val="Calibri"/>
      <color rgb="004B5563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FF9C4"/>
      </patternFill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374151"/>
      </patternFill>
    </fill>
    <fill>
      <patternFill patternType="solid">
        <fgColor rgb="008E44A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4" fontId="5" fillId="4" borderId="2" applyAlignment="1" applyProtection="1" pivotButton="0" quotePrefix="0" xfId="0">
      <alignment horizontal="center" vertical="center"/>
      <protection locked="0" hidden="0"/>
    </xf>
    <xf numFmtId="9" fontId="5" fillId="4" borderId="2" applyAlignment="1" applyProtection="1" pivotButton="0" quotePrefix="0" xfId="0">
      <alignment horizontal="center" vertical="center"/>
      <protection locked="0" hidden="0"/>
    </xf>
    <xf numFmtId="0" fontId="7" fillId="2" borderId="1" applyAlignment="1" pivotButton="0" quotePrefix="0" xfId="0">
      <alignment horizontal="left" vertical="center"/>
    </xf>
    <xf numFmtId="4" fontId="8" fillId="6" borderId="1" applyAlignment="1" pivotButton="0" quotePrefix="0" xfId="0">
      <alignment horizontal="right" vertical="center"/>
    </xf>
    <xf numFmtId="3" fontId="5" fillId="4" borderId="2" applyAlignment="1" applyProtection="1" pivotButton="0" quotePrefix="0" xfId="0">
      <alignment horizontal="center" vertical="center"/>
      <protection locked="0" hidden="0"/>
    </xf>
    <xf numFmtId="0" fontId="6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4" fillId="2" borderId="1" pivotButton="0" quotePrefix="0" xfId="0"/>
    <xf numFmtId="4" fontId="4" fillId="2" borderId="1" pivotButton="0" quotePrefix="0" xfId="0"/>
    <xf numFmtId="164" fontId="4" fillId="2" borderId="1" pivotButton="0" quotePrefix="0" xfId="0"/>
    <xf numFmtId="0" fontId="10" fillId="10" borderId="1" applyAlignment="1" pivotButton="0" quotePrefix="0" xfId="0">
      <alignment horizontal="center" vertical="center"/>
    </xf>
    <xf numFmtId="4" fontId="11" fillId="4" borderId="2" applyAlignment="1" applyProtection="1" pivotButton="0" quotePrefix="0" xfId="0">
      <alignment horizontal="center" vertical="center"/>
      <protection locked="0" hidden="0"/>
    </xf>
    <xf numFmtId="164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0" fontId="13" fillId="2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5" fillId="4" borderId="2" applyAlignment="1" applyProtection="1" pivotButton="0" quotePrefix="0" xfId="0">
      <alignment horizontal="left" vertical="center"/>
      <protection locked="0" hidden="0"/>
    </xf>
    <xf numFmtId="4" fontId="15" fillId="6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0" fontId="16" fillId="2" borderId="1" pivotButton="0" quotePrefix="0" xfId="0"/>
    <xf numFmtId="0" fontId="17" fillId="2" borderId="0" pivotButton="0" quotePrefix="0" xfId="0"/>
    <xf numFmtId="4" fontId="18" fillId="2" borderId="0" pivotButton="0" quotePrefix="0" xfId="0"/>
    <xf numFmtId="0" fontId="19" fillId="5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center" vertical="center"/>
    </xf>
    <xf numFmtId="0" fontId="21" fillId="2" borderId="0" pivotButton="0" quotePrefix="0" xfId="0"/>
    <xf numFmtId="0" fontId="22" fillId="2" borderId="0" applyAlignment="1" pivotButton="0" quotePrefix="0" xfId="0">
      <alignment horizontal="left" vertical="center"/>
    </xf>
    <xf numFmtId="0" fontId="23" fillId="2" borderId="0" pivotButton="0" quotePrefix="0" xfId="0"/>
  </cellXfs>
  <cellStyles count="1">
    <cellStyle name="Normal" xfId="0" builtinId="0" hidden="0"/>
  </cellStyles>
  <dxfs count="3">
    <dxf>
      <font>
        <b val="1"/>
        <color rgb="00E74C3C"/>
      </font>
      <fill>
        <patternFill patternType="solid">
          <fgColor rgb="00FEE2E2"/>
        </patternFill>
      </fill>
    </dxf>
    <dxf>
      <font>
        <b val="1"/>
        <color rgb="0027AE60"/>
      </font>
      <fill>
        <patternFill patternType="solid">
          <fgColor rgb="00D1FAE5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Utilidad Mensual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'Escenarios'!I3</f>
            </strRef>
          </tx>
          <spPr>
            <a:solidFill xmlns:a="http://schemas.openxmlformats.org/drawingml/2006/main">
              <a:srgbClr val="8E44AD"/>
            </a:solidFill>
            <a:ln xmlns:a="http://schemas.openxmlformats.org/drawingml/2006/main">
              <a:noFill/>
              <a:prstDash val="solid"/>
            </a:ln>
          </spPr>
          <cat>
            <numRef>
              <f>'Escenarios'!$B$4:$B$23</f>
            </numRef>
          </cat>
          <val>
            <numRef>
              <f>'Escenarios'!$I$4:$I$23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" customWidth="1" min="4" max="4"/>
    <col width="3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CALCULADORA DE PRECIO DE VENTA</t>
        </is>
      </c>
      <c r="G2" s="1" t="n"/>
    </row>
    <row r="3">
      <c r="A3" s="1" t="n"/>
      <c r="B3" s="3" t="inlineStr">
        <is>
          <t>No Somos Ignorantes  |  v1.0  |  Define tu precio optimo</t>
        </is>
      </c>
      <c r="G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4" t="inlineStr">
        <is>
          <t>ESTRUCTURA DE COSTOS</t>
        </is>
      </c>
      <c r="D5" s="1" t="n"/>
      <c r="E5" s="5" t="inlineStr">
        <is>
          <t>CALCULO DEL PRECIO</t>
        </is>
      </c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6" t="inlineStr">
        <is>
          <t>Costo de Materia Prima</t>
        </is>
      </c>
      <c r="C7" s="7" t="n">
        <v>25</v>
      </c>
      <c r="D7" s="1" t="n"/>
      <c r="E7" s="6" t="inlineStr">
        <is>
          <t>Margen deseado sobre costo (%):</t>
        </is>
      </c>
      <c r="F7" s="8" t="n">
        <v>0.4</v>
      </c>
      <c r="G7" s="1" t="n"/>
    </row>
    <row r="8">
      <c r="A8" s="1" t="n"/>
      <c r="B8" s="6" t="inlineStr">
        <is>
          <t>Mano de Obra Directa</t>
        </is>
      </c>
      <c r="C8" s="7" t="n">
        <v>10</v>
      </c>
      <c r="D8" s="1" t="n"/>
      <c r="E8" s="9" t="inlineStr">
        <is>
          <t>Precio (Cost-Plus):</t>
        </is>
      </c>
      <c r="F8" s="10">
        <f>IFERROR(C16*(1+F7),0)</f>
        <v/>
      </c>
      <c r="G8" s="1" t="n"/>
    </row>
    <row r="9" ht="4" customHeight="1">
      <c r="A9" s="1" t="n"/>
      <c r="B9" s="6" t="inlineStr">
        <is>
          <t>Costos Indirectos de Fabricacion</t>
        </is>
      </c>
      <c r="C9" s="7" t="n">
        <v>5</v>
      </c>
      <c r="D9" s="1" t="n"/>
      <c r="E9" s="1" t="n"/>
      <c r="F9" s="1" t="n"/>
      <c r="G9" s="1" t="n"/>
    </row>
    <row r="10">
      <c r="A10" s="1" t="n"/>
      <c r="B10" s="6" t="inlineStr">
        <is>
          <t>Empaque y Embalaje</t>
        </is>
      </c>
      <c r="C10" s="7" t="n">
        <v>3</v>
      </c>
      <c r="D10" s="1" t="n"/>
      <c r="E10" s="6" t="inlineStr">
        <is>
          <t>Margen deseado sobre precio (%):</t>
        </is>
      </c>
      <c r="F10" s="8" t="n">
        <v>0.3</v>
      </c>
      <c r="G10" s="1" t="n"/>
    </row>
    <row r="11">
      <c r="A11" s="1" t="n"/>
      <c r="B11" s="6" t="inlineStr">
        <is>
          <t>Transporte / Envio</t>
        </is>
      </c>
      <c r="C11" s="7" t="n">
        <v>2</v>
      </c>
      <c r="D11" s="1" t="n"/>
      <c r="E11" s="9" t="inlineStr">
        <is>
          <t>Precio (Target Margin):</t>
        </is>
      </c>
      <c r="F11" s="10">
        <f>IFERROR(C16/(1-F10),0)</f>
        <v/>
      </c>
      <c r="G11" s="1" t="n"/>
    </row>
    <row r="12" ht="4" customHeight="1">
      <c r="A12" s="1" t="n"/>
      <c r="B12" s="6" t="inlineStr">
        <is>
          <t>Comision de Venta (%)</t>
        </is>
      </c>
      <c r="C12" s="7" t="n">
        <v>0</v>
      </c>
      <c r="D12" s="1" t="n"/>
      <c r="E12" s="1" t="n"/>
      <c r="F12" s="1" t="n"/>
      <c r="G12" s="1" t="n"/>
    </row>
    <row r="13">
      <c r="A13" s="1" t="n"/>
      <c r="B13" s="6" t="inlineStr">
        <is>
          <t>Otros Costos Variables</t>
        </is>
      </c>
      <c r="C13" s="7" t="n">
        <v>0</v>
      </c>
      <c r="D13" s="1" t="n"/>
      <c r="E13" s="6" t="inlineStr">
        <is>
          <t>Costos Fijos Mensuales (Bs.):</t>
        </is>
      </c>
      <c r="F13" s="7" t="n">
        <v>5000</v>
      </c>
      <c r="G13" s="1" t="n"/>
    </row>
    <row r="14" ht="4" customHeight="1">
      <c r="A14" s="1" t="n"/>
      <c r="B14" s="1" t="n"/>
      <c r="C14" s="1" t="n"/>
      <c r="D14" s="1" t="n"/>
      <c r="E14" s="6" t="inlineStr">
        <is>
          <t>Unidades esperadas/mes:</t>
        </is>
      </c>
      <c r="F14" s="11" t="n">
        <v>100</v>
      </c>
      <c r="G14" s="1" t="n"/>
    </row>
    <row r="15">
      <c r="A15" s="1" t="n"/>
      <c r="B15" s="12" t="inlineStr">
        <is>
          <t>COSTO TOTAL UNITARIO</t>
        </is>
      </c>
      <c r="C15" s="13" t="n"/>
      <c r="D15" s="1" t="n"/>
      <c r="E15" s="9" t="inlineStr">
        <is>
          <t>Precio (Break-Even):</t>
        </is>
      </c>
      <c r="F15" s="10">
        <f>IFERROR(F13/F14+C16,0)</f>
        <v/>
      </c>
      <c r="G15" s="1" t="n"/>
    </row>
    <row r="16">
      <c r="A16" s="1" t="n"/>
      <c r="B16" s="9" t="inlineStr">
        <is>
          <t>Costo Total (Bs.):</t>
        </is>
      </c>
      <c r="C16" s="10">
        <f>SUM(C7:C13)</f>
        <v/>
      </c>
      <c r="D16" s="1" t="n"/>
      <c r="E16" s="1" t="n"/>
      <c r="F16" s="1" t="n"/>
      <c r="G16" s="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4" t="inlineStr">
        <is>
          <t>RESUMEN DE METODOS DE PRECIO</t>
        </is>
      </c>
      <c r="G18" s="1" t="n"/>
    </row>
    <row r="19">
      <c r="A19" s="1" t="n"/>
      <c r="B19" s="15" t="inlineStr">
        <is>
          <t>Metodo</t>
        </is>
      </c>
      <c r="C19" s="15" t="inlineStr">
        <is>
          <t>Precio</t>
        </is>
      </c>
      <c r="D19" s="1" t="inlineStr"/>
      <c r="E19" s="15" t="inlineStr">
        <is>
          <t>Margen Bs.</t>
        </is>
      </c>
      <c r="F19" s="15" t="inlineStr">
        <is>
          <t>Margen %</t>
        </is>
      </c>
      <c r="G19" s="1" t="n"/>
    </row>
    <row r="20">
      <c r="A20" s="1" t="n"/>
      <c r="B20" s="16" t="inlineStr">
        <is>
          <t>Cost-Plus (Markup)</t>
        </is>
      </c>
      <c r="C20" s="10">
        <f>F8</f>
        <v/>
      </c>
      <c r="D20" s="1" t="n"/>
      <c r="E20" s="17">
        <f>F8-C16</f>
        <v/>
      </c>
      <c r="F20" s="18">
        <f>IFERROR((F8-C16)/F8,0)</f>
        <v/>
      </c>
      <c r="G20" s="1" t="n"/>
    </row>
    <row r="21">
      <c r="A21" s="1" t="n"/>
      <c r="B21" s="16" t="inlineStr">
        <is>
          <t>Target Margin</t>
        </is>
      </c>
      <c r="C21" s="10">
        <f>F11</f>
        <v/>
      </c>
      <c r="D21" s="1" t="n"/>
      <c r="E21" s="17">
        <f>F11-C16</f>
        <v/>
      </c>
      <c r="F21" s="18">
        <f>IFERROR((F11-C16)/F11,0)</f>
        <v/>
      </c>
      <c r="G21" s="1" t="n"/>
    </row>
    <row r="22">
      <c r="A22" s="1" t="n"/>
      <c r="B22" s="16" t="inlineStr">
        <is>
          <t>Break-Even + Margen</t>
        </is>
      </c>
      <c r="C22" s="10">
        <f>F15</f>
        <v/>
      </c>
      <c r="D22" s="1" t="n"/>
      <c r="E22" s="17">
        <f>F15-C16</f>
        <v/>
      </c>
      <c r="F22" s="18">
        <f>IFERROR((F15-C16)/F15,0)</f>
        <v/>
      </c>
      <c r="G22" s="1" t="n"/>
    </row>
    <row r="23" ht="4" customHeight="1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9" t="inlineStr">
        <is>
          <t>PRECIO FINAL ELEGIDO</t>
        </is>
      </c>
      <c r="D24" s="1" t="n"/>
      <c r="E24" s="20" t="n"/>
      <c r="G24" s="1" t="n"/>
    </row>
    <row r="25">
      <c r="A25" s="1" t="n"/>
      <c r="B25" s="6" t="inlineStr">
        <is>
          <t>Ganancia por unidad:</t>
        </is>
      </c>
      <c r="C25" s="10">
        <f>IFERROR(E24-C16,0)</f>
        <v/>
      </c>
      <c r="D25" s="1" t="n"/>
      <c r="E25" s="6" t="inlineStr">
        <is>
          <t>Margen final:</t>
        </is>
      </c>
      <c r="F25" s="21">
        <f>IFERROR((E24-C16)/E24,0)</f>
        <v/>
      </c>
      <c r="G25" s="1" t="n"/>
    </row>
    <row r="26">
      <c r="A26" s="1" t="n"/>
      <c r="B26" s="6" t="inlineStr">
        <is>
          <t>Punto de equilibrio (unidades):</t>
        </is>
      </c>
      <c r="C26" s="22">
        <f>IFERROR(F13/(E24-C16),0)</f>
        <v/>
      </c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8">
    <mergeCell ref="B24:C24"/>
    <mergeCell ref="B15:C15"/>
    <mergeCell ref="B2:F2"/>
    <mergeCell ref="E24:F24"/>
    <mergeCell ref="B5:C5"/>
    <mergeCell ref="B3:F3"/>
    <mergeCell ref="E5:F5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n"/>
      <c r="B1" s="23" t="inlineStr">
        <is>
          <t>ESCENARIOS DE PRECIO</t>
        </is>
      </c>
    </row>
    <row r="2">
      <c r="A2" s="1" t="n"/>
      <c r="B2" s="24" t="inlineStr">
        <is>
          <t>Compara hasta 20 productos con diferentes estructuras de costos y precios.</t>
        </is>
      </c>
    </row>
    <row r="3" ht="28" customHeight="1">
      <c r="A3" s="1" t="n"/>
      <c r="B3" s="25" t="inlineStr">
        <is>
          <t>PRODUCTO</t>
        </is>
      </c>
      <c r="C3" s="25" t="inlineStr">
        <is>
          <t>COSTO UNIT.</t>
        </is>
      </c>
      <c r="D3" s="25" t="inlineStr">
        <is>
          <t>PRECIO VENTA</t>
        </is>
      </c>
      <c r="E3" s="25" t="inlineStr">
        <is>
          <t>MARGEN Bs.</t>
        </is>
      </c>
      <c r="F3" s="25" t="inlineStr">
        <is>
          <t>MARGEN %</t>
        </is>
      </c>
      <c r="G3" s="25" t="inlineStr">
        <is>
          <t>VENTAS/MES</t>
        </is>
      </c>
      <c r="H3" s="25" t="inlineStr">
        <is>
          <t>INGRESO MENSUAL</t>
        </is>
      </c>
      <c r="I3" s="25" t="inlineStr">
        <is>
          <t>UTILIDAD MENSUAL</t>
        </is>
      </c>
    </row>
    <row r="4">
      <c r="A4" s="1" t="n"/>
      <c r="B4" s="26" t="inlineStr">
        <is>
          <t>Producto A - Basico</t>
        </is>
      </c>
      <c r="C4" s="7" t="n">
        <v>45</v>
      </c>
      <c r="D4" s="7" t="n">
        <v>75</v>
      </c>
      <c r="E4" s="27">
        <f>IFERROR(D4-C4,0)</f>
        <v/>
      </c>
      <c r="F4" s="28">
        <f>IFERROR((D4-C4)/D4,0)</f>
        <v/>
      </c>
      <c r="G4" s="11" t="n">
        <v>80</v>
      </c>
      <c r="H4" s="27">
        <f>IFERROR(D4*G4,0)</f>
        <v/>
      </c>
      <c r="I4" s="10">
        <f>IFERROR(E4*G4,0)</f>
        <v/>
      </c>
    </row>
    <row r="5">
      <c r="A5" s="1" t="n"/>
      <c r="B5" s="26" t="inlineStr">
        <is>
          <t>Producto B - Estandar</t>
        </is>
      </c>
      <c r="C5" s="7" t="n">
        <v>65</v>
      </c>
      <c r="D5" s="7" t="n">
        <v>120</v>
      </c>
      <c r="E5" s="27">
        <f>IFERROR(D5-C5,0)</f>
        <v/>
      </c>
      <c r="F5" s="28">
        <f>IFERROR((D5-C5)/D5,0)</f>
        <v/>
      </c>
      <c r="G5" s="11" t="n">
        <v>50</v>
      </c>
      <c r="H5" s="27">
        <f>IFERROR(D5*G5,0)</f>
        <v/>
      </c>
      <c r="I5" s="10">
        <f>IFERROR(E5*G5,0)</f>
        <v/>
      </c>
    </row>
    <row r="6">
      <c r="A6" s="1" t="n"/>
      <c r="B6" s="26" t="inlineStr">
        <is>
          <t>Producto C - Premium</t>
        </is>
      </c>
      <c r="C6" s="7" t="n">
        <v>95</v>
      </c>
      <c r="D6" s="7" t="n">
        <v>200</v>
      </c>
      <c r="E6" s="27">
        <f>IFERROR(D6-C6,0)</f>
        <v/>
      </c>
      <c r="F6" s="28">
        <f>IFERROR((D6-C6)/D6,0)</f>
        <v/>
      </c>
      <c r="G6" s="11" t="n">
        <v>25</v>
      </c>
      <c r="H6" s="27">
        <f>IFERROR(D6*G6,0)</f>
        <v/>
      </c>
      <c r="I6" s="10">
        <f>IFERROR(E6*G6,0)</f>
        <v/>
      </c>
    </row>
    <row r="7">
      <c r="A7" s="1" t="n"/>
      <c r="B7" s="26" t="inlineStr">
        <is>
          <t>Servicio D - Consultoria</t>
        </is>
      </c>
      <c r="C7" s="7" t="n">
        <v>30</v>
      </c>
      <c r="D7" s="7" t="n">
        <v>80</v>
      </c>
      <c r="E7" s="27">
        <f>IFERROR(D7-C7,0)</f>
        <v/>
      </c>
      <c r="F7" s="28">
        <f>IFERROR((D7-C7)/D7,0)</f>
        <v/>
      </c>
      <c r="G7" s="11" t="n">
        <v>15</v>
      </c>
      <c r="H7" s="27">
        <f>IFERROR(D7*G7,0)</f>
        <v/>
      </c>
      <c r="I7" s="10">
        <f>IFERROR(E7*G7,0)</f>
        <v/>
      </c>
    </row>
    <row r="8">
      <c r="A8" s="1" t="n"/>
      <c r="B8" s="26" t="n"/>
      <c r="C8" s="7" t="n"/>
      <c r="D8" s="7" t="n"/>
      <c r="E8" s="27">
        <f>IFERROR(D8-C8,0)</f>
        <v/>
      </c>
      <c r="F8" s="28">
        <f>IFERROR((D8-C8)/D8,0)</f>
        <v/>
      </c>
      <c r="G8" s="11" t="n"/>
      <c r="H8" s="27">
        <f>IFERROR(D8*G8,0)</f>
        <v/>
      </c>
      <c r="I8" s="10">
        <f>IFERROR(E8*G8,0)</f>
        <v/>
      </c>
    </row>
    <row r="9">
      <c r="A9" s="1" t="n"/>
      <c r="B9" s="26" t="n"/>
      <c r="C9" s="7" t="n"/>
      <c r="D9" s="7" t="n"/>
      <c r="E9" s="27">
        <f>IFERROR(D9-C9,0)</f>
        <v/>
      </c>
      <c r="F9" s="28">
        <f>IFERROR((D9-C9)/D9,0)</f>
        <v/>
      </c>
      <c r="G9" s="11" t="n"/>
      <c r="H9" s="27">
        <f>IFERROR(D9*G9,0)</f>
        <v/>
      </c>
      <c r="I9" s="10">
        <f>IFERROR(E9*G9,0)</f>
        <v/>
      </c>
    </row>
    <row r="10">
      <c r="A10" s="1" t="n"/>
      <c r="B10" s="26" t="n"/>
      <c r="C10" s="7" t="n"/>
      <c r="D10" s="7" t="n"/>
      <c r="E10" s="27">
        <f>IFERROR(D10-C10,0)</f>
        <v/>
      </c>
      <c r="F10" s="28">
        <f>IFERROR((D10-C10)/D10,0)</f>
        <v/>
      </c>
      <c r="G10" s="11" t="n"/>
      <c r="H10" s="27">
        <f>IFERROR(D10*G10,0)</f>
        <v/>
      </c>
      <c r="I10" s="10">
        <f>IFERROR(E10*G10,0)</f>
        <v/>
      </c>
    </row>
    <row r="11">
      <c r="A11" s="1" t="n"/>
      <c r="B11" s="26" t="n"/>
      <c r="C11" s="7" t="n"/>
      <c r="D11" s="7" t="n"/>
      <c r="E11" s="27">
        <f>IFERROR(D11-C11,0)</f>
        <v/>
      </c>
      <c r="F11" s="28">
        <f>IFERROR((D11-C11)/D11,0)</f>
        <v/>
      </c>
      <c r="G11" s="11" t="n"/>
      <c r="H11" s="27">
        <f>IFERROR(D11*G11,0)</f>
        <v/>
      </c>
      <c r="I11" s="10">
        <f>IFERROR(E11*G11,0)</f>
        <v/>
      </c>
    </row>
    <row r="12">
      <c r="A12" s="1" t="n"/>
      <c r="B12" s="26" t="n"/>
      <c r="C12" s="7" t="n"/>
      <c r="D12" s="7" t="n"/>
      <c r="E12" s="27">
        <f>IFERROR(D12-C12,0)</f>
        <v/>
      </c>
      <c r="F12" s="28">
        <f>IFERROR((D12-C12)/D12,0)</f>
        <v/>
      </c>
      <c r="G12" s="11" t="n"/>
      <c r="H12" s="27">
        <f>IFERROR(D12*G12,0)</f>
        <v/>
      </c>
      <c r="I12" s="10">
        <f>IFERROR(E12*G12,0)</f>
        <v/>
      </c>
    </row>
    <row r="13">
      <c r="A13" s="1" t="n"/>
      <c r="B13" s="26" t="n"/>
      <c r="C13" s="7" t="n"/>
      <c r="D13" s="7" t="n"/>
      <c r="E13" s="27">
        <f>IFERROR(D13-C13,0)</f>
        <v/>
      </c>
      <c r="F13" s="28">
        <f>IFERROR((D13-C13)/D13,0)</f>
        <v/>
      </c>
      <c r="G13" s="11" t="n"/>
      <c r="H13" s="27">
        <f>IFERROR(D13*G13,0)</f>
        <v/>
      </c>
      <c r="I13" s="10">
        <f>IFERROR(E13*G13,0)</f>
        <v/>
      </c>
    </row>
    <row r="14">
      <c r="A14" s="1" t="n"/>
      <c r="B14" s="26" t="n"/>
      <c r="C14" s="7" t="n"/>
      <c r="D14" s="7" t="n"/>
      <c r="E14" s="27">
        <f>IFERROR(D14-C14,0)</f>
        <v/>
      </c>
      <c r="F14" s="28">
        <f>IFERROR((D14-C14)/D14,0)</f>
        <v/>
      </c>
      <c r="G14" s="11" t="n"/>
      <c r="H14" s="27">
        <f>IFERROR(D14*G14,0)</f>
        <v/>
      </c>
      <c r="I14" s="10">
        <f>IFERROR(E14*G14,0)</f>
        <v/>
      </c>
    </row>
    <row r="15">
      <c r="A15" s="1" t="n"/>
      <c r="B15" s="26" t="n"/>
      <c r="C15" s="7" t="n"/>
      <c r="D15" s="7" t="n"/>
      <c r="E15" s="27">
        <f>IFERROR(D15-C15,0)</f>
        <v/>
      </c>
      <c r="F15" s="28">
        <f>IFERROR((D15-C15)/D15,0)</f>
        <v/>
      </c>
      <c r="G15" s="11" t="n"/>
      <c r="H15" s="27">
        <f>IFERROR(D15*G15,0)</f>
        <v/>
      </c>
      <c r="I15" s="10">
        <f>IFERROR(E15*G15,0)</f>
        <v/>
      </c>
    </row>
    <row r="16">
      <c r="A16" s="1" t="n"/>
      <c r="B16" s="26" t="n"/>
      <c r="C16" s="7" t="n"/>
      <c r="D16" s="7" t="n"/>
      <c r="E16" s="27">
        <f>IFERROR(D16-C16,0)</f>
        <v/>
      </c>
      <c r="F16" s="28">
        <f>IFERROR((D16-C16)/D16,0)</f>
        <v/>
      </c>
      <c r="G16" s="11" t="n"/>
      <c r="H16" s="27">
        <f>IFERROR(D16*G16,0)</f>
        <v/>
      </c>
      <c r="I16" s="10">
        <f>IFERROR(E16*G16,0)</f>
        <v/>
      </c>
    </row>
    <row r="17">
      <c r="A17" s="1" t="n"/>
      <c r="B17" s="26" t="n"/>
      <c r="C17" s="7" t="n"/>
      <c r="D17" s="7" t="n"/>
      <c r="E17" s="27">
        <f>IFERROR(D17-C17,0)</f>
        <v/>
      </c>
      <c r="F17" s="28">
        <f>IFERROR((D17-C17)/D17,0)</f>
        <v/>
      </c>
      <c r="G17" s="11" t="n"/>
      <c r="H17" s="27">
        <f>IFERROR(D17*G17,0)</f>
        <v/>
      </c>
      <c r="I17" s="10">
        <f>IFERROR(E17*G17,0)</f>
        <v/>
      </c>
    </row>
    <row r="18">
      <c r="A18" s="1" t="n"/>
      <c r="B18" s="26" t="n"/>
      <c r="C18" s="7" t="n"/>
      <c r="D18" s="7" t="n"/>
      <c r="E18" s="27">
        <f>IFERROR(D18-C18,0)</f>
        <v/>
      </c>
      <c r="F18" s="28">
        <f>IFERROR((D18-C18)/D18,0)</f>
        <v/>
      </c>
      <c r="G18" s="11" t="n"/>
      <c r="H18" s="27">
        <f>IFERROR(D18*G18,0)</f>
        <v/>
      </c>
      <c r="I18" s="10">
        <f>IFERROR(E18*G18,0)</f>
        <v/>
      </c>
    </row>
    <row r="19">
      <c r="A19" s="1" t="n"/>
      <c r="B19" s="26" t="n"/>
      <c r="C19" s="7" t="n"/>
      <c r="D19" s="7" t="n"/>
      <c r="E19" s="27">
        <f>IFERROR(D19-C19,0)</f>
        <v/>
      </c>
      <c r="F19" s="28">
        <f>IFERROR((D19-C19)/D19,0)</f>
        <v/>
      </c>
      <c r="G19" s="11" t="n"/>
      <c r="H19" s="27">
        <f>IFERROR(D19*G19,0)</f>
        <v/>
      </c>
      <c r="I19" s="10">
        <f>IFERROR(E19*G19,0)</f>
        <v/>
      </c>
    </row>
    <row r="20">
      <c r="A20" s="1" t="n"/>
      <c r="B20" s="26" t="n"/>
      <c r="C20" s="7" t="n"/>
      <c r="D20" s="7" t="n"/>
      <c r="E20" s="27">
        <f>IFERROR(D20-C20,0)</f>
        <v/>
      </c>
      <c r="F20" s="28">
        <f>IFERROR((D20-C20)/D20,0)</f>
        <v/>
      </c>
      <c r="G20" s="11" t="n"/>
      <c r="H20" s="27">
        <f>IFERROR(D20*G20,0)</f>
        <v/>
      </c>
      <c r="I20" s="10">
        <f>IFERROR(E20*G20,0)</f>
        <v/>
      </c>
    </row>
    <row r="21">
      <c r="A21" s="1" t="n"/>
      <c r="B21" s="26" t="n"/>
      <c r="C21" s="7" t="n"/>
      <c r="D21" s="7" t="n"/>
      <c r="E21" s="27">
        <f>IFERROR(D21-C21,0)</f>
        <v/>
      </c>
      <c r="F21" s="28">
        <f>IFERROR((D21-C21)/D21,0)</f>
        <v/>
      </c>
      <c r="G21" s="11" t="n"/>
      <c r="H21" s="27">
        <f>IFERROR(D21*G21,0)</f>
        <v/>
      </c>
      <c r="I21" s="10">
        <f>IFERROR(E21*G21,0)</f>
        <v/>
      </c>
    </row>
    <row r="22">
      <c r="A22" s="1" t="n"/>
      <c r="B22" s="26" t="n"/>
      <c r="C22" s="7" t="n"/>
      <c r="D22" s="7" t="n"/>
      <c r="E22" s="27">
        <f>IFERROR(D22-C22,0)</f>
        <v/>
      </c>
      <c r="F22" s="28">
        <f>IFERROR((D22-C22)/D22,0)</f>
        <v/>
      </c>
      <c r="G22" s="11" t="n"/>
      <c r="H22" s="27">
        <f>IFERROR(D22*G22,0)</f>
        <v/>
      </c>
      <c r="I22" s="10">
        <f>IFERROR(E22*G22,0)</f>
        <v/>
      </c>
    </row>
    <row r="23">
      <c r="A23" s="1" t="n"/>
      <c r="B23" s="26" t="n"/>
      <c r="C23" s="7" t="n"/>
      <c r="D23" s="7" t="n"/>
      <c r="E23" s="27">
        <f>IFERROR(D23-C23,0)</f>
        <v/>
      </c>
      <c r="F23" s="28">
        <f>IFERROR((D23-C23)/D23,0)</f>
        <v/>
      </c>
      <c r="G23" s="11" t="n"/>
      <c r="H23" s="27">
        <f>IFERROR(D23*G23,0)</f>
        <v/>
      </c>
      <c r="I23" s="10">
        <f>IFERROR(E23*G23,0)</f>
        <v/>
      </c>
    </row>
    <row r="24">
      <c r="A24" s="1" t="n"/>
      <c r="B24" s="29" t="inlineStr">
        <is>
          <t>TOTAL</t>
        </is>
      </c>
      <c r="C24" s="1" t="n"/>
      <c r="D24" s="1" t="n"/>
      <c r="E24" s="1" t="n"/>
      <c r="F24" s="1" t="n"/>
      <c r="G24" s="1" t="n"/>
      <c r="H24" s="10">
        <f>SUM(H4:H23)</f>
        <v/>
      </c>
      <c r="I24" s="10">
        <f>SUM(I4:I23)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B1:I1"/>
    <mergeCell ref="B2:I2"/>
  </mergeCells>
  <conditionalFormatting sqref="F4:F23">
    <cfRule type="cellIs" priority="1" operator="lessThan" dxfId="0">
      <formula>0.2</formula>
    </cfRule>
    <cfRule type="cellIs" priority="2" operator="greaterThanOrEqual" dxfId="1">
      <formula>0.4</formula>
    </cfRule>
  </conditionalFormatting>
  <conditionalFormatting sqref="I4:I23">
    <cfRule type="dataBar" priority="3">
      <dataBar>
        <cfvo type="min"/>
        <cfvo type="max"/>
        <color rgb="008E44AD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1" t="n"/>
      <c r="B1" s="23" t="inlineStr">
        <is>
          <t>COMPARACION CON COMPETENCIA</t>
        </is>
      </c>
    </row>
    <row r="2">
      <c r="A2" s="1" t="n"/>
      <c r="B2" s="24" t="inlineStr">
        <is>
          <t>Compara tu precio con la competencia para posicionarte correctamente.</t>
        </is>
      </c>
    </row>
    <row r="3">
      <c r="A3" s="1" t="n"/>
      <c r="B3" s="30" t="inlineStr">
        <is>
          <t>Tu Precio (Bs.):</t>
        </is>
      </c>
      <c r="C3" s="31">
        <f>Calculadora!E24</f>
        <v/>
      </c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8" customHeight="1">
      <c r="A5" s="1" t="n"/>
      <c r="B5" s="32" t="inlineStr">
        <is>
          <t>COMPETIDOR</t>
        </is>
      </c>
      <c r="C5" s="32" t="inlineStr">
        <is>
          <t>PRODUCTO</t>
        </is>
      </c>
      <c r="D5" s="32" t="inlineStr">
        <is>
          <t>PRECIO (Bs.)</t>
        </is>
      </c>
      <c r="E5" s="32" t="inlineStr">
        <is>
          <t>DIFERENCIA</t>
        </is>
      </c>
      <c r="F5" s="32" t="inlineStr">
        <is>
          <t>POSICION</t>
        </is>
      </c>
      <c r="G5" s="32" t="inlineStr">
        <is>
          <t>OBSERVACIONES</t>
        </is>
      </c>
    </row>
    <row r="6">
      <c r="A6" s="1" t="n"/>
      <c r="B6" s="26" t="inlineStr">
        <is>
          <t>Competidor A</t>
        </is>
      </c>
      <c r="C6" s="26" t="inlineStr">
        <is>
          <t>Producto similar</t>
        </is>
      </c>
      <c r="D6" s="7" t="n">
        <v>85</v>
      </c>
      <c r="E6" s="33">
        <f>IFERROR(C$3-D6,0)</f>
        <v/>
      </c>
      <c r="F6" s="34">
        <f>IF(D6="","",IF(C$3&lt;D6,"DEBAJO",IF(C$3&gt;D6,"ARRIBA","IGUAL")))</f>
        <v/>
      </c>
      <c r="G6" s="26" t="inlineStr">
        <is>
          <t>Menor calidad</t>
        </is>
      </c>
    </row>
    <row r="7">
      <c r="A7" s="1" t="n"/>
      <c r="B7" s="26" t="inlineStr">
        <is>
          <t>Competidor B</t>
        </is>
      </c>
      <c r="C7" s="26" t="inlineStr">
        <is>
          <t>Producto premium</t>
        </is>
      </c>
      <c r="D7" s="7" t="n">
        <v>120</v>
      </c>
      <c r="E7" s="33">
        <f>IFERROR(C$3-D7,0)</f>
        <v/>
      </c>
      <c r="F7" s="34">
        <f>IF(D7="","",IF(C$3&lt;D7,"DEBAJO",IF(C$3&gt;D7,"ARRIBA","IGUAL")))</f>
        <v/>
      </c>
      <c r="G7" s="26" t="inlineStr">
        <is>
          <t>Marca reconocida</t>
        </is>
      </c>
    </row>
    <row r="8">
      <c r="A8" s="1" t="n"/>
      <c r="B8" s="26" t="inlineStr">
        <is>
          <t>Competidor C</t>
        </is>
      </c>
      <c r="C8" s="26" t="inlineStr">
        <is>
          <t>Producto basico</t>
        </is>
      </c>
      <c r="D8" s="7" t="n">
        <v>50</v>
      </c>
      <c r="E8" s="33">
        <f>IFERROR(C$3-D8,0)</f>
        <v/>
      </c>
      <c r="F8" s="34">
        <f>IF(D8="","",IF(C$3&lt;D8,"DEBAJO",IF(C$3&gt;D8,"ARRIBA","IGUAL")))</f>
        <v/>
      </c>
      <c r="G8" s="26" t="inlineStr">
        <is>
          <t>Sin servicio</t>
        </is>
      </c>
    </row>
    <row r="9">
      <c r="A9" s="1" t="n"/>
      <c r="B9" s="26" t="n"/>
      <c r="C9" s="26" t="n"/>
      <c r="D9" s="7" t="n"/>
      <c r="E9" s="33">
        <f>IFERROR(C$3-D9,0)</f>
        <v/>
      </c>
      <c r="F9" s="34">
        <f>IF(D9="","",IF(C$3&lt;D9,"DEBAJO",IF(C$3&gt;D9,"ARRIBA","IGUAL")))</f>
        <v/>
      </c>
      <c r="G9" s="26" t="n"/>
    </row>
    <row r="10">
      <c r="A10" s="1" t="n"/>
      <c r="B10" s="26" t="n"/>
      <c r="C10" s="26" t="n"/>
      <c r="D10" s="7" t="n"/>
      <c r="E10" s="33">
        <f>IFERROR(C$3-D10,0)</f>
        <v/>
      </c>
      <c r="F10" s="34">
        <f>IF(D10="","",IF(C$3&lt;D10,"DEBAJO",IF(C$3&gt;D10,"ARRIBA","IGUAL")))</f>
        <v/>
      </c>
      <c r="G10" s="26" t="n"/>
    </row>
    <row r="11">
      <c r="A11" s="1" t="n"/>
      <c r="B11" s="26" t="n"/>
      <c r="C11" s="26" t="n"/>
      <c r="D11" s="7" t="n"/>
      <c r="E11" s="33">
        <f>IFERROR(C$3-D11,0)</f>
        <v/>
      </c>
      <c r="F11" s="34">
        <f>IF(D11="","",IF(C$3&lt;D11,"DEBAJO",IF(C$3&gt;D11,"ARRIBA","IGUAL")))</f>
        <v/>
      </c>
      <c r="G11" s="26" t="n"/>
    </row>
    <row r="12">
      <c r="A12" s="1" t="n"/>
      <c r="B12" s="26" t="n"/>
      <c r="C12" s="26" t="n"/>
      <c r="D12" s="7" t="n"/>
      <c r="E12" s="33">
        <f>IFERROR(C$3-D12,0)</f>
        <v/>
      </c>
      <c r="F12" s="34">
        <f>IF(D12="","",IF(C$3&lt;D12,"DEBAJO",IF(C$3&gt;D12,"ARRIBA","IGUAL")))</f>
        <v/>
      </c>
      <c r="G12" s="26" t="n"/>
    </row>
    <row r="13">
      <c r="A13" s="1" t="n"/>
      <c r="B13" s="26" t="n"/>
      <c r="C13" s="26" t="n"/>
      <c r="D13" s="7" t="n"/>
      <c r="E13" s="33">
        <f>IFERROR(C$3-D13,0)</f>
        <v/>
      </c>
      <c r="F13" s="34">
        <f>IF(D13="","",IF(C$3&lt;D13,"DEBAJO",IF(C$3&gt;D13,"ARRIBA","IGUAL")))</f>
        <v/>
      </c>
      <c r="G13" s="26" t="n"/>
    </row>
    <row r="14">
      <c r="A14" s="1" t="n"/>
      <c r="B14" s="26" t="n"/>
      <c r="C14" s="26" t="n"/>
      <c r="D14" s="7" t="n"/>
      <c r="E14" s="33">
        <f>IFERROR(C$3-D14,0)</f>
        <v/>
      </c>
      <c r="F14" s="34">
        <f>IF(D14="","",IF(C$3&lt;D14,"DEBAJO",IF(C$3&gt;D14,"ARRIBA","IGUAL")))</f>
        <v/>
      </c>
      <c r="G14" s="26" t="n"/>
    </row>
    <row r="15">
      <c r="A15" s="1" t="n"/>
      <c r="B15" s="26" t="n"/>
      <c r="C15" s="26" t="n"/>
      <c r="D15" s="7" t="n"/>
      <c r="E15" s="33">
        <f>IFERROR(C$3-D15,0)</f>
        <v/>
      </c>
      <c r="F15" s="34">
        <f>IF(D15="","",IF(C$3&lt;D15,"DEBAJO",IF(C$3&gt;D15,"ARRIBA","IGUAL")))</f>
        <v/>
      </c>
      <c r="G15" s="26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B2:G2"/>
    <mergeCell ref="B1:G1"/>
  </mergeCells>
  <conditionalFormatting sqref="F6:F15">
    <cfRule type="cellIs" priority="1" operator="equal" dxfId="1">
      <formula>"DEBAJO"</formula>
    </cfRule>
    <cfRule type="cellIs" priority="2" operator="equal" dxfId="0">
      <formula>"ARRIBA"</formula>
    </cfRule>
    <cfRule type="cellIs" priority="3" operator="equal" dxfId="2">
      <formula>"IGUAL"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35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36" t="inlineStr">
        <is>
          <t>CONFIGURACION</t>
        </is>
      </c>
      <c r="C3" s="1" t="n"/>
    </row>
    <row r="4">
      <c r="A4" s="1" t="n"/>
      <c r="B4" s="1" t="n"/>
      <c r="C4" s="1" t="n"/>
    </row>
    <row r="5">
      <c r="A5" s="30" t="inlineStr">
        <is>
          <t>Producto</t>
        </is>
      </c>
      <c r="B5" s="37" t="inlineStr">
        <is>
          <t>Calculadora de Precio de Venta</t>
        </is>
      </c>
      <c r="C5" s="1" t="n"/>
    </row>
    <row r="6">
      <c r="A6" s="30" t="inlineStr">
        <is>
          <t>Version</t>
        </is>
      </c>
      <c r="B6" s="37" t="inlineStr">
        <is>
          <t>v1.0.0</t>
        </is>
      </c>
      <c r="C6" s="1" t="n"/>
    </row>
    <row r="7">
      <c r="A7" s="30" t="inlineStr">
        <is>
          <t>Marca</t>
        </is>
      </c>
      <c r="B7" s="37" t="inlineStr">
        <is>
          <t>No Somos Ignorantes</t>
        </is>
      </c>
      <c r="C7" s="1" t="n"/>
    </row>
    <row r="8">
      <c r="A8" s="30" t="inlineStr">
        <is>
          <t>Precio</t>
        </is>
      </c>
      <c r="B8" s="37" t="inlineStr">
        <is>
          <t>Bs. 49</t>
        </is>
      </c>
      <c r="C8" s="1" t="n"/>
    </row>
    <row r="9">
      <c r="A9" s="30" t="inlineStr">
        <is>
          <t>Proteccion</t>
        </is>
      </c>
      <c r="B9" s="37" t="inlineStr">
        <is>
          <t>nsi2024</t>
        </is>
      </c>
      <c r="C9" s="1" t="n"/>
    </row>
    <row r="10">
      <c r="A10" s="30" t="inlineStr"/>
      <c r="B10" s="37" t="inlineStr"/>
      <c r="C10" s="1" t="n"/>
    </row>
    <row r="11">
      <c r="A11" s="30" t="inlineStr">
        <is>
          <t>INSTRUCCIONES</t>
        </is>
      </c>
      <c r="B11" s="37" t="inlineStr"/>
      <c r="C11" s="1" t="n"/>
    </row>
    <row r="12">
      <c r="A12" s="30" t="inlineStr">
        <is>
          <t>1.</t>
        </is>
      </c>
      <c r="B12" s="37" t="inlineStr">
        <is>
          <t>En 'Calculadora', ingresa tus costos en las celdas amarillas.</t>
        </is>
      </c>
      <c r="C12" s="1" t="n"/>
    </row>
    <row r="13">
      <c r="A13" s="30" t="inlineStr">
        <is>
          <t>2.</t>
        </is>
      </c>
      <c r="B13" s="37" t="inlineStr">
        <is>
          <t>Se calculan 3 metodos de precio: Cost-Plus, Target Margin, Break-Even.</t>
        </is>
      </c>
      <c r="C13" s="1" t="n"/>
    </row>
    <row r="14">
      <c r="A14" s="30" t="inlineStr">
        <is>
          <t>3.</t>
        </is>
      </c>
      <c r="B14" s="37" t="inlineStr">
        <is>
          <t>Elige tu precio final en la celda morada grande.</t>
        </is>
      </c>
      <c r="C14" s="1" t="n"/>
    </row>
    <row r="15">
      <c r="A15" s="30" t="inlineStr">
        <is>
          <t>4.</t>
        </is>
      </c>
      <c r="B15" s="37" t="inlineStr">
        <is>
          <t>En 'Escenarios', compara multiples productos/servicios.</t>
        </is>
      </c>
      <c r="C15" s="1" t="n"/>
    </row>
    <row r="16">
      <c r="A16" s="30" t="inlineStr">
        <is>
          <t>5.</t>
        </is>
      </c>
      <c r="B16" s="37" t="inlineStr">
        <is>
          <t>En 'Competencia', analiza tu posicion vs competidores.</t>
        </is>
      </c>
      <c r="C16" s="1" t="n"/>
    </row>
    <row r="17">
      <c r="A17" s="30" t="inlineStr">
        <is>
          <t>6.</t>
        </is>
      </c>
      <c r="B17" s="37" t="inlineStr">
        <is>
          <t>Para desbloquear: Revisar -&gt; Desproteger hoja -&gt; nsi2024</t>
        </is>
      </c>
      <c r="C17" s="1" t="n"/>
    </row>
    <row r="18">
      <c r="A18" s="1" t="n"/>
      <c r="B18" s="1" t="n"/>
      <c r="C18" s="1" t="n"/>
    </row>
    <row r="19">
      <c r="A19" s="1" t="n"/>
      <c r="B19" s="1" t="n"/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2026-02-06T13:31:08Z</dcterms:created>
  <dcterms:modified xmlns:dcterms="http://purl.org/dc/terms/" xmlns:xsi="http://www.w3.org/2001/XMLSchema-instance" xsi:type="dcterms:W3CDTF">2026-02-06T13:31:09Z</dcterms:modified>
</cp:coreProperties>
</file>