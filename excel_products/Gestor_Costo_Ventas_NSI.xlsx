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&quot; veces&quot;"/>
    <numFmt numFmtId="166" formatCode="#,##0&quot; dias&quot;"/>
    <numFmt numFmtId="167" formatCode="DD/MM/YYYY"/>
  </numFmts>
  <fonts count="23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26"/>
    </font>
    <font>
      <name val="Calibri"/>
      <color rgb="00808080"/>
      <sz val="9"/>
    </font>
    <font>
      <name val="Calibri"/>
      <b val="1"/>
      <color rgb="00000000"/>
      <sz val="14"/>
    </font>
    <font>
      <name val="Calibri"/>
      <b val="1"/>
      <color rgb="00D4AF37"/>
      <sz val="11"/>
    </font>
    <font>
      <name val="Calibri"/>
      <b val="1"/>
      <color rgb="00374151"/>
      <sz val="10"/>
    </font>
    <font>
      <name val="Calibri"/>
      <b val="1"/>
      <color rgb="000F3460"/>
      <sz val="11"/>
    </font>
    <font>
      <name val="Calibri"/>
      <b val="1"/>
      <color rgb="00E74C3C"/>
      <sz val="11"/>
    </font>
    <font>
      <name val="Calibri"/>
      <b val="1"/>
      <color rgb="00000000"/>
      <sz val="10"/>
    </font>
    <font>
      <name val="Calibri"/>
      <b val="1"/>
      <color rgb="00111827"/>
      <sz val="11"/>
    </font>
    <font>
      <name val="Calibri"/>
      <b val="1"/>
      <color rgb="00374151"/>
      <sz val="11"/>
    </font>
    <font>
      <name val="Calibri"/>
      <color rgb="00374151"/>
      <sz val="10"/>
    </font>
    <font>
      <name val="Calibri"/>
      <b val="1"/>
      <color rgb="00000000"/>
      <sz val="16"/>
    </font>
    <font>
      <name val="Calibri"/>
      <i val="1"/>
      <color rgb="006B7280"/>
      <sz val="10"/>
    </font>
    <font>
      <name val="Calibri"/>
      <b val="1"/>
      <color rgb="00D4AF37"/>
      <sz val="10"/>
    </font>
    <font>
      <name val="Calibri"/>
      <b val="1"/>
      <color rgb="00000000"/>
      <sz val="11"/>
    </font>
    <font>
      <name val="Calibri"/>
      <color rgb="000000FF"/>
      <sz val="11"/>
    </font>
    <font>
      <name val="Calibri"/>
      <color rgb="00111827"/>
      <sz val="11"/>
    </font>
    <font>
      <name val="Calibri"/>
      <color rgb="009CA3AF"/>
      <sz val="9"/>
    </font>
    <font>
      <name val="Calibri"/>
      <color rgb="004B5563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374151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4" fillId="2" borderId="0" applyAlignment="1" pivotButton="0" quotePrefix="0" xfId="0">
      <alignment horizontal="right" vertical="center"/>
    </xf>
    <xf numFmtId="0" fontId="5" fillId="2" borderId="0" pivotButton="0" quotePrefix="0" xfId="0"/>
    <xf numFmtId="164" fontId="6" fillId="2" borderId="0" pivotButton="0" quotePrefix="0" xfId="0"/>
    <xf numFmtId="166" fontId="6" fillId="2" borderId="0" pivotButton="0" quotePrefix="0" xfId="0"/>
    <xf numFmtId="0" fontId="7" fillId="7" borderId="1" applyAlignment="1" pivotButton="0" quotePrefix="0" xfId="0">
      <alignment horizontal="center" vertical="center"/>
    </xf>
    <xf numFmtId="0" fontId="8" fillId="2" borderId="0" pivotButton="0" quotePrefix="0" xfId="0"/>
    <xf numFmtId="4" fontId="9" fillId="2" borderId="0" pivotButton="0" quotePrefix="0" xfId="0"/>
    <xf numFmtId="4" fontId="10" fillId="2" borderId="0" pivotButton="0" quotePrefix="0" xfId="0"/>
    <xf numFmtId="0" fontId="11" fillId="2" borderId="0" pivotButton="0" quotePrefix="0" xfId="0"/>
    <xf numFmtId="4" fontId="12" fillId="8" borderId="1" applyAlignment="1" pivotButton="0" quotePrefix="0" xfId="0">
      <alignment horizontal="right" vertical="center"/>
    </xf>
    <xf numFmtId="0" fontId="13" fillId="2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14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0" fontId="15" fillId="2" borderId="0" applyAlignment="1" pivotButton="0" quotePrefix="0" xfId="0">
      <alignment horizontal="left" vertical="center"/>
    </xf>
    <xf numFmtId="0" fontId="16" fillId="2" borderId="0" pivotButton="0" quotePrefix="0" xfId="0"/>
    <xf numFmtId="0" fontId="17" fillId="7" borderId="1" applyAlignment="1" pivotButton="0" quotePrefix="0" xfId="0">
      <alignment horizontal="center" vertical="center" wrapText="1"/>
    </xf>
    <xf numFmtId="0" fontId="18" fillId="2" borderId="1" pivotButton="0" quotePrefix="0" xfId="0"/>
    <xf numFmtId="0" fontId="2" fillId="2" borderId="1" applyAlignment="1" pivotButton="0" quotePrefix="0" xfId="0">
      <alignment horizontal="center"/>
    </xf>
    <xf numFmtId="0" fontId="19" fillId="10" borderId="2" applyAlignment="1" applyProtection="1" pivotButton="0" quotePrefix="0" xfId="0">
      <alignment horizontal="left" vertical="center"/>
      <protection locked="0" hidden="0"/>
    </xf>
    <xf numFmtId="4" fontId="19" fillId="10" borderId="2" applyAlignment="1" applyProtection="1" pivotButton="0" quotePrefix="0" xfId="0">
      <alignment horizontal="center" vertical="center"/>
      <protection locked="0" hidden="0"/>
    </xf>
    <xf numFmtId="4" fontId="20" fillId="8" borderId="1" applyAlignment="1" pivotButton="0" quotePrefix="0" xfId="0">
      <alignment horizontal="right" vertical="center"/>
    </xf>
    <xf numFmtId="167" fontId="19" fillId="10" borderId="2" applyAlignment="1" applyProtection="1" pivotButton="0" quotePrefix="0" xfId="0">
      <alignment horizontal="center" vertical="center"/>
      <protection locked="0" hidden="0"/>
    </xf>
    <xf numFmtId="3" fontId="19" fillId="10" borderId="2" applyAlignment="1" applyProtection="1" pivotButton="0" quotePrefix="0" xfId="0">
      <alignment horizontal="center" vertical="center"/>
      <protection locked="0" hidden="0"/>
    </xf>
    <xf numFmtId="164" fontId="20" fillId="8" borderId="1" applyAlignment="1" pivotButton="0" quotePrefix="0" xfId="0">
      <alignment horizontal="right" vertical="center"/>
    </xf>
    <xf numFmtId="0" fontId="21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22" fillId="2" borderId="0" pivotButton="0" quotePrefix="0" xfId="0"/>
  </cellXfs>
  <cellStyles count="1">
    <cellStyle name="Normal" xfId="0" builtinId="0" hidden="0"/>
  </cellStyles>
  <dxfs count="2">
    <dxf>
      <font>
        <b val="1"/>
        <color rgb="00E74C3C"/>
      </font>
      <fill>
        <patternFill patternType="solid">
          <fgColor rgb="00FEE2E2"/>
        </patternFill>
      </fill>
    </dxf>
    <dxf>
      <font>
        <b val="1"/>
        <color rgb="0027AE60"/>
      </font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 Costo de Ventas Mensual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solidFill xmlns:a="http://schemas.openxmlformats.org/drawingml/2006/main">
              <a:srgbClr val="16A08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'Dashboard'!$B$20:$B$31</f>
            </numRef>
          </cat>
          <val>
            <numRef>
              <f>'Dashboard'!$C$20:$C$31</f>
            </numRef>
          </val>
        </ser>
        <ser>
          <idx val="1"/>
          <order val="1"/>
          <tx>
            <strRef>
              <f>'Dashboard'!D19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'Dashboard'!$B$20:$B$31</f>
            </numRef>
          </cat>
          <val>
            <numRef>
              <f>'Dashboard'!$D$20:$D$31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Bs.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Evolucion del Margen Bruto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'Dashboard'!G19</f>
            </strRef>
          </tx>
          <spPr>
            <a:ln xmlns:a="http://schemas.openxmlformats.org/drawingml/2006/main" w="28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'Dashboard'!$F$20:$F$31</f>
            </numRef>
          </cat>
          <val>
            <numRef>
              <f>'Dashboard'!$G$20:$G$31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32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3" customWidth="1" min="5" max="5"/>
    <col width="22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GESTOR DE COSTO DE VENTAS</t>
        </is>
      </c>
      <c r="I2" s="1" t="n"/>
    </row>
    <row r="3">
      <c r="A3" s="1" t="n"/>
      <c r="B3" s="3" t="inlineStr">
        <is>
          <t>No Somos Ignorantes  |  v1.0  |  Analisis de margen bruto</t>
        </is>
      </c>
      <c r="I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VENTAS TOTALES (Bs.)</t>
        </is>
      </c>
      <c r="E5" s="1" t="n"/>
      <c r="F5" s="5" t="inlineStr">
        <is>
          <t>COSTO DE VENTAS (Bs.)</t>
        </is>
      </c>
      <c r="I5" s="1" t="n"/>
    </row>
    <row r="6">
      <c r="A6" s="1" t="n"/>
      <c r="B6" s="6">
        <f>IFERROR(SUM(Ventas!G4:G203),0)</f>
        <v/>
      </c>
      <c r="E6" s="1" t="n"/>
      <c r="F6" s="6">
        <f>IFERROR(SUM(Ventas!H4:H203),0)</f>
        <v/>
      </c>
      <c r="I6" s="1" t="n"/>
    </row>
    <row r="7" ht="4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7" t="inlineStr">
        <is>
          <t>UTILIDAD BRUTA (Bs.)</t>
        </is>
      </c>
      <c r="E8" s="1" t="n"/>
      <c r="F8" s="8" t="inlineStr">
        <is>
          <t>ROTACION DE INVENTARIO</t>
        </is>
      </c>
      <c r="I8" s="1" t="n"/>
    </row>
    <row r="9">
      <c r="A9" s="1" t="n"/>
      <c r="B9" s="6">
        <f>B6-F6</f>
        <v/>
      </c>
      <c r="E9" s="1" t="n"/>
      <c r="F9" s="9">
        <f>IFERROR(F6/((Inventario!C4+Inventario!D4)/2),0)</f>
        <v/>
      </c>
      <c r="I9" s="1" t="n"/>
    </row>
    <row r="10">
      <c r="A10" s="1" t="n"/>
      <c r="B10" s="10" t="inlineStr">
        <is>
          <t>Margen bruto:</t>
        </is>
      </c>
      <c r="C10" s="11">
        <f>IFERROR(B9/B6,0)</f>
        <v/>
      </c>
      <c r="E10" s="1" t="n"/>
      <c r="F10" s="10" t="inlineStr">
        <is>
          <t>Dias de inventario:</t>
        </is>
      </c>
      <c r="G10" s="12">
        <f>IFERROR(365/F9,0)</f>
        <v/>
      </c>
      <c r="I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3" t="inlineStr">
        <is>
          <t>FORMULA: Inv. Inicial + Compras - Inv. Final = Costo de Ventas</t>
        </is>
      </c>
      <c r="I12" s="1" t="n"/>
    </row>
    <row r="13">
      <c r="A13" s="1" t="n"/>
      <c r="B13" s="14" t="inlineStr">
        <is>
          <t>Inventario Inicial:</t>
        </is>
      </c>
      <c r="C13" s="1" t="n"/>
      <c r="D13" s="15">
        <f>Inventario!C4</f>
        <v/>
      </c>
      <c r="E13" s="1" t="n"/>
      <c r="F13" s="1" t="n"/>
      <c r="G13" s="1" t="n"/>
      <c r="H13" s="1" t="n"/>
      <c r="I13" s="1" t="n"/>
    </row>
    <row r="14">
      <c r="A14" s="1" t="n"/>
      <c r="B14" s="14" t="inlineStr">
        <is>
          <t>(+) Compras del Periodo:</t>
        </is>
      </c>
      <c r="C14" s="1" t="n"/>
      <c r="D14" s="15">
        <f>SUM(Compras!E4:E203)</f>
        <v/>
      </c>
      <c r="E14" s="1" t="n"/>
      <c r="F14" s="1" t="n"/>
      <c r="G14" s="1" t="n"/>
      <c r="H14" s="1" t="n"/>
      <c r="I14" s="1" t="n"/>
    </row>
    <row r="15">
      <c r="A15" s="1" t="n"/>
      <c r="B15" s="14" t="inlineStr">
        <is>
          <t>(-) Inventario Final:</t>
        </is>
      </c>
      <c r="C15" s="1" t="n"/>
      <c r="D15" s="16">
        <f>Inventario!D4</f>
        <v/>
      </c>
      <c r="E15" s="1" t="n"/>
      <c r="F15" s="1" t="n"/>
      <c r="G15" s="1" t="n"/>
      <c r="H15" s="1" t="n"/>
      <c r="I15" s="1" t="n"/>
    </row>
    <row r="16">
      <c r="A16" s="1" t="n"/>
      <c r="B16" s="17" t="inlineStr">
        <is>
          <t>(=) Costo de Ventas:</t>
        </is>
      </c>
      <c r="C16" s="1" t="n"/>
      <c r="D16" s="18">
        <f>D13+D14-D15</f>
        <v/>
      </c>
      <c r="E16" s="1" t="n"/>
      <c r="F16" s="1" t="n"/>
      <c r="G16" s="1" t="n"/>
      <c r="H16" s="1" t="n"/>
      <c r="I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9" t="inlineStr">
        <is>
          <t>MARGEN BRUTO MENSUAL</t>
        </is>
      </c>
      <c r="C18" s="1" t="n"/>
      <c r="D18" s="1" t="n"/>
      <c r="E18" s="1" t="n"/>
      <c r="F18" s="19" t="inlineStr">
        <is>
          <t>% MARGEN BRUTO MENSUAL</t>
        </is>
      </c>
      <c r="G18" s="1" t="n"/>
      <c r="H18" s="1" t="n"/>
      <c r="I18" s="1" t="n"/>
    </row>
    <row r="19">
      <c r="A19" s="1" t="n"/>
      <c r="B19" s="20" t="inlineStr">
        <is>
          <t>Mes</t>
        </is>
      </c>
      <c r="C19" s="20" t="inlineStr">
        <is>
          <t>Ventas</t>
        </is>
      </c>
      <c r="D19" s="20" t="inlineStr">
        <is>
          <t>COGS</t>
        </is>
      </c>
      <c r="E19" s="1" t="n"/>
      <c r="F19" s="20" t="inlineStr">
        <is>
          <t>Mes</t>
        </is>
      </c>
      <c r="G19" s="20" t="inlineStr">
        <is>
          <t>Margen %</t>
        </is>
      </c>
      <c r="H19" s="1" t="n"/>
      <c r="I19" s="1" t="n"/>
    </row>
    <row r="20">
      <c r="A20" s="1" t="n"/>
      <c r="B20" s="21" t="inlineStr">
        <is>
          <t>Ene</t>
        </is>
      </c>
      <c r="C20" s="22">
        <f>IFERROR(SUMPRODUCT((MONTH(Ventas!A4:A203)=1)*Ventas!G4:G203),0)</f>
        <v/>
      </c>
      <c r="D20" s="22">
        <f>IFERROR(SUMPRODUCT((MONTH(Ventas!A4:A203)=1)*Ventas!H4:H203),0)</f>
        <v/>
      </c>
      <c r="E20" s="1" t="n"/>
      <c r="F20" s="21" t="inlineStr">
        <is>
          <t>Ene</t>
        </is>
      </c>
      <c r="G20" s="23">
        <f>IFERROR((C20-D20)/C20,0)</f>
        <v/>
      </c>
      <c r="H20" s="1" t="n"/>
      <c r="I20" s="1" t="n"/>
    </row>
    <row r="21">
      <c r="A21" s="1" t="n"/>
      <c r="B21" s="21" t="inlineStr">
        <is>
          <t>Feb</t>
        </is>
      </c>
      <c r="C21" s="22">
        <f>IFERROR(SUMPRODUCT((MONTH(Ventas!A4:A203)=2)*Ventas!G4:G203),0)</f>
        <v/>
      </c>
      <c r="D21" s="22">
        <f>IFERROR(SUMPRODUCT((MONTH(Ventas!A4:A203)=2)*Ventas!H4:H203),0)</f>
        <v/>
      </c>
      <c r="E21" s="1" t="n"/>
      <c r="F21" s="21" t="inlineStr">
        <is>
          <t>Feb</t>
        </is>
      </c>
      <c r="G21" s="23">
        <f>IFERROR((C21-D21)/C21,0)</f>
        <v/>
      </c>
      <c r="H21" s="1" t="n"/>
      <c r="I21" s="1" t="n"/>
    </row>
    <row r="22">
      <c r="A22" s="1" t="n"/>
      <c r="B22" s="21" t="inlineStr">
        <is>
          <t>Mar</t>
        </is>
      </c>
      <c r="C22" s="22">
        <f>IFERROR(SUMPRODUCT((MONTH(Ventas!A4:A203)=3)*Ventas!G4:G203),0)</f>
        <v/>
      </c>
      <c r="D22" s="22">
        <f>IFERROR(SUMPRODUCT((MONTH(Ventas!A4:A203)=3)*Ventas!H4:H203),0)</f>
        <v/>
      </c>
      <c r="E22" s="1" t="n"/>
      <c r="F22" s="21" t="inlineStr">
        <is>
          <t>Mar</t>
        </is>
      </c>
      <c r="G22" s="23">
        <f>IFERROR((C22-D22)/C22,0)</f>
        <v/>
      </c>
      <c r="H22" s="1" t="n"/>
      <c r="I22" s="1" t="n"/>
    </row>
    <row r="23">
      <c r="A23" s="1" t="n"/>
      <c r="B23" s="21" t="inlineStr">
        <is>
          <t>Abr</t>
        </is>
      </c>
      <c r="C23" s="22">
        <f>IFERROR(SUMPRODUCT((MONTH(Ventas!A4:A203)=4)*Ventas!G4:G203),0)</f>
        <v/>
      </c>
      <c r="D23" s="22">
        <f>IFERROR(SUMPRODUCT((MONTH(Ventas!A4:A203)=4)*Ventas!H4:H203),0)</f>
        <v/>
      </c>
      <c r="E23" s="1" t="n"/>
      <c r="F23" s="21" t="inlineStr">
        <is>
          <t>Abr</t>
        </is>
      </c>
      <c r="G23" s="23">
        <f>IFERROR((C23-D23)/C23,0)</f>
        <v/>
      </c>
      <c r="H23" s="1" t="n"/>
      <c r="I23" s="1" t="n"/>
    </row>
    <row r="24">
      <c r="A24" s="1" t="n"/>
      <c r="B24" s="21" t="inlineStr">
        <is>
          <t>May</t>
        </is>
      </c>
      <c r="C24" s="22">
        <f>IFERROR(SUMPRODUCT((MONTH(Ventas!A4:A203)=5)*Ventas!G4:G203),0)</f>
        <v/>
      </c>
      <c r="D24" s="22">
        <f>IFERROR(SUMPRODUCT((MONTH(Ventas!A4:A203)=5)*Ventas!H4:H203),0)</f>
        <v/>
      </c>
      <c r="E24" s="1" t="n"/>
      <c r="F24" s="21" t="inlineStr">
        <is>
          <t>May</t>
        </is>
      </c>
      <c r="G24" s="23">
        <f>IFERROR((C24-D24)/C24,0)</f>
        <v/>
      </c>
      <c r="H24" s="1" t="n"/>
      <c r="I24" s="1" t="n"/>
    </row>
    <row r="25">
      <c r="A25" s="1" t="n"/>
      <c r="B25" s="21" t="inlineStr">
        <is>
          <t>Jun</t>
        </is>
      </c>
      <c r="C25" s="22">
        <f>IFERROR(SUMPRODUCT((MONTH(Ventas!A4:A203)=6)*Ventas!G4:G203),0)</f>
        <v/>
      </c>
      <c r="D25" s="22">
        <f>IFERROR(SUMPRODUCT((MONTH(Ventas!A4:A203)=6)*Ventas!H4:H203),0)</f>
        <v/>
      </c>
      <c r="E25" s="1" t="n"/>
      <c r="F25" s="21" t="inlineStr">
        <is>
          <t>Jun</t>
        </is>
      </c>
      <c r="G25" s="23">
        <f>IFERROR((C25-D25)/C25,0)</f>
        <v/>
      </c>
      <c r="H25" s="1" t="n"/>
      <c r="I25" s="1" t="n"/>
    </row>
    <row r="26">
      <c r="A26" s="1" t="n"/>
      <c r="B26" s="21" t="inlineStr">
        <is>
          <t>Jul</t>
        </is>
      </c>
      <c r="C26" s="22">
        <f>IFERROR(SUMPRODUCT((MONTH(Ventas!A4:A203)=7)*Ventas!G4:G203),0)</f>
        <v/>
      </c>
      <c r="D26" s="22">
        <f>IFERROR(SUMPRODUCT((MONTH(Ventas!A4:A203)=7)*Ventas!H4:H203),0)</f>
        <v/>
      </c>
      <c r="E26" s="1" t="n"/>
      <c r="F26" s="21" t="inlineStr">
        <is>
          <t>Jul</t>
        </is>
      </c>
      <c r="G26" s="23">
        <f>IFERROR((C26-D26)/C26,0)</f>
        <v/>
      </c>
      <c r="H26" s="1" t="n"/>
      <c r="I26" s="1" t="n"/>
    </row>
    <row r="27">
      <c r="A27" s="1" t="n"/>
      <c r="B27" s="21" t="inlineStr">
        <is>
          <t>Ago</t>
        </is>
      </c>
      <c r="C27" s="22">
        <f>IFERROR(SUMPRODUCT((MONTH(Ventas!A4:A203)=8)*Ventas!G4:G203),0)</f>
        <v/>
      </c>
      <c r="D27" s="22">
        <f>IFERROR(SUMPRODUCT((MONTH(Ventas!A4:A203)=8)*Ventas!H4:H203),0)</f>
        <v/>
      </c>
      <c r="E27" s="1" t="n"/>
      <c r="F27" s="21" t="inlineStr">
        <is>
          <t>Ago</t>
        </is>
      </c>
      <c r="G27" s="23">
        <f>IFERROR((C27-D27)/C27,0)</f>
        <v/>
      </c>
      <c r="H27" s="1" t="n"/>
      <c r="I27" s="1" t="n"/>
    </row>
    <row r="28">
      <c r="A28" s="1" t="n"/>
      <c r="B28" s="21" t="inlineStr">
        <is>
          <t>Sep</t>
        </is>
      </c>
      <c r="C28" s="22">
        <f>IFERROR(SUMPRODUCT((MONTH(Ventas!A4:A203)=9)*Ventas!G4:G203),0)</f>
        <v/>
      </c>
      <c r="D28" s="22">
        <f>IFERROR(SUMPRODUCT((MONTH(Ventas!A4:A203)=9)*Ventas!H4:H203),0)</f>
        <v/>
      </c>
      <c r="E28" s="1" t="n"/>
      <c r="F28" s="21" t="inlineStr">
        <is>
          <t>Sep</t>
        </is>
      </c>
      <c r="G28" s="23">
        <f>IFERROR((C28-D28)/C28,0)</f>
        <v/>
      </c>
      <c r="H28" s="1" t="n"/>
      <c r="I28" s="1" t="n"/>
    </row>
    <row r="29">
      <c r="A29" s="1" t="n"/>
      <c r="B29" s="21" t="inlineStr">
        <is>
          <t>Oct</t>
        </is>
      </c>
      <c r="C29" s="22">
        <f>IFERROR(SUMPRODUCT((MONTH(Ventas!A4:A203)=10)*Ventas!G4:G203),0)</f>
        <v/>
      </c>
      <c r="D29" s="22">
        <f>IFERROR(SUMPRODUCT((MONTH(Ventas!A4:A203)=10)*Ventas!H4:H203),0)</f>
        <v/>
      </c>
      <c r="E29" s="1" t="n"/>
      <c r="F29" s="21" t="inlineStr">
        <is>
          <t>Oct</t>
        </is>
      </c>
      <c r="G29" s="23">
        <f>IFERROR((C29-D29)/C29,0)</f>
        <v/>
      </c>
      <c r="H29" s="1" t="n"/>
      <c r="I29" s="1" t="n"/>
    </row>
    <row r="30">
      <c r="A30" s="1" t="n"/>
      <c r="B30" s="21" t="inlineStr">
        <is>
          <t>Nov</t>
        </is>
      </c>
      <c r="C30" s="22">
        <f>IFERROR(SUMPRODUCT((MONTH(Ventas!A4:A203)=11)*Ventas!G4:G203),0)</f>
        <v/>
      </c>
      <c r="D30" s="22">
        <f>IFERROR(SUMPRODUCT((MONTH(Ventas!A4:A203)=11)*Ventas!H4:H203),0)</f>
        <v/>
      </c>
      <c r="E30" s="1" t="n"/>
      <c r="F30" s="21" t="inlineStr">
        <is>
          <t>Nov</t>
        </is>
      </c>
      <c r="G30" s="23">
        <f>IFERROR((C30-D30)/C30,0)</f>
        <v/>
      </c>
      <c r="H30" s="1" t="n"/>
      <c r="I30" s="1" t="n"/>
    </row>
    <row r="31">
      <c r="A31" s="1" t="n"/>
      <c r="B31" s="21" t="inlineStr">
        <is>
          <t>Dic</t>
        </is>
      </c>
      <c r="C31" s="22">
        <f>IFERROR(SUMPRODUCT((MONTH(Ventas!A4:A203)=12)*Ventas!G4:G203),0)</f>
        <v/>
      </c>
      <c r="D31" s="22">
        <f>IFERROR(SUMPRODUCT((MONTH(Ventas!A4:A203)=12)*Ventas!H4:H203),0)</f>
        <v/>
      </c>
      <c r="E31" s="1" t="n"/>
      <c r="F31" s="21" t="inlineStr">
        <is>
          <t>Dic</t>
        </is>
      </c>
      <c r="G31" s="23">
        <f>IFERROR((C31-D31)/C31,0)</f>
        <v/>
      </c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3">
    <mergeCell ref="B5:D5"/>
    <mergeCell ref="F6:H6"/>
    <mergeCell ref="F5:H5"/>
    <mergeCell ref="C10:D10"/>
    <mergeCell ref="B8:D8"/>
    <mergeCell ref="G10:H10"/>
    <mergeCell ref="B12:H12"/>
    <mergeCell ref="B9:D9"/>
    <mergeCell ref="F8:H8"/>
    <mergeCell ref="B2:H2"/>
    <mergeCell ref="F9:H9"/>
    <mergeCell ref="B3:H3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4" t="inlineStr">
        <is>
          <t>INVENTARIO INICIAL Y FINAL</t>
        </is>
      </c>
    </row>
    <row r="2">
      <c r="A2" s="25" t="inlineStr">
        <is>
          <t>Ingresa el valor del inventario al inicio y final del periodo para calcular el costo de ventas.</t>
        </is>
      </c>
    </row>
    <row r="3" ht="28" customHeight="1">
      <c r="A3" s="26" t="inlineStr">
        <is>
          <t>#</t>
        </is>
      </c>
      <c r="B3" s="26" t="inlineStr">
        <is>
          <t>CATEGORIA / PRODUCTO</t>
        </is>
      </c>
      <c r="C3" s="26" t="inlineStr">
        <is>
          <t>INV. INICIAL (Bs.)</t>
        </is>
      </c>
      <c r="D3" s="26" t="inlineStr">
        <is>
          <t>INV. FINAL (Bs.)</t>
        </is>
      </c>
      <c r="E3" s="26" t="inlineStr">
        <is>
          <t>VARIACION</t>
        </is>
      </c>
    </row>
    <row r="4">
      <c r="A4" s="1" t="inlineStr"/>
      <c r="B4" s="27" t="inlineStr">
        <is>
          <t>TOTAL INVENTARIO</t>
        </is>
      </c>
      <c r="C4" s="18">
        <f>SUM(C5:C34)</f>
        <v/>
      </c>
      <c r="D4" s="18">
        <f>SUM(D5:D34)</f>
        <v/>
      </c>
      <c r="E4" s="18">
        <f>D4-C4</f>
        <v/>
      </c>
    </row>
    <row r="5">
      <c r="A5" s="28">
        <f>IF(B5="","",ROW()-4)</f>
        <v/>
      </c>
      <c r="B5" s="29" t="inlineStr">
        <is>
          <t>Materia Prima A</t>
        </is>
      </c>
      <c r="C5" s="30" t="n">
        <v>25000</v>
      </c>
      <c r="D5" s="30" t="n">
        <v>22000</v>
      </c>
      <c r="E5" s="31">
        <f>IFERROR(D5-C5,0)</f>
        <v/>
      </c>
    </row>
    <row r="6">
      <c r="A6" s="28">
        <f>IF(B6="","",ROW()-4)</f>
        <v/>
      </c>
      <c r="B6" s="29" t="inlineStr">
        <is>
          <t>Materia Prima B</t>
        </is>
      </c>
      <c r="C6" s="30" t="n">
        <v>15000</v>
      </c>
      <c r="D6" s="30" t="n">
        <v>18000</v>
      </c>
      <c r="E6" s="31">
        <f>IFERROR(D6-C6,0)</f>
        <v/>
      </c>
    </row>
    <row r="7">
      <c r="A7" s="28">
        <f>IF(B7="","",ROW()-4)</f>
        <v/>
      </c>
      <c r="B7" s="29" t="inlineStr">
        <is>
          <t>Productos en Proceso</t>
        </is>
      </c>
      <c r="C7" s="30" t="n">
        <v>8000</v>
      </c>
      <c r="D7" s="30" t="n">
        <v>6000</v>
      </c>
      <c r="E7" s="31">
        <f>IFERROR(D7-C7,0)</f>
        <v/>
      </c>
    </row>
    <row r="8">
      <c r="A8" s="28">
        <f>IF(B8="","",ROW()-4)</f>
        <v/>
      </c>
      <c r="B8" s="29" t="inlineStr">
        <is>
          <t>Productos Terminados</t>
        </is>
      </c>
      <c r="C8" s="30" t="n">
        <v>30000</v>
      </c>
      <c r="D8" s="30" t="n">
        <v>28000</v>
      </c>
      <c r="E8" s="31">
        <f>IFERROR(D8-C8,0)</f>
        <v/>
      </c>
    </row>
    <row r="9">
      <c r="A9" s="28">
        <f>IF(B9="","",ROW()-4)</f>
        <v/>
      </c>
      <c r="B9" s="29" t="inlineStr">
        <is>
          <t>Suministros</t>
        </is>
      </c>
      <c r="C9" s="30" t="n">
        <v>5000</v>
      </c>
      <c r="D9" s="30" t="n">
        <v>4500</v>
      </c>
      <c r="E9" s="31">
        <f>IFERROR(D9-C9,0)</f>
        <v/>
      </c>
    </row>
    <row r="10">
      <c r="A10" s="28">
        <f>IF(B10="","",ROW()-4)</f>
        <v/>
      </c>
      <c r="B10" s="29" t="n"/>
      <c r="C10" s="30" t="n"/>
      <c r="D10" s="30" t="n"/>
      <c r="E10" s="31">
        <f>IFERROR(D10-C10,0)</f>
        <v/>
      </c>
    </row>
    <row r="11">
      <c r="A11" s="28">
        <f>IF(B11="","",ROW()-4)</f>
        <v/>
      </c>
      <c r="B11" s="29" t="n"/>
      <c r="C11" s="30" t="n"/>
      <c r="D11" s="30" t="n"/>
      <c r="E11" s="31">
        <f>IFERROR(D11-C11,0)</f>
        <v/>
      </c>
    </row>
    <row r="12">
      <c r="A12" s="28">
        <f>IF(B12="","",ROW()-4)</f>
        <v/>
      </c>
      <c r="B12" s="29" t="n"/>
      <c r="C12" s="30" t="n"/>
      <c r="D12" s="30" t="n"/>
      <c r="E12" s="31">
        <f>IFERROR(D12-C12,0)</f>
        <v/>
      </c>
    </row>
    <row r="13">
      <c r="A13" s="28">
        <f>IF(B13="","",ROW()-4)</f>
        <v/>
      </c>
      <c r="B13" s="29" t="n"/>
      <c r="C13" s="30" t="n"/>
      <c r="D13" s="30" t="n"/>
      <c r="E13" s="31">
        <f>IFERROR(D13-C13,0)</f>
        <v/>
      </c>
    </row>
    <row r="14">
      <c r="A14" s="28">
        <f>IF(B14="","",ROW()-4)</f>
        <v/>
      </c>
      <c r="B14" s="29" t="n"/>
      <c r="C14" s="30" t="n"/>
      <c r="D14" s="30" t="n"/>
      <c r="E14" s="31">
        <f>IFERROR(D14-C14,0)</f>
        <v/>
      </c>
    </row>
    <row r="15">
      <c r="A15" s="28">
        <f>IF(B15="","",ROW()-4)</f>
        <v/>
      </c>
      <c r="B15" s="29" t="n"/>
      <c r="C15" s="30" t="n"/>
      <c r="D15" s="30" t="n"/>
      <c r="E15" s="31">
        <f>IFERROR(D15-C15,0)</f>
        <v/>
      </c>
    </row>
    <row r="16">
      <c r="A16" s="28">
        <f>IF(B16="","",ROW()-4)</f>
        <v/>
      </c>
      <c r="B16" s="29" t="n"/>
      <c r="C16" s="30" t="n"/>
      <c r="D16" s="30" t="n"/>
      <c r="E16" s="31">
        <f>IFERROR(D16-C16,0)</f>
        <v/>
      </c>
    </row>
    <row r="17">
      <c r="A17" s="28">
        <f>IF(B17="","",ROW()-4)</f>
        <v/>
      </c>
      <c r="B17" s="29" t="n"/>
      <c r="C17" s="30" t="n"/>
      <c r="D17" s="30" t="n"/>
      <c r="E17" s="31">
        <f>IFERROR(D17-C17,0)</f>
        <v/>
      </c>
    </row>
    <row r="18">
      <c r="A18" s="28">
        <f>IF(B18="","",ROW()-4)</f>
        <v/>
      </c>
      <c r="B18" s="29" t="n"/>
      <c r="C18" s="30" t="n"/>
      <c r="D18" s="30" t="n"/>
      <c r="E18" s="31">
        <f>IFERROR(D18-C18,0)</f>
        <v/>
      </c>
    </row>
    <row r="19">
      <c r="A19" s="28">
        <f>IF(B19="","",ROW()-4)</f>
        <v/>
      </c>
      <c r="B19" s="29" t="n"/>
      <c r="C19" s="30" t="n"/>
      <c r="D19" s="30" t="n"/>
      <c r="E19" s="31">
        <f>IFERROR(D19-C19,0)</f>
        <v/>
      </c>
    </row>
    <row r="20">
      <c r="A20" s="28">
        <f>IF(B20="","",ROW()-4)</f>
        <v/>
      </c>
      <c r="B20" s="29" t="n"/>
      <c r="C20" s="30" t="n"/>
      <c r="D20" s="30" t="n"/>
      <c r="E20" s="31">
        <f>IFERROR(D20-C20,0)</f>
        <v/>
      </c>
    </row>
    <row r="21">
      <c r="A21" s="28">
        <f>IF(B21="","",ROW()-4)</f>
        <v/>
      </c>
      <c r="B21" s="29" t="n"/>
      <c r="C21" s="30" t="n"/>
      <c r="D21" s="30" t="n"/>
      <c r="E21" s="31">
        <f>IFERROR(D21-C21,0)</f>
        <v/>
      </c>
    </row>
    <row r="22">
      <c r="A22" s="28">
        <f>IF(B22="","",ROW()-4)</f>
        <v/>
      </c>
      <c r="B22" s="29" t="n"/>
      <c r="C22" s="30" t="n"/>
      <c r="D22" s="30" t="n"/>
      <c r="E22" s="31">
        <f>IFERROR(D22-C22,0)</f>
        <v/>
      </c>
    </row>
    <row r="23">
      <c r="A23" s="28">
        <f>IF(B23="","",ROW()-4)</f>
        <v/>
      </c>
      <c r="B23" s="29" t="n"/>
      <c r="C23" s="30" t="n"/>
      <c r="D23" s="30" t="n"/>
      <c r="E23" s="31">
        <f>IFERROR(D23-C23,0)</f>
        <v/>
      </c>
    </row>
    <row r="24">
      <c r="A24" s="28">
        <f>IF(B24="","",ROW()-4)</f>
        <v/>
      </c>
      <c r="B24" s="29" t="n"/>
      <c r="C24" s="30" t="n"/>
      <c r="D24" s="30" t="n"/>
      <c r="E24" s="31">
        <f>IFERROR(D24-C24,0)</f>
        <v/>
      </c>
    </row>
    <row r="25">
      <c r="A25" s="28">
        <f>IF(B25="","",ROW()-4)</f>
        <v/>
      </c>
      <c r="B25" s="29" t="n"/>
      <c r="C25" s="30" t="n"/>
      <c r="D25" s="30" t="n"/>
      <c r="E25" s="31">
        <f>IFERROR(D25-C25,0)</f>
        <v/>
      </c>
    </row>
    <row r="26">
      <c r="A26" s="28">
        <f>IF(B26="","",ROW()-4)</f>
        <v/>
      </c>
      <c r="B26" s="29" t="n"/>
      <c r="C26" s="30" t="n"/>
      <c r="D26" s="30" t="n"/>
      <c r="E26" s="31">
        <f>IFERROR(D26-C26,0)</f>
        <v/>
      </c>
    </row>
    <row r="27">
      <c r="A27" s="28">
        <f>IF(B27="","",ROW()-4)</f>
        <v/>
      </c>
      <c r="B27" s="29" t="n"/>
      <c r="C27" s="30" t="n"/>
      <c r="D27" s="30" t="n"/>
      <c r="E27" s="31">
        <f>IFERROR(D27-C27,0)</f>
        <v/>
      </c>
    </row>
    <row r="28">
      <c r="A28" s="28">
        <f>IF(B28="","",ROW()-4)</f>
        <v/>
      </c>
      <c r="B28" s="29" t="n"/>
      <c r="C28" s="30" t="n"/>
      <c r="D28" s="30" t="n"/>
      <c r="E28" s="31">
        <f>IFERROR(D28-C28,0)</f>
        <v/>
      </c>
    </row>
    <row r="29">
      <c r="A29" s="28">
        <f>IF(B29="","",ROW()-4)</f>
        <v/>
      </c>
      <c r="B29" s="29" t="n"/>
      <c r="C29" s="30" t="n"/>
      <c r="D29" s="30" t="n"/>
      <c r="E29" s="31">
        <f>IFERROR(D29-C29,0)</f>
        <v/>
      </c>
    </row>
    <row r="30">
      <c r="A30" s="28">
        <f>IF(B30="","",ROW()-4)</f>
        <v/>
      </c>
      <c r="B30" s="29" t="n"/>
      <c r="C30" s="30" t="n"/>
      <c r="D30" s="30" t="n"/>
      <c r="E30" s="31">
        <f>IFERROR(D30-C30,0)</f>
        <v/>
      </c>
    </row>
    <row r="31">
      <c r="A31" s="28">
        <f>IF(B31="","",ROW()-4)</f>
        <v/>
      </c>
      <c r="B31" s="29" t="n"/>
      <c r="C31" s="30" t="n"/>
      <c r="D31" s="30" t="n"/>
      <c r="E31" s="31">
        <f>IFERROR(D31-C31,0)</f>
        <v/>
      </c>
    </row>
    <row r="32">
      <c r="A32" s="28">
        <f>IF(B32="","",ROW()-4)</f>
        <v/>
      </c>
      <c r="B32" s="29" t="n"/>
      <c r="C32" s="30" t="n"/>
      <c r="D32" s="30" t="n"/>
      <c r="E32" s="31">
        <f>IFERROR(D32-C32,0)</f>
        <v/>
      </c>
    </row>
    <row r="33">
      <c r="A33" s="28">
        <f>IF(B33="","",ROW()-4)</f>
        <v/>
      </c>
      <c r="B33" s="29" t="n"/>
      <c r="C33" s="30" t="n"/>
      <c r="D33" s="30" t="n"/>
      <c r="E33" s="31">
        <f>IFERROR(D33-C33,0)</f>
        <v/>
      </c>
    </row>
    <row r="34">
      <c r="A34" s="28">
        <f>IF(B34="","",ROW()-4)</f>
        <v/>
      </c>
      <c r="B34" s="29" t="n"/>
      <c r="C34" s="30" t="n"/>
      <c r="D34" s="30" t="n"/>
      <c r="E34" s="31">
        <f>IFERROR(D34-C34,0)</f>
        <v/>
      </c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E2"/>
    <mergeCell ref="A1:E1"/>
  </mergeCells>
  <conditionalFormatting sqref="E5:E3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085"/>
    <outlinePr summaryBelow="1" summaryRight="1"/>
    <pageSetUpPr/>
  </sheetPr>
  <dimension ref="A1:F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2" customWidth="1" min="4" max="4"/>
    <col width="18" customWidth="1" min="5" max="5"/>
    <col width="18" customWidth="1" min="6" max="6"/>
  </cols>
  <sheetData>
    <row r="1" ht="35" customHeight="1">
      <c r="A1" s="24" t="inlineStr">
        <is>
          <t>REGISTRO DE COMPRAS</t>
        </is>
      </c>
    </row>
    <row r="2">
      <c r="A2" s="25" t="inlineStr">
        <is>
          <t>Registra todas las compras de inventario/mercaderia del periodo.</t>
        </is>
      </c>
    </row>
    <row r="3" ht="28" customHeight="1">
      <c r="A3" s="26" t="inlineStr">
        <is>
          <t>FECHA</t>
        </is>
      </c>
      <c r="B3" s="26" t="inlineStr">
        <is>
          <t>PROVEEDOR</t>
        </is>
      </c>
      <c r="C3" s="26" t="inlineStr">
        <is>
          <t>PRODUCTO/DETALLE</t>
        </is>
      </c>
      <c r="D3" s="26" t="inlineStr">
        <is>
          <t>CANTIDAD</t>
        </is>
      </c>
      <c r="E3" s="26" t="inlineStr">
        <is>
          <t>TOTAL COMPRA (Bs.)</t>
        </is>
      </c>
      <c r="F3" s="26" t="inlineStr">
        <is>
          <t>OBSERVACION</t>
        </is>
      </c>
    </row>
    <row r="4">
      <c r="A4" s="32" t="n">
        <v>45662</v>
      </c>
      <c r="B4" s="29" t="inlineStr">
        <is>
          <t>Proveedor ABC</t>
        </is>
      </c>
      <c r="C4" s="29" t="inlineStr">
        <is>
          <t>Materia Prima A</t>
        </is>
      </c>
      <c r="D4" s="33" t="n">
        <v>100</v>
      </c>
      <c r="E4" s="30" t="n">
        <v>12500</v>
      </c>
      <c r="F4" s="29" t="n"/>
    </row>
    <row r="5">
      <c r="A5" s="32" t="n">
        <v>45667</v>
      </c>
      <c r="B5" s="29" t="inlineStr">
        <is>
          <t>Distribuidora XYZ</t>
        </is>
      </c>
      <c r="C5" s="29" t="inlineStr">
        <is>
          <t>Materia Prima B</t>
        </is>
      </c>
      <c r="D5" s="33" t="n">
        <v>50</v>
      </c>
      <c r="E5" s="30" t="n">
        <v>7500</v>
      </c>
      <c r="F5" s="29" t="n"/>
    </row>
    <row r="6">
      <c r="A6" s="32" t="n">
        <v>45672</v>
      </c>
      <c r="B6" s="29" t="inlineStr">
        <is>
          <t>Suministros SRL</t>
        </is>
      </c>
      <c r="C6" s="29" t="inlineStr">
        <is>
          <t>Suministros varios</t>
        </is>
      </c>
      <c r="D6" s="33" t="n">
        <v>1</v>
      </c>
      <c r="E6" s="30" t="n">
        <v>2000</v>
      </c>
      <c r="F6" s="29" t="n"/>
    </row>
    <row r="7">
      <c r="A7" s="32" t="n">
        <v>45689</v>
      </c>
      <c r="B7" s="29" t="inlineStr">
        <is>
          <t>Proveedor ABC</t>
        </is>
      </c>
      <c r="C7" s="29" t="inlineStr">
        <is>
          <t>Materia Prima A</t>
        </is>
      </c>
      <c r="D7" s="33" t="n">
        <v>80</v>
      </c>
      <c r="E7" s="30" t="n">
        <v>10000</v>
      </c>
      <c r="F7" s="29" t="n"/>
    </row>
    <row r="8">
      <c r="A8" s="32" t="n">
        <v>45693</v>
      </c>
      <c r="B8" s="29" t="inlineStr">
        <is>
          <t>Distribuidora XYZ</t>
        </is>
      </c>
      <c r="C8" s="29" t="inlineStr">
        <is>
          <t>Materia Prima B</t>
        </is>
      </c>
      <c r="D8" s="33" t="n">
        <v>60</v>
      </c>
      <c r="E8" s="30" t="n">
        <v>9000</v>
      </c>
      <c r="F8" s="29" t="n"/>
    </row>
    <row r="9">
      <c r="A9" s="32" t="n"/>
      <c r="B9" s="29" t="n"/>
      <c r="C9" s="29" t="n"/>
      <c r="D9" s="33" t="n"/>
      <c r="E9" s="30" t="n"/>
      <c r="F9" s="29" t="n"/>
    </row>
    <row r="10">
      <c r="A10" s="32" t="n"/>
      <c r="B10" s="29" t="n"/>
      <c r="C10" s="29" t="n"/>
      <c r="D10" s="33" t="n"/>
      <c r="E10" s="30" t="n"/>
      <c r="F10" s="29" t="n"/>
    </row>
    <row r="11">
      <c r="A11" s="32" t="n"/>
      <c r="B11" s="29" t="n"/>
      <c r="C11" s="29" t="n"/>
      <c r="D11" s="33" t="n"/>
      <c r="E11" s="30" t="n"/>
      <c r="F11" s="29" t="n"/>
    </row>
    <row r="12">
      <c r="A12" s="32" t="n"/>
      <c r="B12" s="29" t="n"/>
      <c r="C12" s="29" t="n"/>
      <c r="D12" s="33" t="n"/>
      <c r="E12" s="30" t="n"/>
      <c r="F12" s="29" t="n"/>
    </row>
    <row r="13">
      <c r="A13" s="32" t="n"/>
      <c r="B13" s="29" t="n"/>
      <c r="C13" s="29" t="n"/>
      <c r="D13" s="33" t="n"/>
      <c r="E13" s="30" t="n"/>
      <c r="F13" s="29" t="n"/>
    </row>
    <row r="14">
      <c r="A14" s="32" t="n"/>
      <c r="B14" s="29" t="n"/>
      <c r="C14" s="29" t="n"/>
      <c r="D14" s="33" t="n"/>
      <c r="E14" s="30" t="n"/>
      <c r="F14" s="29" t="n"/>
    </row>
    <row r="15">
      <c r="A15" s="32" t="n"/>
      <c r="B15" s="29" t="n"/>
      <c r="C15" s="29" t="n"/>
      <c r="D15" s="33" t="n"/>
      <c r="E15" s="30" t="n"/>
      <c r="F15" s="29" t="n"/>
    </row>
    <row r="16">
      <c r="A16" s="32" t="n"/>
      <c r="B16" s="29" t="n"/>
      <c r="C16" s="29" t="n"/>
      <c r="D16" s="33" t="n"/>
      <c r="E16" s="30" t="n"/>
      <c r="F16" s="29" t="n"/>
    </row>
    <row r="17">
      <c r="A17" s="32" t="n"/>
      <c r="B17" s="29" t="n"/>
      <c r="C17" s="29" t="n"/>
      <c r="D17" s="33" t="n"/>
      <c r="E17" s="30" t="n"/>
      <c r="F17" s="29" t="n"/>
    </row>
    <row r="18">
      <c r="A18" s="32" t="n"/>
      <c r="B18" s="29" t="n"/>
      <c r="C18" s="29" t="n"/>
      <c r="D18" s="33" t="n"/>
      <c r="E18" s="30" t="n"/>
      <c r="F18" s="29" t="n"/>
    </row>
    <row r="19">
      <c r="A19" s="32" t="n"/>
      <c r="B19" s="29" t="n"/>
      <c r="C19" s="29" t="n"/>
      <c r="D19" s="33" t="n"/>
      <c r="E19" s="30" t="n"/>
      <c r="F19" s="29" t="n"/>
    </row>
    <row r="20">
      <c r="A20" s="32" t="n"/>
      <c r="B20" s="29" t="n"/>
      <c r="C20" s="29" t="n"/>
      <c r="D20" s="33" t="n"/>
      <c r="E20" s="30" t="n"/>
      <c r="F20" s="29" t="n"/>
    </row>
    <row r="21">
      <c r="A21" s="32" t="n"/>
      <c r="B21" s="29" t="n"/>
      <c r="C21" s="29" t="n"/>
      <c r="D21" s="33" t="n"/>
      <c r="E21" s="30" t="n"/>
      <c r="F21" s="29" t="n"/>
    </row>
    <row r="22">
      <c r="A22" s="32" t="n"/>
      <c r="B22" s="29" t="n"/>
      <c r="C22" s="29" t="n"/>
      <c r="D22" s="33" t="n"/>
      <c r="E22" s="30" t="n"/>
      <c r="F22" s="29" t="n"/>
    </row>
    <row r="23">
      <c r="A23" s="32" t="n"/>
      <c r="B23" s="29" t="n"/>
      <c r="C23" s="29" t="n"/>
      <c r="D23" s="33" t="n"/>
      <c r="E23" s="30" t="n"/>
      <c r="F23" s="29" t="n"/>
    </row>
    <row r="24">
      <c r="A24" s="32" t="n"/>
      <c r="B24" s="29" t="n"/>
      <c r="C24" s="29" t="n"/>
      <c r="D24" s="33" t="n"/>
      <c r="E24" s="30" t="n"/>
      <c r="F24" s="29" t="n"/>
    </row>
    <row r="25">
      <c r="A25" s="32" t="n"/>
      <c r="B25" s="29" t="n"/>
      <c r="C25" s="29" t="n"/>
      <c r="D25" s="33" t="n"/>
      <c r="E25" s="30" t="n"/>
      <c r="F25" s="29" t="n"/>
    </row>
    <row r="26">
      <c r="A26" s="32" t="n"/>
      <c r="B26" s="29" t="n"/>
      <c r="C26" s="29" t="n"/>
      <c r="D26" s="33" t="n"/>
      <c r="E26" s="30" t="n"/>
      <c r="F26" s="29" t="n"/>
    </row>
    <row r="27">
      <c r="A27" s="32" t="n"/>
      <c r="B27" s="29" t="n"/>
      <c r="C27" s="29" t="n"/>
      <c r="D27" s="33" t="n"/>
      <c r="E27" s="30" t="n"/>
      <c r="F27" s="29" t="n"/>
    </row>
    <row r="28">
      <c r="A28" s="32" t="n"/>
      <c r="B28" s="29" t="n"/>
      <c r="C28" s="29" t="n"/>
      <c r="D28" s="33" t="n"/>
      <c r="E28" s="30" t="n"/>
      <c r="F28" s="29" t="n"/>
    </row>
    <row r="29">
      <c r="A29" s="32" t="n"/>
      <c r="B29" s="29" t="n"/>
      <c r="C29" s="29" t="n"/>
      <c r="D29" s="33" t="n"/>
      <c r="E29" s="30" t="n"/>
      <c r="F29" s="29" t="n"/>
    </row>
    <row r="30">
      <c r="A30" s="32" t="n"/>
      <c r="B30" s="29" t="n"/>
      <c r="C30" s="29" t="n"/>
      <c r="D30" s="33" t="n"/>
      <c r="E30" s="30" t="n"/>
      <c r="F30" s="29" t="n"/>
    </row>
    <row r="31">
      <c r="A31" s="32" t="n"/>
      <c r="B31" s="29" t="n"/>
      <c r="C31" s="29" t="n"/>
      <c r="D31" s="33" t="n"/>
      <c r="E31" s="30" t="n"/>
      <c r="F31" s="29" t="n"/>
    </row>
    <row r="32">
      <c r="A32" s="32" t="n"/>
      <c r="B32" s="29" t="n"/>
      <c r="C32" s="29" t="n"/>
      <c r="D32" s="33" t="n"/>
      <c r="E32" s="30" t="n"/>
      <c r="F32" s="29" t="n"/>
    </row>
    <row r="33">
      <c r="A33" s="32" t="n"/>
      <c r="B33" s="29" t="n"/>
      <c r="C33" s="29" t="n"/>
      <c r="D33" s="33" t="n"/>
      <c r="E33" s="30" t="n"/>
      <c r="F33" s="29" t="n"/>
    </row>
    <row r="34">
      <c r="A34" s="32" t="n"/>
      <c r="B34" s="29" t="n"/>
      <c r="C34" s="29" t="n"/>
      <c r="D34" s="33" t="n"/>
      <c r="E34" s="30" t="n"/>
      <c r="F34" s="29" t="n"/>
    </row>
    <row r="35">
      <c r="A35" s="32" t="n"/>
      <c r="B35" s="29" t="n"/>
      <c r="C35" s="29" t="n"/>
      <c r="D35" s="33" t="n"/>
      <c r="E35" s="30" t="n"/>
      <c r="F35" s="29" t="n"/>
    </row>
    <row r="36">
      <c r="A36" s="32" t="n"/>
      <c r="B36" s="29" t="n"/>
      <c r="C36" s="29" t="n"/>
      <c r="D36" s="33" t="n"/>
      <c r="E36" s="30" t="n"/>
      <c r="F36" s="29" t="n"/>
    </row>
    <row r="37">
      <c r="A37" s="32" t="n"/>
      <c r="B37" s="29" t="n"/>
      <c r="C37" s="29" t="n"/>
      <c r="D37" s="33" t="n"/>
      <c r="E37" s="30" t="n"/>
      <c r="F37" s="29" t="n"/>
    </row>
    <row r="38">
      <c r="A38" s="32" t="n"/>
      <c r="B38" s="29" t="n"/>
      <c r="C38" s="29" t="n"/>
      <c r="D38" s="33" t="n"/>
      <c r="E38" s="30" t="n"/>
      <c r="F38" s="29" t="n"/>
    </row>
    <row r="39">
      <c r="A39" s="32" t="n"/>
      <c r="B39" s="29" t="n"/>
      <c r="C39" s="29" t="n"/>
      <c r="D39" s="33" t="n"/>
      <c r="E39" s="30" t="n"/>
      <c r="F39" s="29" t="n"/>
    </row>
    <row r="40">
      <c r="A40" s="32" t="n"/>
      <c r="B40" s="29" t="n"/>
      <c r="C40" s="29" t="n"/>
      <c r="D40" s="33" t="n"/>
      <c r="E40" s="30" t="n"/>
      <c r="F40" s="29" t="n"/>
    </row>
    <row r="41">
      <c r="A41" s="32" t="n"/>
      <c r="B41" s="29" t="n"/>
      <c r="C41" s="29" t="n"/>
      <c r="D41" s="33" t="n"/>
      <c r="E41" s="30" t="n"/>
      <c r="F41" s="29" t="n"/>
    </row>
    <row r="42">
      <c r="A42" s="32" t="n"/>
      <c r="B42" s="29" t="n"/>
      <c r="C42" s="29" t="n"/>
      <c r="D42" s="33" t="n"/>
      <c r="E42" s="30" t="n"/>
      <c r="F42" s="29" t="n"/>
    </row>
    <row r="43">
      <c r="A43" s="32" t="n"/>
      <c r="B43" s="29" t="n"/>
      <c r="C43" s="29" t="n"/>
      <c r="D43" s="33" t="n"/>
      <c r="E43" s="30" t="n"/>
      <c r="F43" s="29" t="n"/>
    </row>
    <row r="44">
      <c r="A44" s="32" t="n"/>
      <c r="B44" s="29" t="n"/>
      <c r="C44" s="29" t="n"/>
      <c r="D44" s="33" t="n"/>
      <c r="E44" s="30" t="n"/>
      <c r="F44" s="29" t="n"/>
    </row>
    <row r="45">
      <c r="A45" s="32" t="n"/>
      <c r="B45" s="29" t="n"/>
      <c r="C45" s="29" t="n"/>
      <c r="D45" s="33" t="n"/>
      <c r="E45" s="30" t="n"/>
      <c r="F45" s="29" t="n"/>
    </row>
    <row r="46">
      <c r="A46" s="32" t="n"/>
      <c r="B46" s="29" t="n"/>
      <c r="C46" s="29" t="n"/>
      <c r="D46" s="33" t="n"/>
      <c r="E46" s="30" t="n"/>
      <c r="F46" s="29" t="n"/>
    </row>
    <row r="47">
      <c r="A47" s="32" t="n"/>
      <c r="B47" s="29" t="n"/>
      <c r="C47" s="29" t="n"/>
      <c r="D47" s="33" t="n"/>
      <c r="E47" s="30" t="n"/>
      <c r="F47" s="29" t="n"/>
    </row>
    <row r="48">
      <c r="A48" s="32" t="n"/>
      <c r="B48" s="29" t="n"/>
      <c r="C48" s="29" t="n"/>
      <c r="D48" s="33" t="n"/>
      <c r="E48" s="30" t="n"/>
      <c r="F48" s="29" t="n"/>
    </row>
    <row r="49">
      <c r="A49" s="32" t="n"/>
      <c r="B49" s="29" t="n"/>
      <c r="C49" s="29" t="n"/>
      <c r="D49" s="33" t="n"/>
      <c r="E49" s="30" t="n"/>
      <c r="F49" s="29" t="n"/>
    </row>
    <row r="50">
      <c r="A50" s="32" t="n"/>
      <c r="B50" s="29" t="n"/>
      <c r="C50" s="29" t="n"/>
      <c r="D50" s="33" t="n"/>
      <c r="E50" s="30" t="n"/>
      <c r="F50" s="29" t="n"/>
    </row>
    <row r="51">
      <c r="A51" s="32" t="n"/>
      <c r="B51" s="29" t="n"/>
      <c r="C51" s="29" t="n"/>
      <c r="D51" s="33" t="n"/>
      <c r="E51" s="30" t="n"/>
      <c r="F51" s="29" t="n"/>
    </row>
    <row r="52">
      <c r="A52" s="32" t="n"/>
      <c r="B52" s="29" t="n"/>
      <c r="C52" s="29" t="n"/>
      <c r="D52" s="33" t="n"/>
      <c r="E52" s="30" t="n"/>
      <c r="F52" s="29" t="n"/>
    </row>
    <row r="53">
      <c r="A53" s="32" t="n"/>
      <c r="B53" s="29" t="n"/>
      <c r="C53" s="29" t="n"/>
      <c r="D53" s="33" t="n"/>
      <c r="E53" s="30" t="n"/>
      <c r="F53" s="29" t="n"/>
    </row>
    <row r="54">
      <c r="A54" s="32" t="n"/>
      <c r="B54" s="29" t="n"/>
      <c r="C54" s="29" t="n"/>
      <c r="D54" s="33" t="n"/>
      <c r="E54" s="30" t="n"/>
      <c r="F54" s="29" t="n"/>
    </row>
    <row r="55">
      <c r="A55" s="32" t="n"/>
      <c r="B55" s="29" t="n"/>
      <c r="C55" s="29" t="n"/>
      <c r="D55" s="33" t="n"/>
      <c r="E55" s="30" t="n"/>
      <c r="F55" s="29" t="n"/>
    </row>
    <row r="56">
      <c r="A56" s="32" t="n"/>
      <c r="B56" s="29" t="n"/>
      <c r="C56" s="29" t="n"/>
      <c r="D56" s="33" t="n"/>
      <c r="E56" s="30" t="n"/>
      <c r="F56" s="29" t="n"/>
    </row>
    <row r="57">
      <c r="A57" s="32" t="n"/>
      <c r="B57" s="29" t="n"/>
      <c r="C57" s="29" t="n"/>
      <c r="D57" s="33" t="n"/>
      <c r="E57" s="30" t="n"/>
      <c r="F57" s="29" t="n"/>
    </row>
    <row r="58">
      <c r="A58" s="32" t="n"/>
      <c r="B58" s="29" t="n"/>
      <c r="C58" s="29" t="n"/>
      <c r="D58" s="33" t="n"/>
      <c r="E58" s="30" t="n"/>
      <c r="F58" s="29" t="n"/>
    </row>
    <row r="59">
      <c r="A59" s="32" t="n"/>
      <c r="B59" s="29" t="n"/>
      <c r="C59" s="29" t="n"/>
      <c r="D59" s="33" t="n"/>
      <c r="E59" s="30" t="n"/>
      <c r="F59" s="29" t="n"/>
    </row>
    <row r="60">
      <c r="A60" s="32" t="n"/>
      <c r="B60" s="29" t="n"/>
      <c r="C60" s="29" t="n"/>
      <c r="D60" s="33" t="n"/>
      <c r="E60" s="30" t="n"/>
      <c r="F60" s="29" t="n"/>
    </row>
    <row r="61">
      <c r="A61" s="32" t="n"/>
      <c r="B61" s="29" t="n"/>
      <c r="C61" s="29" t="n"/>
      <c r="D61" s="33" t="n"/>
      <c r="E61" s="30" t="n"/>
      <c r="F61" s="29" t="n"/>
    </row>
    <row r="62">
      <c r="A62" s="32" t="n"/>
      <c r="B62" s="29" t="n"/>
      <c r="C62" s="29" t="n"/>
      <c r="D62" s="33" t="n"/>
      <c r="E62" s="30" t="n"/>
      <c r="F62" s="29" t="n"/>
    </row>
    <row r="63">
      <c r="A63" s="32" t="n"/>
      <c r="B63" s="29" t="n"/>
      <c r="C63" s="29" t="n"/>
      <c r="D63" s="33" t="n"/>
      <c r="E63" s="30" t="n"/>
      <c r="F63" s="29" t="n"/>
    </row>
    <row r="64">
      <c r="A64" s="32" t="n"/>
      <c r="B64" s="29" t="n"/>
      <c r="C64" s="29" t="n"/>
      <c r="D64" s="33" t="n"/>
      <c r="E64" s="30" t="n"/>
      <c r="F64" s="29" t="n"/>
    </row>
    <row r="65">
      <c r="A65" s="32" t="n"/>
      <c r="B65" s="29" t="n"/>
      <c r="C65" s="29" t="n"/>
      <c r="D65" s="33" t="n"/>
      <c r="E65" s="30" t="n"/>
      <c r="F65" s="29" t="n"/>
    </row>
    <row r="66">
      <c r="A66" s="32" t="n"/>
      <c r="B66" s="29" t="n"/>
      <c r="C66" s="29" t="n"/>
      <c r="D66" s="33" t="n"/>
      <c r="E66" s="30" t="n"/>
      <c r="F66" s="29" t="n"/>
    </row>
    <row r="67">
      <c r="A67" s="32" t="n"/>
      <c r="B67" s="29" t="n"/>
      <c r="C67" s="29" t="n"/>
      <c r="D67" s="33" t="n"/>
      <c r="E67" s="30" t="n"/>
      <c r="F67" s="29" t="n"/>
    </row>
    <row r="68">
      <c r="A68" s="32" t="n"/>
      <c r="B68" s="29" t="n"/>
      <c r="C68" s="29" t="n"/>
      <c r="D68" s="33" t="n"/>
      <c r="E68" s="30" t="n"/>
      <c r="F68" s="29" t="n"/>
    </row>
    <row r="69">
      <c r="A69" s="32" t="n"/>
      <c r="B69" s="29" t="n"/>
      <c r="C69" s="29" t="n"/>
      <c r="D69" s="33" t="n"/>
      <c r="E69" s="30" t="n"/>
      <c r="F69" s="29" t="n"/>
    </row>
    <row r="70">
      <c r="A70" s="32" t="n"/>
      <c r="B70" s="29" t="n"/>
      <c r="C70" s="29" t="n"/>
      <c r="D70" s="33" t="n"/>
      <c r="E70" s="30" t="n"/>
      <c r="F70" s="29" t="n"/>
    </row>
    <row r="71">
      <c r="A71" s="32" t="n"/>
      <c r="B71" s="29" t="n"/>
      <c r="C71" s="29" t="n"/>
      <c r="D71" s="33" t="n"/>
      <c r="E71" s="30" t="n"/>
      <c r="F71" s="29" t="n"/>
    </row>
    <row r="72">
      <c r="A72" s="32" t="n"/>
      <c r="B72" s="29" t="n"/>
      <c r="C72" s="29" t="n"/>
      <c r="D72" s="33" t="n"/>
      <c r="E72" s="30" t="n"/>
      <c r="F72" s="29" t="n"/>
    </row>
    <row r="73">
      <c r="A73" s="32" t="n"/>
      <c r="B73" s="29" t="n"/>
      <c r="C73" s="29" t="n"/>
      <c r="D73" s="33" t="n"/>
      <c r="E73" s="30" t="n"/>
      <c r="F73" s="29" t="n"/>
    </row>
    <row r="74">
      <c r="A74" s="32" t="n"/>
      <c r="B74" s="29" t="n"/>
      <c r="C74" s="29" t="n"/>
      <c r="D74" s="33" t="n"/>
      <c r="E74" s="30" t="n"/>
      <c r="F74" s="29" t="n"/>
    </row>
    <row r="75">
      <c r="A75" s="32" t="n"/>
      <c r="B75" s="29" t="n"/>
      <c r="C75" s="29" t="n"/>
      <c r="D75" s="33" t="n"/>
      <c r="E75" s="30" t="n"/>
      <c r="F75" s="29" t="n"/>
    </row>
    <row r="76">
      <c r="A76" s="32" t="n"/>
      <c r="B76" s="29" t="n"/>
      <c r="C76" s="29" t="n"/>
      <c r="D76" s="33" t="n"/>
      <c r="E76" s="30" t="n"/>
      <c r="F76" s="29" t="n"/>
    </row>
    <row r="77">
      <c r="A77" s="32" t="n"/>
      <c r="B77" s="29" t="n"/>
      <c r="C77" s="29" t="n"/>
      <c r="D77" s="33" t="n"/>
      <c r="E77" s="30" t="n"/>
      <c r="F77" s="29" t="n"/>
    </row>
    <row r="78">
      <c r="A78" s="32" t="n"/>
      <c r="B78" s="29" t="n"/>
      <c r="C78" s="29" t="n"/>
      <c r="D78" s="33" t="n"/>
      <c r="E78" s="30" t="n"/>
      <c r="F78" s="29" t="n"/>
    </row>
    <row r="79">
      <c r="A79" s="32" t="n"/>
      <c r="B79" s="29" t="n"/>
      <c r="C79" s="29" t="n"/>
      <c r="D79" s="33" t="n"/>
      <c r="E79" s="30" t="n"/>
      <c r="F79" s="29" t="n"/>
    </row>
    <row r="80">
      <c r="A80" s="32" t="n"/>
      <c r="B80" s="29" t="n"/>
      <c r="C80" s="29" t="n"/>
      <c r="D80" s="33" t="n"/>
      <c r="E80" s="30" t="n"/>
      <c r="F80" s="29" t="n"/>
    </row>
    <row r="81">
      <c r="A81" s="32" t="n"/>
      <c r="B81" s="29" t="n"/>
      <c r="C81" s="29" t="n"/>
      <c r="D81" s="33" t="n"/>
      <c r="E81" s="30" t="n"/>
      <c r="F81" s="29" t="n"/>
    </row>
    <row r="82">
      <c r="A82" s="32" t="n"/>
      <c r="B82" s="29" t="n"/>
      <c r="C82" s="29" t="n"/>
      <c r="D82" s="33" t="n"/>
      <c r="E82" s="30" t="n"/>
      <c r="F82" s="29" t="n"/>
    </row>
    <row r="83">
      <c r="A83" s="32" t="n"/>
      <c r="B83" s="29" t="n"/>
      <c r="C83" s="29" t="n"/>
      <c r="D83" s="33" t="n"/>
      <c r="E83" s="30" t="n"/>
      <c r="F83" s="29" t="n"/>
    </row>
    <row r="84">
      <c r="A84" s="32" t="n"/>
      <c r="B84" s="29" t="n"/>
      <c r="C84" s="29" t="n"/>
      <c r="D84" s="33" t="n"/>
      <c r="E84" s="30" t="n"/>
      <c r="F84" s="29" t="n"/>
    </row>
    <row r="85">
      <c r="A85" s="32" t="n"/>
      <c r="B85" s="29" t="n"/>
      <c r="C85" s="29" t="n"/>
      <c r="D85" s="33" t="n"/>
      <c r="E85" s="30" t="n"/>
      <c r="F85" s="29" t="n"/>
    </row>
    <row r="86">
      <c r="A86" s="32" t="n"/>
      <c r="B86" s="29" t="n"/>
      <c r="C86" s="29" t="n"/>
      <c r="D86" s="33" t="n"/>
      <c r="E86" s="30" t="n"/>
      <c r="F86" s="29" t="n"/>
    </row>
    <row r="87">
      <c r="A87" s="32" t="n"/>
      <c r="B87" s="29" t="n"/>
      <c r="C87" s="29" t="n"/>
      <c r="D87" s="33" t="n"/>
      <c r="E87" s="30" t="n"/>
      <c r="F87" s="29" t="n"/>
    </row>
    <row r="88">
      <c r="A88" s="32" t="n"/>
      <c r="B88" s="29" t="n"/>
      <c r="C88" s="29" t="n"/>
      <c r="D88" s="33" t="n"/>
      <c r="E88" s="30" t="n"/>
      <c r="F88" s="29" t="n"/>
    </row>
    <row r="89">
      <c r="A89" s="32" t="n"/>
      <c r="B89" s="29" t="n"/>
      <c r="C89" s="29" t="n"/>
      <c r="D89" s="33" t="n"/>
      <c r="E89" s="30" t="n"/>
      <c r="F89" s="29" t="n"/>
    </row>
    <row r="90">
      <c r="A90" s="32" t="n"/>
      <c r="B90" s="29" t="n"/>
      <c r="C90" s="29" t="n"/>
      <c r="D90" s="33" t="n"/>
      <c r="E90" s="30" t="n"/>
      <c r="F90" s="29" t="n"/>
    </row>
    <row r="91">
      <c r="A91" s="32" t="n"/>
      <c r="B91" s="29" t="n"/>
      <c r="C91" s="29" t="n"/>
      <c r="D91" s="33" t="n"/>
      <c r="E91" s="30" t="n"/>
      <c r="F91" s="29" t="n"/>
    </row>
    <row r="92">
      <c r="A92" s="32" t="n"/>
      <c r="B92" s="29" t="n"/>
      <c r="C92" s="29" t="n"/>
      <c r="D92" s="33" t="n"/>
      <c r="E92" s="30" t="n"/>
      <c r="F92" s="29" t="n"/>
    </row>
    <row r="93">
      <c r="A93" s="32" t="n"/>
      <c r="B93" s="29" t="n"/>
      <c r="C93" s="29" t="n"/>
      <c r="D93" s="33" t="n"/>
      <c r="E93" s="30" t="n"/>
      <c r="F93" s="29" t="n"/>
    </row>
    <row r="94">
      <c r="A94" s="32" t="n"/>
      <c r="B94" s="29" t="n"/>
      <c r="C94" s="29" t="n"/>
      <c r="D94" s="33" t="n"/>
      <c r="E94" s="30" t="n"/>
      <c r="F94" s="29" t="n"/>
    </row>
    <row r="95">
      <c r="A95" s="32" t="n"/>
      <c r="B95" s="29" t="n"/>
      <c r="C95" s="29" t="n"/>
      <c r="D95" s="33" t="n"/>
      <c r="E95" s="30" t="n"/>
      <c r="F95" s="29" t="n"/>
    </row>
    <row r="96">
      <c r="A96" s="32" t="n"/>
      <c r="B96" s="29" t="n"/>
      <c r="C96" s="29" t="n"/>
      <c r="D96" s="33" t="n"/>
      <c r="E96" s="30" t="n"/>
      <c r="F96" s="29" t="n"/>
    </row>
    <row r="97">
      <c r="A97" s="32" t="n"/>
      <c r="B97" s="29" t="n"/>
      <c r="C97" s="29" t="n"/>
      <c r="D97" s="33" t="n"/>
      <c r="E97" s="30" t="n"/>
      <c r="F97" s="29" t="n"/>
    </row>
    <row r="98">
      <c r="A98" s="32" t="n"/>
      <c r="B98" s="29" t="n"/>
      <c r="C98" s="29" t="n"/>
      <c r="D98" s="33" t="n"/>
      <c r="E98" s="30" t="n"/>
      <c r="F98" s="29" t="n"/>
    </row>
    <row r="99">
      <c r="A99" s="32" t="n"/>
      <c r="B99" s="29" t="n"/>
      <c r="C99" s="29" t="n"/>
      <c r="D99" s="33" t="n"/>
      <c r="E99" s="30" t="n"/>
      <c r="F99" s="29" t="n"/>
    </row>
    <row r="100">
      <c r="A100" s="32" t="n"/>
      <c r="B100" s="29" t="n"/>
      <c r="C100" s="29" t="n"/>
      <c r="D100" s="33" t="n"/>
      <c r="E100" s="30" t="n"/>
      <c r="F100" s="29" t="n"/>
    </row>
    <row r="101">
      <c r="A101" s="32" t="n"/>
      <c r="B101" s="29" t="n"/>
      <c r="C101" s="29" t="n"/>
      <c r="D101" s="33" t="n"/>
      <c r="E101" s="30" t="n"/>
      <c r="F101" s="29" t="n"/>
    </row>
    <row r="102">
      <c r="A102" s="32" t="n"/>
      <c r="B102" s="29" t="n"/>
      <c r="C102" s="29" t="n"/>
      <c r="D102" s="33" t="n"/>
      <c r="E102" s="30" t="n"/>
      <c r="F102" s="29" t="n"/>
    </row>
    <row r="103">
      <c r="A103" s="32" t="n"/>
      <c r="B103" s="29" t="n"/>
      <c r="C103" s="29" t="n"/>
      <c r="D103" s="33" t="n"/>
      <c r="E103" s="30" t="n"/>
      <c r="F103" s="29" t="n"/>
    </row>
    <row r="104">
      <c r="A104" s="32" t="n"/>
      <c r="B104" s="29" t="n"/>
      <c r="C104" s="29" t="n"/>
      <c r="D104" s="33" t="n"/>
      <c r="E104" s="30" t="n"/>
      <c r="F104" s="29" t="n"/>
    </row>
    <row r="105">
      <c r="A105" s="32" t="n"/>
      <c r="B105" s="29" t="n"/>
      <c r="C105" s="29" t="n"/>
      <c r="D105" s="33" t="n"/>
      <c r="E105" s="30" t="n"/>
      <c r="F105" s="29" t="n"/>
    </row>
    <row r="106">
      <c r="A106" s="32" t="n"/>
      <c r="B106" s="29" t="n"/>
      <c r="C106" s="29" t="n"/>
      <c r="D106" s="33" t="n"/>
      <c r="E106" s="30" t="n"/>
      <c r="F106" s="29" t="n"/>
    </row>
    <row r="107">
      <c r="A107" s="32" t="n"/>
      <c r="B107" s="29" t="n"/>
      <c r="C107" s="29" t="n"/>
      <c r="D107" s="33" t="n"/>
      <c r="E107" s="30" t="n"/>
      <c r="F107" s="29" t="n"/>
    </row>
    <row r="108">
      <c r="A108" s="32" t="n"/>
      <c r="B108" s="29" t="n"/>
      <c r="C108" s="29" t="n"/>
      <c r="D108" s="33" t="n"/>
      <c r="E108" s="30" t="n"/>
      <c r="F108" s="29" t="n"/>
    </row>
    <row r="109">
      <c r="A109" s="32" t="n"/>
      <c r="B109" s="29" t="n"/>
      <c r="C109" s="29" t="n"/>
      <c r="D109" s="33" t="n"/>
      <c r="E109" s="30" t="n"/>
      <c r="F109" s="29" t="n"/>
    </row>
    <row r="110">
      <c r="A110" s="32" t="n"/>
      <c r="B110" s="29" t="n"/>
      <c r="C110" s="29" t="n"/>
      <c r="D110" s="33" t="n"/>
      <c r="E110" s="30" t="n"/>
      <c r="F110" s="29" t="n"/>
    </row>
    <row r="111">
      <c r="A111" s="32" t="n"/>
      <c r="B111" s="29" t="n"/>
      <c r="C111" s="29" t="n"/>
      <c r="D111" s="33" t="n"/>
      <c r="E111" s="30" t="n"/>
      <c r="F111" s="29" t="n"/>
    </row>
    <row r="112">
      <c r="A112" s="32" t="n"/>
      <c r="B112" s="29" t="n"/>
      <c r="C112" s="29" t="n"/>
      <c r="D112" s="33" t="n"/>
      <c r="E112" s="30" t="n"/>
      <c r="F112" s="29" t="n"/>
    </row>
    <row r="113">
      <c r="A113" s="32" t="n"/>
      <c r="B113" s="29" t="n"/>
      <c r="C113" s="29" t="n"/>
      <c r="D113" s="33" t="n"/>
      <c r="E113" s="30" t="n"/>
      <c r="F113" s="29" t="n"/>
    </row>
    <row r="114">
      <c r="A114" s="32" t="n"/>
      <c r="B114" s="29" t="n"/>
      <c r="C114" s="29" t="n"/>
      <c r="D114" s="33" t="n"/>
      <c r="E114" s="30" t="n"/>
      <c r="F114" s="29" t="n"/>
    </row>
    <row r="115">
      <c r="A115" s="32" t="n"/>
      <c r="B115" s="29" t="n"/>
      <c r="C115" s="29" t="n"/>
      <c r="D115" s="33" t="n"/>
      <c r="E115" s="30" t="n"/>
      <c r="F115" s="29" t="n"/>
    </row>
    <row r="116">
      <c r="A116" s="32" t="n"/>
      <c r="B116" s="29" t="n"/>
      <c r="C116" s="29" t="n"/>
      <c r="D116" s="33" t="n"/>
      <c r="E116" s="30" t="n"/>
      <c r="F116" s="29" t="n"/>
    </row>
    <row r="117">
      <c r="A117" s="32" t="n"/>
      <c r="B117" s="29" t="n"/>
      <c r="C117" s="29" t="n"/>
      <c r="D117" s="33" t="n"/>
      <c r="E117" s="30" t="n"/>
      <c r="F117" s="29" t="n"/>
    </row>
    <row r="118">
      <c r="A118" s="32" t="n"/>
      <c r="B118" s="29" t="n"/>
      <c r="C118" s="29" t="n"/>
      <c r="D118" s="33" t="n"/>
      <c r="E118" s="30" t="n"/>
      <c r="F118" s="29" t="n"/>
    </row>
    <row r="119">
      <c r="A119" s="32" t="n"/>
      <c r="B119" s="29" t="n"/>
      <c r="C119" s="29" t="n"/>
      <c r="D119" s="33" t="n"/>
      <c r="E119" s="30" t="n"/>
      <c r="F119" s="29" t="n"/>
    </row>
    <row r="120">
      <c r="A120" s="32" t="n"/>
      <c r="B120" s="29" t="n"/>
      <c r="C120" s="29" t="n"/>
      <c r="D120" s="33" t="n"/>
      <c r="E120" s="30" t="n"/>
      <c r="F120" s="29" t="n"/>
    </row>
    <row r="121">
      <c r="A121" s="32" t="n"/>
      <c r="B121" s="29" t="n"/>
      <c r="C121" s="29" t="n"/>
      <c r="D121" s="33" t="n"/>
      <c r="E121" s="30" t="n"/>
      <c r="F121" s="29" t="n"/>
    </row>
    <row r="122">
      <c r="A122" s="32" t="n"/>
      <c r="B122" s="29" t="n"/>
      <c r="C122" s="29" t="n"/>
      <c r="D122" s="33" t="n"/>
      <c r="E122" s="30" t="n"/>
      <c r="F122" s="29" t="n"/>
    </row>
    <row r="123">
      <c r="A123" s="32" t="n"/>
      <c r="B123" s="29" t="n"/>
      <c r="C123" s="29" t="n"/>
      <c r="D123" s="33" t="n"/>
      <c r="E123" s="30" t="n"/>
      <c r="F123" s="29" t="n"/>
    </row>
    <row r="124">
      <c r="A124" s="32" t="n"/>
      <c r="B124" s="29" t="n"/>
      <c r="C124" s="29" t="n"/>
      <c r="D124" s="33" t="n"/>
      <c r="E124" s="30" t="n"/>
      <c r="F124" s="29" t="n"/>
    </row>
    <row r="125">
      <c r="A125" s="32" t="n"/>
      <c r="B125" s="29" t="n"/>
      <c r="C125" s="29" t="n"/>
      <c r="D125" s="33" t="n"/>
      <c r="E125" s="30" t="n"/>
      <c r="F125" s="29" t="n"/>
    </row>
    <row r="126">
      <c r="A126" s="32" t="n"/>
      <c r="B126" s="29" t="n"/>
      <c r="C126" s="29" t="n"/>
      <c r="D126" s="33" t="n"/>
      <c r="E126" s="30" t="n"/>
      <c r="F126" s="29" t="n"/>
    </row>
    <row r="127">
      <c r="A127" s="32" t="n"/>
      <c r="B127" s="29" t="n"/>
      <c r="C127" s="29" t="n"/>
      <c r="D127" s="33" t="n"/>
      <c r="E127" s="30" t="n"/>
      <c r="F127" s="29" t="n"/>
    </row>
    <row r="128">
      <c r="A128" s="32" t="n"/>
      <c r="B128" s="29" t="n"/>
      <c r="C128" s="29" t="n"/>
      <c r="D128" s="33" t="n"/>
      <c r="E128" s="30" t="n"/>
      <c r="F128" s="29" t="n"/>
    </row>
    <row r="129">
      <c r="A129" s="32" t="n"/>
      <c r="B129" s="29" t="n"/>
      <c r="C129" s="29" t="n"/>
      <c r="D129" s="33" t="n"/>
      <c r="E129" s="30" t="n"/>
      <c r="F129" s="29" t="n"/>
    </row>
    <row r="130">
      <c r="A130" s="32" t="n"/>
      <c r="B130" s="29" t="n"/>
      <c r="C130" s="29" t="n"/>
      <c r="D130" s="33" t="n"/>
      <c r="E130" s="30" t="n"/>
      <c r="F130" s="29" t="n"/>
    </row>
    <row r="131">
      <c r="A131" s="32" t="n"/>
      <c r="B131" s="29" t="n"/>
      <c r="C131" s="29" t="n"/>
      <c r="D131" s="33" t="n"/>
      <c r="E131" s="30" t="n"/>
      <c r="F131" s="29" t="n"/>
    </row>
    <row r="132">
      <c r="A132" s="32" t="n"/>
      <c r="B132" s="29" t="n"/>
      <c r="C132" s="29" t="n"/>
      <c r="D132" s="33" t="n"/>
      <c r="E132" s="30" t="n"/>
      <c r="F132" s="29" t="n"/>
    </row>
    <row r="133">
      <c r="A133" s="32" t="n"/>
      <c r="B133" s="29" t="n"/>
      <c r="C133" s="29" t="n"/>
      <c r="D133" s="33" t="n"/>
      <c r="E133" s="30" t="n"/>
      <c r="F133" s="29" t="n"/>
    </row>
    <row r="134">
      <c r="A134" s="32" t="n"/>
      <c r="B134" s="29" t="n"/>
      <c r="C134" s="29" t="n"/>
      <c r="D134" s="33" t="n"/>
      <c r="E134" s="30" t="n"/>
      <c r="F134" s="29" t="n"/>
    </row>
    <row r="135">
      <c r="A135" s="32" t="n"/>
      <c r="B135" s="29" t="n"/>
      <c r="C135" s="29" t="n"/>
      <c r="D135" s="33" t="n"/>
      <c r="E135" s="30" t="n"/>
      <c r="F135" s="29" t="n"/>
    </row>
    <row r="136">
      <c r="A136" s="32" t="n"/>
      <c r="B136" s="29" t="n"/>
      <c r="C136" s="29" t="n"/>
      <c r="D136" s="33" t="n"/>
      <c r="E136" s="30" t="n"/>
      <c r="F136" s="29" t="n"/>
    </row>
    <row r="137">
      <c r="A137" s="32" t="n"/>
      <c r="B137" s="29" t="n"/>
      <c r="C137" s="29" t="n"/>
      <c r="D137" s="33" t="n"/>
      <c r="E137" s="30" t="n"/>
      <c r="F137" s="29" t="n"/>
    </row>
    <row r="138">
      <c r="A138" s="32" t="n"/>
      <c r="B138" s="29" t="n"/>
      <c r="C138" s="29" t="n"/>
      <c r="D138" s="33" t="n"/>
      <c r="E138" s="30" t="n"/>
      <c r="F138" s="29" t="n"/>
    </row>
    <row r="139">
      <c r="A139" s="32" t="n"/>
      <c r="B139" s="29" t="n"/>
      <c r="C139" s="29" t="n"/>
      <c r="D139" s="33" t="n"/>
      <c r="E139" s="30" t="n"/>
      <c r="F139" s="29" t="n"/>
    </row>
    <row r="140">
      <c r="A140" s="32" t="n"/>
      <c r="B140" s="29" t="n"/>
      <c r="C140" s="29" t="n"/>
      <c r="D140" s="33" t="n"/>
      <c r="E140" s="30" t="n"/>
      <c r="F140" s="29" t="n"/>
    </row>
    <row r="141">
      <c r="A141" s="32" t="n"/>
      <c r="B141" s="29" t="n"/>
      <c r="C141" s="29" t="n"/>
      <c r="D141" s="33" t="n"/>
      <c r="E141" s="30" t="n"/>
      <c r="F141" s="29" t="n"/>
    </row>
    <row r="142">
      <c r="A142" s="32" t="n"/>
      <c r="B142" s="29" t="n"/>
      <c r="C142" s="29" t="n"/>
      <c r="D142" s="33" t="n"/>
      <c r="E142" s="30" t="n"/>
      <c r="F142" s="29" t="n"/>
    </row>
    <row r="143">
      <c r="A143" s="32" t="n"/>
      <c r="B143" s="29" t="n"/>
      <c r="C143" s="29" t="n"/>
      <c r="D143" s="33" t="n"/>
      <c r="E143" s="30" t="n"/>
      <c r="F143" s="29" t="n"/>
    </row>
    <row r="144">
      <c r="A144" s="32" t="n"/>
      <c r="B144" s="29" t="n"/>
      <c r="C144" s="29" t="n"/>
      <c r="D144" s="33" t="n"/>
      <c r="E144" s="30" t="n"/>
      <c r="F144" s="29" t="n"/>
    </row>
    <row r="145">
      <c r="A145" s="32" t="n"/>
      <c r="B145" s="29" t="n"/>
      <c r="C145" s="29" t="n"/>
      <c r="D145" s="33" t="n"/>
      <c r="E145" s="30" t="n"/>
      <c r="F145" s="29" t="n"/>
    </row>
    <row r="146">
      <c r="A146" s="32" t="n"/>
      <c r="B146" s="29" t="n"/>
      <c r="C146" s="29" t="n"/>
      <c r="D146" s="33" t="n"/>
      <c r="E146" s="30" t="n"/>
      <c r="F146" s="29" t="n"/>
    </row>
    <row r="147">
      <c r="A147" s="32" t="n"/>
      <c r="B147" s="29" t="n"/>
      <c r="C147" s="29" t="n"/>
      <c r="D147" s="33" t="n"/>
      <c r="E147" s="30" t="n"/>
      <c r="F147" s="29" t="n"/>
    </row>
    <row r="148">
      <c r="A148" s="32" t="n"/>
      <c r="B148" s="29" t="n"/>
      <c r="C148" s="29" t="n"/>
      <c r="D148" s="33" t="n"/>
      <c r="E148" s="30" t="n"/>
      <c r="F148" s="29" t="n"/>
    </row>
    <row r="149">
      <c r="A149" s="32" t="n"/>
      <c r="B149" s="29" t="n"/>
      <c r="C149" s="29" t="n"/>
      <c r="D149" s="33" t="n"/>
      <c r="E149" s="30" t="n"/>
      <c r="F149" s="29" t="n"/>
    </row>
    <row r="150">
      <c r="A150" s="32" t="n"/>
      <c r="B150" s="29" t="n"/>
      <c r="C150" s="29" t="n"/>
      <c r="D150" s="33" t="n"/>
      <c r="E150" s="30" t="n"/>
      <c r="F150" s="29" t="n"/>
    </row>
    <row r="151">
      <c r="A151" s="32" t="n"/>
      <c r="B151" s="29" t="n"/>
      <c r="C151" s="29" t="n"/>
      <c r="D151" s="33" t="n"/>
      <c r="E151" s="30" t="n"/>
      <c r="F151" s="29" t="n"/>
    </row>
    <row r="152">
      <c r="A152" s="32" t="n"/>
      <c r="B152" s="29" t="n"/>
      <c r="C152" s="29" t="n"/>
      <c r="D152" s="33" t="n"/>
      <c r="E152" s="30" t="n"/>
      <c r="F152" s="29" t="n"/>
    </row>
    <row r="153">
      <c r="A153" s="32" t="n"/>
      <c r="B153" s="29" t="n"/>
      <c r="C153" s="29" t="n"/>
      <c r="D153" s="33" t="n"/>
      <c r="E153" s="30" t="n"/>
      <c r="F153" s="29" t="n"/>
    </row>
    <row r="154">
      <c r="A154" s="32" t="n"/>
      <c r="B154" s="29" t="n"/>
      <c r="C154" s="29" t="n"/>
      <c r="D154" s="33" t="n"/>
      <c r="E154" s="30" t="n"/>
      <c r="F154" s="29" t="n"/>
    </row>
    <row r="155">
      <c r="A155" s="32" t="n"/>
      <c r="B155" s="29" t="n"/>
      <c r="C155" s="29" t="n"/>
      <c r="D155" s="33" t="n"/>
      <c r="E155" s="30" t="n"/>
      <c r="F155" s="29" t="n"/>
    </row>
    <row r="156">
      <c r="A156" s="32" t="n"/>
      <c r="B156" s="29" t="n"/>
      <c r="C156" s="29" t="n"/>
      <c r="D156" s="33" t="n"/>
      <c r="E156" s="30" t="n"/>
      <c r="F156" s="29" t="n"/>
    </row>
    <row r="157">
      <c r="A157" s="32" t="n"/>
      <c r="B157" s="29" t="n"/>
      <c r="C157" s="29" t="n"/>
      <c r="D157" s="33" t="n"/>
      <c r="E157" s="30" t="n"/>
      <c r="F157" s="29" t="n"/>
    </row>
    <row r="158">
      <c r="A158" s="32" t="n"/>
      <c r="B158" s="29" t="n"/>
      <c r="C158" s="29" t="n"/>
      <c r="D158" s="33" t="n"/>
      <c r="E158" s="30" t="n"/>
      <c r="F158" s="29" t="n"/>
    </row>
    <row r="159">
      <c r="A159" s="32" t="n"/>
      <c r="B159" s="29" t="n"/>
      <c r="C159" s="29" t="n"/>
      <c r="D159" s="33" t="n"/>
      <c r="E159" s="30" t="n"/>
      <c r="F159" s="29" t="n"/>
    </row>
    <row r="160">
      <c r="A160" s="32" t="n"/>
      <c r="B160" s="29" t="n"/>
      <c r="C160" s="29" t="n"/>
      <c r="D160" s="33" t="n"/>
      <c r="E160" s="30" t="n"/>
      <c r="F160" s="29" t="n"/>
    </row>
    <row r="161">
      <c r="A161" s="32" t="n"/>
      <c r="B161" s="29" t="n"/>
      <c r="C161" s="29" t="n"/>
      <c r="D161" s="33" t="n"/>
      <c r="E161" s="30" t="n"/>
      <c r="F161" s="29" t="n"/>
    </row>
    <row r="162">
      <c r="A162" s="32" t="n"/>
      <c r="B162" s="29" t="n"/>
      <c r="C162" s="29" t="n"/>
      <c r="D162" s="33" t="n"/>
      <c r="E162" s="30" t="n"/>
      <c r="F162" s="29" t="n"/>
    </row>
    <row r="163">
      <c r="A163" s="32" t="n"/>
      <c r="B163" s="29" t="n"/>
      <c r="C163" s="29" t="n"/>
      <c r="D163" s="33" t="n"/>
      <c r="E163" s="30" t="n"/>
      <c r="F163" s="29" t="n"/>
    </row>
    <row r="164">
      <c r="A164" s="32" t="n"/>
      <c r="B164" s="29" t="n"/>
      <c r="C164" s="29" t="n"/>
      <c r="D164" s="33" t="n"/>
      <c r="E164" s="30" t="n"/>
      <c r="F164" s="29" t="n"/>
    </row>
    <row r="165">
      <c r="A165" s="32" t="n"/>
      <c r="B165" s="29" t="n"/>
      <c r="C165" s="29" t="n"/>
      <c r="D165" s="33" t="n"/>
      <c r="E165" s="30" t="n"/>
      <c r="F165" s="29" t="n"/>
    </row>
    <row r="166">
      <c r="A166" s="32" t="n"/>
      <c r="B166" s="29" t="n"/>
      <c r="C166" s="29" t="n"/>
      <c r="D166" s="33" t="n"/>
      <c r="E166" s="30" t="n"/>
      <c r="F166" s="29" t="n"/>
    </row>
    <row r="167">
      <c r="A167" s="32" t="n"/>
      <c r="B167" s="29" t="n"/>
      <c r="C167" s="29" t="n"/>
      <c r="D167" s="33" t="n"/>
      <c r="E167" s="30" t="n"/>
      <c r="F167" s="29" t="n"/>
    </row>
    <row r="168">
      <c r="A168" s="32" t="n"/>
      <c r="B168" s="29" t="n"/>
      <c r="C168" s="29" t="n"/>
      <c r="D168" s="33" t="n"/>
      <c r="E168" s="30" t="n"/>
      <c r="F168" s="29" t="n"/>
    </row>
    <row r="169">
      <c r="A169" s="32" t="n"/>
      <c r="B169" s="29" t="n"/>
      <c r="C169" s="29" t="n"/>
      <c r="D169" s="33" t="n"/>
      <c r="E169" s="30" t="n"/>
      <c r="F169" s="29" t="n"/>
    </row>
    <row r="170">
      <c r="A170" s="32" t="n"/>
      <c r="B170" s="29" t="n"/>
      <c r="C170" s="29" t="n"/>
      <c r="D170" s="33" t="n"/>
      <c r="E170" s="30" t="n"/>
      <c r="F170" s="29" t="n"/>
    </row>
    <row r="171">
      <c r="A171" s="32" t="n"/>
      <c r="B171" s="29" t="n"/>
      <c r="C171" s="29" t="n"/>
      <c r="D171" s="33" t="n"/>
      <c r="E171" s="30" t="n"/>
      <c r="F171" s="29" t="n"/>
    </row>
    <row r="172">
      <c r="A172" s="32" t="n"/>
      <c r="B172" s="29" t="n"/>
      <c r="C172" s="29" t="n"/>
      <c r="D172" s="33" t="n"/>
      <c r="E172" s="30" t="n"/>
      <c r="F172" s="29" t="n"/>
    </row>
    <row r="173">
      <c r="A173" s="32" t="n"/>
      <c r="B173" s="29" t="n"/>
      <c r="C173" s="29" t="n"/>
      <c r="D173" s="33" t="n"/>
      <c r="E173" s="30" t="n"/>
      <c r="F173" s="29" t="n"/>
    </row>
    <row r="174">
      <c r="A174" s="32" t="n"/>
      <c r="B174" s="29" t="n"/>
      <c r="C174" s="29" t="n"/>
      <c r="D174" s="33" t="n"/>
      <c r="E174" s="30" t="n"/>
      <c r="F174" s="29" t="n"/>
    </row>
    <row r="175">
      <c r="A175" s="32" t="n"/>
      <c r="B175" s="29" t="n"/>
      <c r="C175" s="29" t="n"/>
      <c r="D175" s="33" t="n"/>
      <c r="E175" s="30" t="n"/>
      <c r="F175" s="29" t="n"/>
    </row>
    <row r="176">
      <c r="A176" s="32" t="n"/>
      <c r="B176" s="29" t="n"/>
      <c r="C176" s="29" t="n"/>
      <c r="D176" s="33" t="n"/>
      <c r="E176" s="30" t="n"/>
      <c r="F176" s="29" t="n"/>
    </row>
    <row r="177">
      <c r="A177" s="32" t="n"/>
      <c r="B177" s="29" t="n"/>
      <c r="C177" s="29" t="n"/>
      <c r="D177" s="33" t="n"/>
      <c r="E177" s="30" t="n"/>
      <c r="F177" s="29" t="n"/>
    </row>
    <row r="178">
      <c r="A178" s="32" t="n"/>
      <c r="B178" s="29" t="n"/>
      <c r="C178" s="29" t="n"/>
      <c r="D178" s="33" t="n"/>
      <c r="E178" s="30" t="n"/>
      <c r="F178" s="29" t="n"/>
    </row>
    <row r="179">
      <c r="A179" s="32" t="n"/>
      <c r="B179" s="29" t="n"/>
      <c r="C179" s="29" t="n"/>
      <c r="D179" s="33" t="n"/>
      <c r="E179" s="30" t="n"/>
      <c r="F179" s="29" t="n"/>
    </row>
    <row r="180">
      <c r="A180" s="32" t="n"/>
      <c r="B180" s="29" t="n"/>
      <c r="C180" s="29" t="n"/>
      <c r="D180" s="33" t="n"/>
      <c r="E180" s="30" t="n"/>
      <c r="F180" s="29" t="n"/>
    </row>
    <row r="181">
      <c r="A181" s="32" t="n"/>
      <c r="B181" s="29" t="n"/>
      <c r="C181" s="29" t="n"/>
      <c r="D181" s="33" t="n"/>
      <c r="E181" s="30" t="n"/>
      <c r="F181" s="29" t="n"/>
    </row>
    <row r="182">
      <c r="A182" s="32" t="n"/>
      <c r="B182" s="29" t="n"/>
      <c r="C182" s="29" t="n"/>
      <c r="D182" s="33" t="n"/>
      <c r="E182" s="30" t="n"/>
      <c r="F182" s="29" t="n"/>
    </row>
    <row r="183">
      <c r="A183" s="32" t="n"/>
      <c r="B183" s="29" t="n"/>
      <c r="C183" s="29" t="n"/>
      <c r="D183" s="33" t="n"/>
      <c r="E183" s="30" t="n"/>
      <c r="F183" s="29" t="n"/>
    </row>
    <row r="184">
      <c r="A184" s="32" t="n"/>
      <c r="B184" s="29" t="n"/>
      <c r="C184" s="29" t="n"/>
      <c r="D184" s="33" t="n"/>
      <c r="E184" s="30" t="n"/>
      <c r="F184" s="29" t="n"/>
    </row>
    <row r="185">
      <c r="A185" s="32" t="n"/>
      <c r="B185" s="29" t="n"/>
      <c r="C185" s="29" t="n"/>
      <c r="D185" s="33" t="n"/>
      <c r="E185" s="30" t="n"/>
      <c r="F185" s="29" t="n"/>
    </row>
    <row r="186">
      <c r="A186" s="32" t="n"/>
      <c r="B186" s="29" t="n"/>
      <c r="C186" s="29" t="n"/>
      <c r="D186" s="33" t="n"/>
      <c r="E186" s="30" t="n"/>
      <c r="F186" s="29" t="n"/>
    </row>
    <row r="187">
      <c r="A187" s="32" t="n"/>
      <c r="B187" s="29" t="n"/>
      <c r="C187" s="29" t="n"/>
      <c r="D187" s="33" t="n"/>
      <c r="E187" s="30" t="n"/>
      <c r="F187" s="29" t="n"/>
    </row>
    <row r="188">
      <c r="A188" s="32" t="n"/>
      <c r="B188" s="29" t="n"/>
      <c r="C188" s="29" t="n"/>
      <c r="D188" s="33" t="n"/>
      <c r="E188" s="30" t="n"/>
      <c r="F188" s="29" t="n"/>
    </row>
    <row r="189">
      <c r="A189" s="32" t="n"/>
      <c r="B189" s="29" t="n"/>
      <c r="C189" s="29" t="n"/>
      <c r="D189" s="33" t="n"/>
      <c r="E189" s="30" t="n"/>
      <c r="F189" s="29" t="n"/>
    </row>
    <row r="190">
      <c r="A190" s="32" t="n"/>
      <c r="B190" s="29" t="n"/>
      <c r="C190" s="29" t="n"/>
      <c r="D190" s="33" t="n"/>
      <c r="E190" s="30" t="n"/>
      <c r="F190" s="29" t="n"/>
    </row>
    <row r="191">
      <c r="A191" s="32" t="n"/>
      <c r="B191" s="29" t="n"/>
      <c r="C191" s="29" t="n"/>
      <c r="D191" s="33" t="n"/>
      <c r="E191" s="30" t="n"/>
      <c r="F191" s="29" t="n"/>
    </row>
    <row r="192">
      <c r="A192" s="32" t="n"/>
      <c r="B192" s="29" t="n"/>
      <c r="C192" s="29" t="n"/>
      <c r="D192" s="33" t="n"/>
      <c r="E192" s="30" t="n"/>
      <c r="F192" s="29" t="n"/>
    </row>
    <row r="193">
      <c r="A193" s="32" t="n"/>
      <c r="B193" s="29" t="n"/>
      <c r="C193" s="29" t="n"/>
      <c r="D193" s="33" t="n"/>
      <c r="E193" s="30" t="n"/>
      <c r="F193" s="29" t="n"/>
    </row>
    <row r="194">
      <c r="A194" s="32" t="n"/>
      <c r="B194" s="29" t="n"/>
      <c r="C194" s="29" t="n"/>
      <c r="D194" s="33" t="n"/>
      <c r="E194" s="30" t="n"/>
      <c r="F194" s="29" t="n"/>
    </row>
    <row r="195">
      <c r="A195" s="32" t="n"/>
      <c r="B195" s="29" t="n"/>
      <c r="C195" s="29" t="n"/>
      <c r="D195" s="33" t="n"/>
      <c r="E195" s="30" t="n"/>
      <c r="F195" s="29" t="n"/>
    </row>
    <row r="196">
      <c r="A196" s="32" t="n"/>
      <c r="B196" s="29" t="n"/>
      <c r="C196" s="29" t="n"/>
      <c r="D196" s="33" t="n"/>
      <c r="E196" s="30" t="n"/>
      <c r="F196" s="29" t="n"/>
    </row>
    <row r="197">
      <c r="A197" s="32" t="n"/>
      <c r="B197" s="29" t="n"/>
      <c r="C197" s="29" t="n"/>
      <c r="D197" s="33" t="n"/>
      <c r="E197" s="30" t="n"/>
      <c r="F197" s="29" t="n"/>
    </row>
    <row r="198">
      <c r="A198" s="32" t="n"/>
      <c r="B198" s="29" t="n"/>
      <c r="C198" s="29" t="n"/>
      <c r="D198" s="33" t="n"/>
      <c r="E198" s="30" t="n"/>
      <c r="F198" s="29" t="n"/>
    </row>
    <row r="199">
      <c r="A199" s="32" t="n"/>
      <c r="B199" s="29" t="n"/>
      <c r="C199" s="29" t="n"/>
      <c r="D199" s="33" t="n"/>
      <c r="E199" s="30" t="n"/>
      <c r="F199" s="29" t="n"/>
    </row>
    <row r="200">
      <c r="A200" s="32" t="n"/>
      <c r="B200" s="29" t="n"/>
      <c r="C200" s="29" t="n"/>
      <c r="D200" s="33" t="n"/>
      <c r="E200" s="30" t="n"/>
      <c r="F200" s="29" t="n"/>
    </row>
    <row r="201">
      <c r="A201" s="32" t="n"/>
      <c r="B201" s="29" t="n"/>
      <c r="C201" s="29" t="n"/>
      <c r="D201" s="33" t="n"/>
      <c r="E201" s="30" t="n"/>
      <c r="F201" s="29" t="n"/>
    </row>
    <row r="202">
      <c r="A202" s="32" t="n"/>
      <c r="B202" s="29" t="n"/>
      <c r="C202" s="29" t="n"/>
      <c r="D202" s="33" t="n"/>
      <c r="E202" s="30" t="n"/>
      <c r="F202" s="29" t="n"/>
    </row>
    <row r="203">
      <c r="A203" s="32" t="n"/>
      <c r="B203" s="29" t="n"/>
      <c r="C203" s="29" t="n"/>
      <c r="D203" s="33" t="n"/>
      <c r="E203" s="30" t="n"/>
      <c r="F203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2:F2"/>
    <mergeCell ref="A1:F1"/>
  </mergeCells>
  <dataValidations count="1">
    <dataValidation sqref="E4:E203" showDropDown="0" showInputMessage="0" showErrorMessage="0" allowBlank="1" error="El valor 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I2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35" customHeight="1">
      <c r="A1" s="24" t="inlineStr">
        <is>
          <t>VENTAS Y COSTO DE VENTAS</t>
        </is>
      </c>
    </row>
    <row r="2">
      <c r="A2" s="25" t="inlineStr">
        <is>
          <t>Registra cada venta con su costo unitario para calcular el margen bruto por producto.</t>
        </is>
      </c>
    </row>
    <row r="3" ht="28" customHeight="1">
      <c r="A3" s="26" t="inlineStr">
        <is>
          <t>FECHA</t>
        </is>
      </c>
      <c r="B3" s="26" t="inlineStr">
        <is>
          <t>PRODUCTO</t>
        </is>
      </c>
      <c r="C3" s="26" t="inlineStr">
        <is>
          <t>CANTIDAD</t>
        </is>
      </c>
      <c r="D3" s="26" t="inlineStr">
        <is>
          <t>PRECIO UNIT.</t>
        </is>
      </c>
      <c r="E3" s="26" t="inlineStr">
        <is>
          <t>COSTO UNIT.</t>
        </is>
      </c>
      <c r="F3" s="26" t="inlineStr">
        <is>
          <t>MARGEN %</t>
        </is>
      </c>
      <c r="G3" s="26" t="inlineStr">
        <is>
          <t>TOTAL VENTA</t>
        </is>
      </c>
      <c r="H3" s="26" t="inlineStr">
        <is>
          <t>TOTAL COSTO</t>
        </is>
      </c>
      <c r="I3" s="26" t="inlineStr">
        <is>
          <t>UTILIDAD</t>
        </is>
      </c>
    </row>
    <row r="4">
      <c r="A4" s="32" t="n">
        <v>45665</v>
      </c>
      <c r="B4" s="29" t="inlineStr">
        <is>
          <t>Producto Terminado A</t>
        </is>
      </c>
      <c r="C4" s="33" t="n">
        <v>20</v>
      </c>
      <c r="D4" s="30" t="n">
        <v>150</v>
      </c>
      <c r="E4" s="30" t="n">
        <v>80</v>
      </c>
      <c r="F4" s="34">
        <f>IFERROR((D4-E4)/D4,0)</f>
        <v/>
      </c>
      <c r="G4" s="31">
        <f>IFERROR(C4*D4,0)</f>
        <v/>
      </c>
      <c r="H4" s="31">
        <f>IFERROR(C4*E4,0)</f>
        <v/>
      </c>
      <c r="I4" s="18">
        <f>G4-H4</f>
        <v/>
      </c>
    </row>
    <row r="5">
      <c r="A5" s="32" t="n">
        <v>45669</v>
      </c>
      <c r="B5" s="29" t="inlineStr">
        <is>
          <t>Producto Terminado B</t>
        </is>
      </c>
      <c r="C5" s="33" t="n">
        <v>15</v>
      </c>
      <c r="D5" s="30" t="n">
        <v>220</v>
      </c>
      <c r="E5" s="30" t="n">
        <v>120</v>
      </c>
      <c r="F5" s="34">
        <f>IFERROR((D5-E5)/D5,0)</f>
        <v/>
      </c>
      <c r="G5" s="31">
        <f>IFERROR(C5*D5,0)</f>
        <v/>
      </c>
      <c r="H5" s="31">
        <f>IFERROR(C5*E5,0)</f>
        <v/>
      </c>
      <c r="I5" s="18">
        <f>G5-H5</f>
        <v/>
      </c>
    </row>
    <row r="6">
      <c r="A6" s="32" t="n">
        <v>45672</v>
      </c>
      <c r="B6" s="29" t="inlineStr">
        <is>
          <t>Producto Terminado A</t>
        </is>
      </c>
      <c r="C6" s="33" t="n">
        <v>25</v>
      </c>
      <c r="D6" s="30" t="n">
        <v>150</v>
      </c>
      <c r="E6" s="30" t="n">
        <v>80</v>
      </c>
      <c r="F6" s="34">
        <f>IFERROR((D6-E6)/D6,0)</f>
        <v/>
      </c>
      <c r="G6" s="31">
        <f>IFERROR(C6*D6,0)</f>
        <v/>
      </c>
      <c r="H6" s="31">
        <f>IFERROR(C6*E6,0)</f>
        <v/>
      </c>
      <c r="I6" s="18">
        <f>G6-H6</f>
        <v/>
      </c>
    </row>
    <row r="7">
      <c r="A7" s="32" t="n">
        <v>45677</v>
      </c>
      <c r="B7" s="29" t="inlineStr">
        <is>
          <t>Producto Terminado C</t>
        </is>
      </c>
      <c r="C7" s="33" t="n">
        <v>10</v>
      </c>
      <c r="D7" s="30" t="n">
        <v>350</v>
      </c>
      <c r="E7" s="30" t="n">
        <v>200</v>
      </c>
      <c r="F7" s="34">
        <f>IFERROR((D7-E7)/D7,0)</f>
        <v/>
      </c>
      <c r="G7" s="31">
        <f>IFERROR(C7*D7,0)</f>
        <v/>
      </c>
      <c r="H7" s="31">
        <f>IFERROR(C7*E7,0)</f>
        <v/>
      </c>
      <c r="I7" s="18">
        <f>G7-H7</f>
        <v/>
      </c>
    </row>
    <row r="8">
      <c r="A8" s="32" t="n">
        <v>45682</v>
      </c>
      <c r="B8" s="29" t="inlineStr">
        <is>
          <t>Producto Terminado B</t>
        </is>
      </c>
      <c r="C8" s="33" t="n">
        <v>18</v>
      </c>
      <c r="D8" s="30" t="n">
        <v>220</v>
      </c>
      <c r="E8" s="30" t="n">
        <v>120</v>
      </c>
      <c r="F8" s="34">
        <f>IFERROR((D8-E8)/D8,0)</f>
        <v/>
      </c>
      <c r="G8" s="31">
        <f>IFERROR(C8*D8,0)</f>
        <v/>
      </c>
      <c r="H8" s="31">
        <f>IFERROR(C8*E8,0)</f>
        <v/>
      </c>
      <c r="I8" s="18">
        <f>G8-H8</f>
        <v/>
      </c>
    </row>
    <row r="9">
      <c r="A9" s="32" t="n">
        <v>45691</v>
      </c>
      <c r="B9" s="29" t="inlineStr">
        <is>
          <t>Producto Terminado A</t>
        </is>
      </c>
      <c r="C9" s="33" t="n">
        <v>30</v>
      </c>
      <c r="D9" s="30" t="n">
        <v>150</v>
      </c>
      <c r="E9" s="30" t="n">
        <v>80</v>
      </c>
      <c r="F9" s="34">
        <f>IFERROR((D9-E9)/D9,0)</f>
        <v/>
      </c>
      <c r="G9" s="31">
        <f>IFERROR(C9*D9,0)</f>
        <v/>
      </c>
      <c r="H9" s="31">
        <f>IFERROR(C9*E9,0)</f>
        <v/>
      </c>
      <c r="I9" s="18">
        <f>G9-H9</f>
        <v/>
      </c>
    </row>
    <row r="10">
      <c r="A10" s="32" t="n">
        <v>45696</v>
      </c>
      <c r="B10" s="29" t="inlineStr">
        <is>
          <t>Producto Terminado C</t>
        </is>
      </c>
      <c r="C10" s="33" t="n">
        <v>12</v>
      </c>
      <c r="D10" s="30" t="n">
        <v>350</v>
      </c>
      <c r="E10" s="30" t="n">
        <v>200</v>
      </c>
      <c r="F10" s="34">
        <f>IFERROR((D10-E10)/D10,0)</f>
        <v/>
      </c>
      <c r="G10" s="31">
        <f>IFERROR(C10*D10,0)</f>
        <v/>
      </c>
      <c r="H10" s="31">
        <f>IFERROR(C10*E10,0)</f>
        <v/>
      </c>
      <c r="I10" s="18">
        <f>G10-H10</f>
        <v/>
      </c>
    </row>
    <row r="11">
      <c r="A11" s="32" t="n"/>
      <c r="B11" s="29" t="n"/>
      <c r="C11" s="33" t="n"/>
      <c r="D11" s="30" t="n"/>
      <c r="E11" s="30" t="n"/>
      <c r="F11" s="34">
        <f>IFERROR((D11-E11)/D11,0)</f>
        <v/>
      </c>
      <c r="G11" s="31">
        <f>IFERROR(C11*D11,0)</f>
        <v/>
      </c>
      <c r="H11" s="31">
        <f>IFERROR(C11*E11,0)</f>
        <v/>
      </c>
      <c r="I11" s="18">
        <f>G11-H11</f>
        <v/>
      </c>
    </row>
    <row r="12">
      <c r="A12" s="32" t="n"/>
      <c r="B12" s="29" t="n"/>
      <c r="C12" s="33" t="n"/>
      <c r="D12" s="30" t="n"/>
      <c r="E12" s="30" t="n"/>
      <c r="F12" s="34">
        <f>IFERROR((D12-E12)/D12,0)</f>
        <v/>
      </c>
      <c r="G12" s="31">
        <f>IFERROR(C12*D12,0)</f>
        <v/>
      </c>
      <c r="H12" s="31">
        <f>IFERROR(C12*E12,0)</f>
        <v/>
      </c>
      <c r="I12" s="18">
        <f>G12-H12</f>
        <v/>
      </c>
    </row>
    <row r="13">
      <c r="A13" s="32" t="n"/>
      <c r="B13" s="29" t="n"/>
      <c r="C13" s="33" t="n"/>
      <c r="D13" s="30" t="n"/>
      <c r="E13" s="30" t="n"/>
      <c r="F13" s="34">
        <f>IFERROR((D13-E13)/D13,0)</f>
        <v/>
      </c>
      <c r="G13" s="31">
        <f>IFERROR(C13*D13,0)</f>
        <v/>
      </c>
      <c r="H13" s="31">
        <f>IFERROR(C13*E13,0)</f>
        <v/>
      </c>
      <c r="I13" s="18">
        <f>G13-H13</f>
        <v/>
      </c>
    </row>
    <row r="14">
      <c r="A14" s="32" t="n"/>
      <c r="B14" s="29" t="n"/>
      <c r="C14" s="33" t="n"/>
      <c r="D14" s="30" t="n"/>
      <c r="E14" s="30" t="n"/>
      <c r="F14" s="34">
        <f>IFERROR((D14-E14)/D14,0)</f>
        <v/>
      </c>
      <c r="G14" s="31">
        <f>IFERROR(C14*D14,0)</f>
        <v/>
      </c>
      <c r="H14" s="31">
        <f>IFERROR(C14*E14,0)</f>
        <v/>
      </c>
      <c r="I14" s="18">
        <f>G14-H14</f>
        <v/>
      </c>
    </row>
    <row r="15">
      <c r="A15" s="32" t="n"/>
      <c r="B15" s="29" t="n"/>
      <c r="C15" s="33" t="n"/>
      <c r="D15" s="30" t="n"/>
      <c r="E15" s="30" t="n"/>
      <c r="F15" s="34">
        <f>IFERROR((D15-E15)/D15,0)</f>
        <v/>
      </c>
      <c r="G15" s="31">
        <f>IFERROR(C15*D15,0)</f>
        <v/>
      </c>
      <c r="H15" s="31">
        <f>IFERROR(C15*E15,0)</f>
        <v/>
      </c>
      <c r="I15" s="18">
        <f>G15-H15</f>
        <v/>
      </c>
    </row>
    <row r="16">
      <c r="A16" s="32" t="n"/>
      <c r="B16" s="29" t="n"/>
      <c r="C16" s="33" t="n"/>
      <c r="D16" s="30" t="n"/>
      <c r="E16" s="30" t="n"/>
      <c r="F16" s="34">
        <f>IFERROR((D16-E16)/D16,0)</f>
        <v/>
      </c>
      <c r="G16" s="31">
        <f>IFERROR(C16*D16,0)</f>
        <v/>
      </c>
      <c r="H16" s="31">
        <f>IFERROR(C16*E16,0)</f>
        <v/>
      </c>
      <c r="I16" s="18">
        <f>G16-H16</f>
        <v/>
      </c>
    </row>
    <row r="17">
      <c r="A17" s="32" t="n"/>
      <c r="B17" s="29" t="n"/>
      <c r="C17" s="33" t="n"/>
      <c r="D17" s="30" t="n"/>
      <c r="E17" s="30" t="n"/>
      <c r="F17" s="34">
        <f>IFERROR((D17-E17)/D17,0)</f>
        <v/>
      </c>
      <c r="G17" s="31">
        <f>IFERROR(C17*D17,0)</f>
        <v/>
      </c>
      <c r="H17" s="31">
        <f>IFERROR(C17*E17,0)</f>
        <v/>
      </c>
      <c r="I17" s="18">
        <f>G17-H17</f>
        <v/>
      </c>
    </row>
    <row r="18">
      <c r="A18" s="32" t="n"/>
      <c r="B18" s="29" t="n"/>
      <c r="C18" s="33" t="n"/>
      <c r="D18" s="30" t="n"/>
      <c r="E18" s="30" t="n"/>
      <c r="F18" s="34">
        <f>IFERROR((D18-E18)/D18,0)</f>
        <v/>
      </c>
      <c r="G18" s="31">
        <f>IFERROR(C18*D18,0)</f>
        <v/>
      </c>
      <c r="H18" s="31">
        <f>IFERROR(C18*E18,0)</f>
        <v/>
      </c>
      <c r="I18" s="18">
        <f>G18-H18</f>
        <v/>
      </c>
    </row>
    <row r="19">
      <c r="A19" s="32" t="n"/>
      <c r="B19" s="29" t="n"/>
      <c r="C19" s="33" t="n"/>
      <c r="D19" s="30" t="n"/>
      <c r="E19" s="30" t="n"/>
      <c r="F19" s="34">
        <f>IFERROR((D19-E19)/D19,0)</f>
        <v/>
      </c>
      <c r="G19" s="31">
        <f>IFERROR(C19*D19,0)</f>
        <v/>
      </c>
      <c r="H19" s="31">
        <f>IFERROR(C19*E19,0)</f>
        <v/>
      </c>
      <c r="I19" s="18">
        <f>G19-H19</f>
        <v/>
      </c>
    </row>
    <row r="20">
      <c r="A20" s="32" t="n"/>
      <c r="B20" s="29" t="n"/>
      <c r="C20" s="33" t="n"/>
      <c r="D20" s="30" t="n"/>
      <c r="E20" s="30" t="n"/>
      <c r="F20" s="34">
        <f>IFERROR((D20-E20)/D20,0)</f>
        <v/>
      </c>
      <c r="G20" s="31">
        <f>IFERROR(C20*D20,0)</f>
        <v/>
      </c>
      <c r="H20" s="31">
        <f>IFERROR(C20*E20,0)</f>
        <v/>
      </c>
      <c r="I20" s="18">
        <f>G20-H20</f>
        <v/>
      </c>
    </row>
    <row r="21">
      <c r="A21" s="32" t="n"/>
      <c r="B21" s="29" t="n"/>
      <c r="C21" s="33" t="n"/>
      <c r="D21" s="30" t="n"/>
      <c r="E21" s="30" t="n"/>
      <c r="F21" s="34">
        <f>IFERROR((D21-E21)/D21,0)</f>
        <v/>
      </c>
      <c r="G21" s="31">
        <f>IFERROR(C21*D21,0)</f>
        <v/>
      </c>
      <c r="H21" s="31">
        <f>IFERROR(C21*E21,0)</f>
        <v/>
      </c>
      <c r="I21" s="18">
        <f>G21-H21</f>
        <v/>
      </c>
    </row>
    <row r="22">
      <c r="A22" s="32" t="n"/>
      <c r="B22" s="29" t="n"/>
      <c r="C22" s="33" t="n"/>
      <c r="D22" s="30" t="n"/>
      <c r="E22" s="30" t="n"/>
      <c r="F22" s="34">
        <f>IFERROR((D22-E22)/D22,0)</f>
        <v/>
      </c>
      <c r="G22" s="31">
        <f>IFERROR(C22*D22,0)</f>
        <v/>
      </c>
      <c r="H22" s="31">
        <f>IFERROR(C22*E22,0)</f>
        <v/>
      </c>
      <c r="I22" s="18">
        <f>G22-H22</f>
        <v/>
      </c>
    </row>
    <row r="23">
      <c r="A23" s="32" t="n"/>
      <c r="B23" s="29" t="n"/>
      <c r="C23" s="33" t="n"/>
      <c r="D23" s="30" t="n"/>
      <c r="E23" s="30" t="n"/>
      <c r="F23" s="34">
        <f>IFERROR((D23-E23)/D23,0)</f>
        <v/>
      </c>
      <c r="G23" s="31">
        <f>IFERROR(C23*D23,0)</f>
        <v/>
      </c>
      <c r="H23" s="31">
        <f>IFERROR(C23*E23,0)</f>
        <v/>
      </c>
      <c r="I23" s="18">
        <f>G23-H23</f>
        <v/>
      </c>
    </row>
    <row r="24">
      <c r="A24" s="32" t="n"/>
      <c r="B24" s="29" t="n"/>
      <c r="C24" s="33" t="n"/>
      <c r="D24" s="30" t="n"/>
      <c r="E24" s="30" t="n"/>
      <c r="F24" s="34">
        <f>IFERROR((D24-E24)/D24,0)</f>
        <v/>
      </c>
      <c r="G24" s="31">
        <f>IFERROR(C24*D24,0)</f>
        <v/>
      </c>
      <c r="H24" s="31">
        <f>IFERROR(C24*E24,0)</f>
        <v/>
      </c>
      <c r="I24" s="18">
        <f>G24-H24</f>
        <v/>
      </c>
    </row>
    <row r="25">
      <c r="A25" s="32" t="n"/>
      <c r="B25" s="29" t="n"/>
      <c r="C25" s="33" t="n"/>
      <c r="D25" s="30" t="n"/>
      <c r="E25" s="30" t="n"/>
      <c r="F25" s="34">
        <f>IFERROR((D25-E25)/D25,0)</f>
        <v/>
      </c>
      <c r="G25" s="31">
        <f>IFERROR(C25*D25,0)</f>
        <v/>
      </c>
      <c r="H25" s="31">
        <f>IFERROR(C25*E25,0)</f>
        <v/>
      </c>
      <c r="I25" s="18">
        <f>G25-H25</f>
        <v/>
      </c>
    </row>
    <row r="26">
      <c r="A26" s="32" t="n"/>
      <c r="B26" s="29" t="n"/>
      <c r="C26" s="33" t="n"/>
      <c r="D26" s="30" t="n"/>
      <c r="E26" s="30" t="n"/>
      <c r="F26" s="34">
        <f>IFERROR((D26-E26)/D26,0)</f>
        <v/>
      </c>
      <c r="G26" s="31">
        <f>IFERROR(C26*D26,0)</f>
        <v/>
      </c>
      <c r="H26" s="31">
        <f>IFERROR(C26*E26,0)</f>
        <v/>
      </c>
      <c r="I26" s="18">
        <f>G26-H26</f>
        <v/>
      </c>
    </row>
    <row r="27">
      <c r="A27" s="32" t="n"/>
      <c r="B27" s="29" t="n"/>
      <c r="C27" s="33" t="n"/>
      <c r="D27" s="30" t="n"/>
      <c r="E27" s="30" t="n"/>
      <c r="F27" s="34">
        <f>IFERROR((D27-E27)/D27,0)</f>
        <v/>
      </c>
      <c r="G27" s="31">
        <f>IFERROR(C27*D27,0)</f>
        <v/>
      </c>
      <c r="H27" s="31">
        <f>IFERROR(C27*E27,0)</f>
        <v/>
      </c>
      <c r="I27" s="18">
        <f>G27-H27</f>
        <v/>
      </c>
    </row>
    <row r="28">
      <c r="A28" s="32" t="n"/>
      <c r="B28" s="29" t="n"/>
      <c r="C28" s="33" t="n"/>
      <c r="D28" s="30" t="n"/>
      <c r="E28" s="30" t="n"/>
      <c r="F28" s="34">
        <f>IFERROR((D28-E28)/D28,0)</f>
        <v/>
      </c>
      <c r="G28" s="31">
        <f>IFERROR(C28*D28,0)</f>
        <v/>
      </c>
      <c r="H28" s="31">
        <f>IFERROR(C28*E28,0)</f>
        <v/>
      </c>
      <c r="I28" s="18">
        <f>G28-H28</f>
        <v/>
      </c>
    </row>
    <row r="29">
      <c r="A29" s="32" t="n"/>
      <c r="B29" s="29" t="n"/>
      <c r="C29" s="33" t="n"/>
      <c r="D29" s="30" t="n"/>
      <c r="E29" s="30" t="n"/>
      <c r="F29" s="34">
        <f>IFERROR((D29-E29)/D29,0)</f>
        <v/>
      </c>
      <c r="G29" s="31">
        <f>IFERROR(C29*D29,0)</f>
        <v/>
      </c>
      <c r="H29" s="31">
        <f>IFERROR(C29*E29,0)</f>
        <v/>
      </c>
      <c r="I29" s="18">
        <f>G29-H29</f>
        <v/>
      </c>
    </row>
    <row r="30">
      <c r="A30" s="32" t="n"/>
      <c r="B30" s="29" t="n"/>
      <c r="C30" s="33" t="n"/>
      <c r="D30" s="30" t="n"/>
      <c r="E30" s="30" t="n"/>
      <c r="F30" s="34">
        <f>IFERROR((D30-E30)/D30,0)</f>
        <v/>
      </c>
      <c r="G30" s="31">
        <f>IFERROR(C30*D30,0)</f>
        <v/>
      </c>
      <c r="H30" s="31">
        <f>IFERROR(C30*E30,0)</f>
        <v/>
      </c>
      <c r="I30" s="18">
        <f>G30-H30</f>
        <v/>
      </c>
    </row>
    <row r="31">
      <c r="A31" s="32" t="n"/>
      <c r="B31" s="29" t="n"/>
      <c r="C31" s="33" t="n"/>
      <c r="D31" s="30" t="n"/>
      <c r="E31" s="30" t="n"/>
      <c r="F31" s="34">
        <f>IFERROR((D31-E31)/D31,0)</f>
        <v/>
      </c>
      <c r="G31" s="31">
        <f>IFERROR(C31*D31,0)</f>
        <v/>
      </c>
      <c r="H31" s="31">
        <f>IFERROR(C31*E31,0)</f>
        <v/>
      </c>
      <c r="I31" s="18">
        <f>G31-H31</f>
        <v/>
      </c>
    </row>
    <row r="32">
      <c r="A32" s="32" t="n"/>
      <c r="B32" s="29" t="n"/>
      <c r="C32" s="33" t="n"/>
      <c r="D32" s="30" t="n"/>
      <c r="E32" s="30" t="n"/>
      <c r="F32" s="34">
        <f>IFERROR((D32-E32)/D32,0)</f>
        <v/>
      </c>
      <c r="G32" s="31">
        <f>IFERROR(C32*D32,0)</f>
        <v/>
      </c>
      <c r="H32" s="31">
        <f>IFERROR(C32*E32,0)</f>
        <v/>
      </c>
      <c r="I32" s="18">
        <f>G32-H32</f>
        <v/>
      </c>
    </row>
    <row r="33">
      <c r="A33" s="32" t="n"/>
      <c r="B33" s="29" t="n"/>
      <c r="C33" s="33" t="n"/>
      <c r="D33" s="30" t="n"/>
      <c r="E33" s="30" t="n"/>
      <c r="F33" s="34">
        <f>IFERROR((D33-E33)/D33,0)</f>
        <v/>
      </c>
      <c r="G33" s="31">
        <f>IFERROR(C33*D33,0)</f>
        <v/>
      </c>
      <c r="H33" s="31">
        <f>IFERROR(C33*E33,0)</f>
        <v/>
      </c>
      <c r="I33" s="18">
        <f>G33-H33</f>
        <v/>
      </c>
    </row>
    <row r="34">
      <c r="A34" s="32" t="n"/>
      <c r="B34" s="29" t="n"/>
      <c r="C34" s="33" t="n"/>
      <c r="D34" s="30" t="n"/>
      <c r="E34" s="30" t="n"/>
      <c r="F34" s="34">
        <f>IFERROR((D34-E34)/D34,0)</f>
        <v/>
      </c>
      <c r="G34" s="31">
        <f>IFERROR(C34*D34,0)</f>
        <v/>
      </c>
      <c r="H34" s="31">
        <f>IFERROR(C34*E34,0)</f>
        <v/>
      </c>
      <c r="I34" s="18">
        <f>G34-H34</f>
        <v/>
      </c>
    </row>
    <row r="35">
      <c r="A35" s="32" t="n"/>
      <c r="B35" s="29" t="n"/>
      <c r="C35" s="33" t="n"/>
      <c r="D35" s="30" t="n"/>
      <c r="E35" s="30" t="n"/>
      <c r="F35" s="34">
        <f>IFERROR((D35-E35)/D35,0)</f>
        <v/>
      </c>
      <c r="G35" s="31">
        <f>IFERROR(C35*D35,0)</f>
        <v/>
      </c>
      <c r="H35" s="31">
        <f>IFERROR(C35*E35,0)</f>
        <v/>
      </c>
      <c r="I35" s="18">
        <f>G35-H35</f>
        <v/>
      </c>
    </row>
    <row r="36">
      <c r="A36" s="32" t="n"/>
      <c r="B36" s="29" t="n"/>
      <c r="C36" s="33" t="n"/>
      <c r="D36" s="30" t="n"/>
      <c r="E36" s="30" t="n"/>
      <c r="F36" s="34">
        <f>IFERROR((D36-E36)/D36,0)</f>
        <v/>
      </c>
      <c r="G36" s="31">
        <f>IFERROR(C36*D36,0)</f>
        <v/>
      </c>
      <c r="H36" s="31">
        <f>IFERROR(C36*E36,0)</f>
        <v/>
      </c>
      <c r="I36" s="18">
        <f>G36-H36</f>
        <v/>
      </c>
    </row>
    <row r="37">
      <c r="A37" s="32" t="n"/>
      <c r="B37" s="29" t="n"/>
      <c r="C37" s="33" t="n"/>
      <c r="D37" s="30" t="n"/>
      <c r="E37" s="30" t="n"/>
      <c r="F37" s="34">
        <f>IFERROR((D37-E37)/D37,0)</f>
        <v/>
      </c>
      <c r="G37" s="31">
        <f>IFERROR(C37*D37,0)</f>
        <v/>
      </c>
      <c r="H37" s="31">
        <f>IFERROR(C37*E37,0)</f>
        <v/>
      </c>
      <c r="I37" s="18">
        <f>G37-H37</f>
        <v/>
      </c>
    </row>
    <row r="38">
      <c r="A38" s="32" t="n"/>
      <c r="B38" s="29" t="n"/>
      <c r="C38" s="33" t="n"/>
      <c r="D38" s="30" t="n"/>
      <c r="E38" s="30" t="n"/>
      <c r="F38" s="34">
        <f>IFERROR((D38-E38)/D38,0)</f>
        <v/>
      </c>
      <c r="G38" s="31">
        <f>IFERROR(C38*D38,0)</f>
        <v/>
      </c>
      <c r="H38" s="31">
        <f>IFERROR(C38*E38,0)</f>
        <v/>
      </c>
      <c r="I38" s="18">
        <f>G38-H38</f>
        <v/>
      </c>
    </row>
    <row r="39">
      <c r="A39" s="32" t="n"/>
      <c r="B39" s="29" t="n"/>
      <c r="C39" s="33" t="n"/>
      <c r="D39" s="30" t="n"/>
      <c r="E39" s="30" t="n"/>
      <c r="F39" s="34">
        <f>IFERROR((D39-E39)/D39,0)</f>
        <v/>
      </c>
      <c r="G39" s="31">
        <f>IFERROR(C39*D39,0)</f>
        <v/>
      </c>
      <c r="H39" s="31">
        <f>IFERROR(C39*E39,0)</f>
        <v/>
      </c>
      <c r="I39" s="18">
        <f>G39-H39</f>
        <v/>
      </c>
    </row>
    <row r="40">
      <c r="A40" s="32" t="n"/>
      <c r="B40" s="29" t="n"/>
      <c r="C40" s="33" t="n"/>
      <c r="D40" s="30" t="n"/>
      <c r="E40" s="30" t="n"/>
      <c r="F40" s="34">
        <f>IFERROR((D40-E40)/D40,0)</f>
        <v/>
      </c>
      <c r="G40" s="31">
        <f>IFERROR(C40*D40,0)</f>
        <v/>
      </c>
      <c r="H40" s="31">
        <f>IFERROR(C40*E40,0)</f>
        <v/>
      </c>
      <c r="I40" s="18">
        <f>G40-H40</f>
        <v/>
      </c>
    </row>
    <row r="41">
      <c r="A41" s="32" t="n"/>
      <c r="B41" s="29" t="n"/>
      <c r="C41" s="33" t="n"/>
      <c r="D41" s="30" t="n"/>
      <c r="E41" s="30" t="n"/>
      <c r="F41" s="34">
        <f>IFERROR((D41-E41)/D41,0)</f>
        <v/>
      </c>
      <c r="G41" s="31">
        <f>IFERROR(C41*D41,0)</f>
        <v/>
      </c>
      <c r="H41" s="31">
        <f>IFERROR(C41*E41,0)</f>
        <v/>
      </c>
      <c r="I41" s="18">
        <f>G41-H41</f>
        <v/>
      </c>
    </row>
    <row r="42">
      <c r="A42" s="32" t="n"/>
      <c r="B42" s="29" t="n"/>
      <c r="C42" s="33" t="n"/>
      <c r="D42" s="30" t="n"/>
      <c r="E42" s="30" t="n"/>
      <c r="F42" s="34">
        <f>IFERROR((D42-E42)/D42,0)</f>
        <v/>
      </c>
      <c r="G42" s="31">
        <f>IFERROR(C42*D42,0)</f>
        <v/>
      </c>
      <c r="H42" s="31">
        <f>IFERROR(C42*E42,0)</f>
        <v/>
      </c>
      <c r="I42" s="18">
        <f>G42-H42</f>
        <v/>
      </c>
    </row>
    <row r="43">
      <c r="A43" s="32" t="n"/>
      <c r="B43" s="29" t="n"/>
      <c r="C43" s="33" t="n"/>
      <c r="D43" s="30" t="n"/>
      <c r="E43" s="30" t="n"/>
      <c r="F43" s="34">
        <f>IFERROR((D43-E43)/D43,0)</f>
        <v/>
      </c>
      <c r="G43" s="31">
        <f>IFERROR(C43*D43,0)</f>
        <v/>
      </c>
      <c r="H43" s="31">
        <f>IFERROR(C43*E43,0)</f>
        <v/>
      </c>
      <c r="I43" s="18">
        <f>G43-H43</f>
        <v/>
      </c>
    </row>
    <row r="44">
      <c r="A44" s="32" t="n"/>
      <c r="B44" s="29" t="n"/>
      <c r="C44" s="33" t="n"/>
      <c r="D44" s="30" t="n"/>
      <c r="E44" s="30" t="n"/>
      <c r="F44" s="34">
        <f>IFERROR((D44-E44)/D44,0)</f>
        <v/>
      </c>
      <c r="G44" s="31">
        <f>IFERROR(C44*D44,0)</f>
        <v/>
      </c>
      <c r="H44" s="31">
        <f>IFERROR(C44*E44,0)</f>
        <v/>
      </c>
      <c r="I44" s="18">
        <f>G44-H44</f>
        <v/>
      </c>
    </row>
    <row r="45">
      <c r="A45" s="32" t="n"/>
      <c r="B45" s="29" t="n"/>
      <c r="C45" s="33" t="n"/>
      <c r="D45" s="30" t="n"/>
      <c r="E45" s="30" t="n"/>
      <c r="F45" s="34">
        <f>IFERROR((D45-E45)/D45,0)</f>
        <v/>
      </c>
      <c r="G45" s="31">
        <f>IFERROR(C45*D45,0)</f>
        <v/>
      </c>
      <c r="H45" s="31">
        <f>IFERROR(C45*E45,0)</f>
        <v/>
      </c>
      <c r="I45" s="18">
        <f>G45-H45</f>
        <v/>
      </c>
    </row>
    <row r="46">
      <c r="A46" s="32" t="n"/>
      <c r="B46" s="29" t="n"/>
      <c r="C46" s="33" t="n"/>
      <c r="D46" s="30" t="n"/>
      <c r="E46" s="30" t="n"/>
      <c r="F46" s="34">
        <f>IFERROR((D46-E46)/D46,0)</f>
        <v/>
      </c>
      <c r="G46" s="31">
        <f>IFERROR(C46*D46,0)</f>
        <v/>
      </c>
      <c r="H46" s="31">
        <f>IFERROR(C46*E46,0)</f>
        <v/>
      </c>
      <c r="I46" s="18">
        <f>G46-H46</f>
        <v/>
      </c>
    </row>
    <row r="47">
      <c r="A47" s="32" t="n"/>
      <c r="B47" s="29" t="n"/>
      <c r="C47" s="33" t="n"/>
      <c r="D47" s="30" t="n"/>
      <c r="E47" s="30" t="n"/>
      <c r="F47" s="34">
        <f>IFERROR((D47-E47)/D47,0)</f>
        <v/>
      </c>
      <c r="G47" s="31">
        <f>IFERROR(C47*D47,0)</f>
        <v/>
      </c>
      <c r="H47" s="31">
        <f>IFERROR(C47*E47,0)</f>
        <v/>
      </c>
      <c r="I47" s="18">
        <f>G47-H47</f>
        <v/>
      </c>
    </row>
    <row r="48">
      <c r="A48" s="32" t="n"/>
      <c r="B48" s="29" t="n"/>
      <c r="C48" s="33" t="n"/>
      <c r="D48" s="30" t="n"/>
      <c r="E48" s="30" t="n"/>
      <c r="F48" s="34">
        <f>IFERROR((D48-E48)/D48,0)</f>
        <v/>
      </c>
      <c r="G48" s="31">
        <f>IFERROR(C48*D48,0)</f>
        <v/>
      </c>
      <c r="H48" s="31">
        <f>IFERROR(C48*E48,0)</f>
        <v/>
      </c>
      <c r="I48" s="18">
        <f>G48-H48</f>
        <v/>
      </c>
    </row>
    <row r="49">
      <c r="A49" s="32" t="n"/>
      <c r="B49" s="29" t="n"/>
      <c r="C49" s="33" t="n"/>
      <c r="D49" s="30" t="n"/>
      <c r="E49" s="30" t="n"/>
      <c r="F49" s="34">
        <f>IFERROR((D49-E49)/D49,0)</f>
        <v/>
      </c>
      <c r="G49" s="31">
        <f>IFERROR(C49*D49,0)</f>
        <v/>
      </c>
      <c r="H49" s="31">
        <f>IFERROR(C49*E49,0)</f>
        <v/>
      </c>
      <c r="I49" s="18">
        <f>G49-H49</f>
        <v/>
      </c>
    </row>
    <row r="50">
      <c r="A50" s="32" t="n"/>
      <c r="B50" s="29" t="n"/>
      <c r="C50" s="33" t="n"/>
      <c r="D50" s="30" t="n"/>
      <c r="E50" s="30" t="n"/>
      <c r="F50" s="34">
        <f>IFERROR((D50-E50)/D50,0)</f>
        <v/>
      </c>
      <c r="G50" s="31">
        <f>IFERROR(C50*D50,0)</f>
        <v/>
      </c>
      <c r="H50" s="31">
        <f>IFERROR(C50*E50,0)</f>
        <v/>
      </c>
      <c r="I50" s="18">
        <f>G50-H50</f>
        <v/>
      </c>
    </row>
    <row r="51">
      <c r="A51" s="32" t="n"/>
      <c r="B51" s="29" t="n"/>
      <c r="C51" s="33" t="n"/>
      <c r="D51" s="30" t="n"/>
      <c r="E51" s="30" t="n"/>
      <c r="F51" s="34">
        <f>IFERROR((D51-E51)/D51,0)</f>
        <v/>
      </c>
      <c r="G51" s="31">
        <f>IFERROR(C51*D51,0)</f>
        <v/>
      </c>
      <c r="H51" s="31">
        <f>IFERROR(C51*E51,0)</f>
        <v/>
      </c>
      <c r="I51" s="18">
        <f>G51-H51</f>
        <v/>
      </c>
    </row>
    <row r="52">
      <c r="A52" s="32" t="n"/>
      <c r="B52" s="29" t="n"/>
      <c r="C52" s="33" t="n"/>
      <c r="D52" s="30" t="n"/>
      <c r="E52" s="30" t="n"/>
      <c r="F52" s="34">
        <f>IFERROR((D52-E52)/D52,0)</f>
        <v/>
      </c>
      <c r="G52" s="31">
        <f>IFERROR(C52*D52,0)</f>
        <v/>
      </c>
      <c r="H52" s="31">
        <f>IFERROR(C52*E52,0)</f>
        <v/>
      </c>
      <c r="I52" s="18">
        <f>G52-H52</f>
        <v/>
      </c>
    </row>
    <row r="53">
      <c r="A53" s="32" t="n"/>
      <c r="B53" s="29" t="n"/>
      <c r="C53" s="33" t="n"/>
      <c r="D53" s="30" t="n"/>
      <c r="E53" s="30" t="n"/>
      <c r="F53" s="34">
        <f>IFERROR((D53-E53)/D53,0)</f>
        <v/>
      </c>
      <c r="G53" s="31">
        <f>IFERROR(C53*D53,0)</f>
        <v/>
      </c>
      <c r="H53" s="31">
        <f>IFERROR(C53*E53,0)</f>
        <v/>
      </c>
      <c r="I53" s="18">
        <f>G53-H53</f>
        <v/>
      </c>
    </row>
    <row r="54">
      <c r="A54" s="32" t="n"/>
      <c r="B54" s="29" t="n"/>
      <c r="C54" s="33" t="n"/>
      <c r="D54" s="30" t="n"/>
      <c r="E54" s="30" t="n"/>
      <c r="F54" s="34">
        <f>IFERROR((D54-E54)/D54,0)</f>
        <v/>
      </c>
      <c r="G54" s="31">
        <f>IFERROR(C54*D54,0)</f>
        <v/>
      </c>
      <c r="H54" s="31">
        <f>IFERROR(C54*E54,0)</f>
        <v/>
      </c>
      <c r="I54" s="18">
        <f>G54-H54</f>
        <v/>
      </c>
    </row>
    <row r="55">
      <c r="A55" s="32" t="n"/>
      <c r="B55" s="29" t="n"/>
      <c r="C55" s="33" t="n"/>
      <c r="D55" s="30" t="n"/>
      <c r="E55" s="30" t="n"/>
      <c r="F55" s="34">
        <f>IFERROR((D55-E55)/D55,0)</f>
        <v/>
      </c>
      <c r="G55" s="31">
        <f>IFERROR(C55*D55,0)</f>
        <v/>
      </c>
      <c r="H55" s="31">
        <f>IFERROR(C55*E55,0)</f>
        <v/>
      </c>
      <c r="I55" s="18">
        <f>G55-H55</f>
        <v/>
      </c>
    </row>
    <row r="56">
      <c r="A56" s="32" t="n"/>
      <c r="B56" s="29" t="n"/>
      <c r="C56" s="33" t="n"/>
      <c r="D56" s="30" t="n"/>
      <c r="E56" s="30" t="n"/>
      <c r="F56" s="34">
        <f>IFERROR((D56-E56)/D56,0)</f>
        <v/>
      </c>
      <c r="G56" s="31">
        <f>IFERROR(C56*D56,0)</f>
        <v/>
      </c>
      <c r="H56" s="31">
        <f>IFERROR(C56*E56,0)</f>
        <v/>
      </c>
      <c r="I56" s="18">
        <f>G56-H56</f>
        <v/>
      </c>
    </row>
    <row r="57">
      <c r="A57" s="32" t="n"/>
      <c r="B57" s="29" t="n"/>
      <c r="C57" s="33" t="n"/>
      <c r="D57" s="30" t="n"/>
      <c r="E57" s="30" t="n"/>
      <c r="F57" s="34">
        <f>IFERROR((D57-E57)/D57,0)</f>
        <v/>
      </c>
      <c r="G57" s="31">
        <f>IFERROR(C57*D57,0)</f>
        <v/>
      </c>
      <c r="H57" s="31">
        <f>IFERROR(C57*E57,0)</f>
        <v/>
      </c>
      <c r="I57" s="18">
        <f>G57-H57</f>
        <v/>
      </c>
    </row>
    <row r="58">
      <c r="A58" s="32" t="n"/>
      <c r="B58" s="29" t="n"/>
      <c r="C58" s="33" t="n"/>
      <c r="D58" s="30" t="n"/>
      <c r="E58" s="30" t="n"/>
      <c r="F58" s="34">
        <f>IFERROR((D58-E58)/D58,0)</f>
        <v/>
      </c>
      <c r="G58" s="31">
        <f>IFERROR(C58*D58,0)</f>
        <v/>
      </c>
      <c r="H58" s="31">
        <f>IFERROR(C58*E58,0)</f>
        <v/>
      </c>
      <c r="I58" s="18">
        <f>G58-H58</f>
        <v/>
      </c>
    </row>
    <row r="59">
      <c r="A59" s="32" t="n"/>
      <c r="B59" s="29" t="n"/>
      <c r="C59" s="33" t="n"/>
      <c r="D59" s="30" t="n"/>
      <c r="E59" s="30" t="n"/>
      <c r="F59" s="34">
        <f>IFERROR((D59-E59)/D59,0)</f>
        <v/>
      </c>
      <c r="G59" s="31">
        <f>IFERROR(C59*D59,0)</f>
        <v/>
      </c>
      <c r="H59" s="31">
        <f>IFERROR(C59*E59,0)</f>
        <v/>
      </c>
      <c r="I59" s="18">
        <f>G59-H59</f>
        <v/>
      </c>
    </row>
    <row r="60">
      <c r="A60" s="32" t="n"/>
      <c r="B60" s="29" t="n"/>
      <c r="C60" s="33" t="n"/>
      <c r="D60" s="30" t="n"/>
      <c r="E60" s="30" t="n"/>
      <c r="F60" s="34">
        <f>IFERROR((D60-E60)/D60,0)</f>
        <v/>
      </c>
      <c r="G60" s="31">
        <f>IFERROR(C60*D60,0)</f>
        <v/>
      </c>
      <c r="H60" s="31">
        <f>IFERROR(C60*E60,0)</f>
        <v/>
      </c>
      <c r="I60" s="18">
        <f>G60-H60</f>
        <v/>
      </c>
    </row>
    <row r="61">
      <c r="A61" s="32" t="n"/>
      <c r="B61" s="29" t="n"/>
      <c r="C61" s="33" t="n"/>
      <c r="D61" s="30" t="n"/>
      <c r="E61" s="30" t="n"/>
      <c r="F61" s="34">
        <f>IFERROR((D61-E61)/D61,0)</f>
        <v/>
      </c>
      <c r="G61" s="31">
        <f>IFERROR(C61*D61,0)</f>
        <v/>
      </c>
      <c r="H61" s="31">
        <f>IFERROR(C61*E61,0)</f>
        <v/>
      </c>
      <c r="I61" s="18">
        <f>G61-H61</f>
        <v/>
      </c>
    </row>
    <row r="62">
      <c r="A62" s="32" t="n"/>
      <c r="B62" s="29" t="n"/>
      <c r="C62" s="33" t="n"/>
      <c r="D62" s="30" t="n"/>
      <c r="E62" s="30" t="n"/>
      <c r="F62" s="34">
        <f>IFERROR((D62-E62)/D62,0)</f>
        <v/>
      </c>
      <c r="G62" s="31">
        <f>IFERROR(C62*D62,0)</f>
        <v/>
      </c>
      <c r="H62" s="31">
        <f>IFERROR(C62*E62,0)</f>
        <v/>
      </c>
      <c r="I62" s="18">
        <f>G62-H62</f>
        <v/>
      </c>
    </row>
    <row r="63">
      <c r="A63" s="32" t="n"/>
      <c r="B63" s="29" t="n"/>
      <c r="C63" s="33" t="n"/>
      <c r="D63" s="30" t="n"/>
      <c r="E63" s="30" t="n"/>
      <c r="F63" s="34">
        <f>IFERROR((D63-E63)/D63,0)</f>
        <v/>
      </c>
      <c r="G63" s="31">
        <f>IFERROR(C63*D63,0)</f>
        <v/>
      </c>
      <c r="H63" s="31">
        <f>IFERROR(C63*E63,0)</f>
        <v/>
      </c>
      <c r="I63" s="18">
        <f>G63-H63</f>
        <v/>
      </c>
    </row>
    <row r="64">
      <c r="A64" s="32" t="n"/>
      <c r="B64" s="29" t="n"/>
      <c r="C64" s="33" t="n"/>
      <c r="D64" s="30" t="n"/>
      <c r="E64" s="30" t="n"/>
      <c r="F64" s="34">
        <f>IFERROR((D64-E64)/D64,0)</f>
        <v/>
      </c>
      <c r="G64" s="31">
        <f>IFERROR(C64*D64,0)</f>
        <v/>
      </c>
      <c r="H64" s="31">
        <f>IFERROR(C64*E64,0)</f>
        <v/>
      </c>
      <c r="I64" s="18">
        <f>G64-H64</f>
        <v/>
      </c>
    </row>
    <row r="65">
      <c r="A65" s="32" t="n"/>
      <c r="B65" s="29" t="n"/>
      <c r="C65" s="33" t="n"/>
      <c r="D65" s="30" t="n"/>
      <c r="E65" s="30" t="n"/>
      <c r="F65" s="34">
        <f>IFERROR((D65-E65)/D65,0)</f>
        <v/>
      </c>
      <c r="G65" s="31">
        <f>IFERROR(C65*D65,0)</f>
        <v/>
      </c>
      <c r="H65" s="31">
        <f>IFERROR(C65*E65,0)</f>
        <v/>
      </c>
      <c r="I65" s="18">
        <f>G65-H65</f>
        <v/>
      </c>
    </row>
    <row r="66">
      <c r="A66" s="32" t="n"/>
      <c r="B66" s="29" t="n"/>
      <c r="C66" s="33" t="n"/>
      <c r="D66" s="30" t="n"/>
      <c r="E66" s="30" t="n"/>
      <c r="F66" s="34">
        <f>IFERROR((D66-E66)/D66,0)</f>
        <v/>
      </c>
      <c r="G66" s="31">
        <f>IFERROR(C66*D66,0)</f>
        <v/>
      </c>
      <c r="H66" s="31">
        <f>IFERROR(C66*E66,0)</f>
        <v/>
      </c>
      <c r="I66" s="18">
        <f>G66-H66</f>
        <v/>
      </c>
    </row>
    <row r="67">
      <c r="A67" s="32" t="n"/>
      <c r="B67" s="29" t="n"/>
      <c r="C67" s="33" t="n"/>
      <c r="D67" s="30" t="n"/>
      <c r="E67" s="30" t="n"/>
      <c r="F67" s="34">
        <f>IFERROR((D67-E67)/D67,0)</f>
        <v/>
      </c>
      <c r="G67" s="31">
        <f>IFERROR(C67*D67,0)</f>
        <v/>
      </c>
      <c r="H67" s="31">
        <f>IFERROR(C67*E67,0)</f>
        <v/>
      </c>
      <c r="I67" s="18">
        <f>G67-H67</f>
        <v/>
      </c>
    </row>
    <row r="68">
      <c r="A68" s="32" t="n"/>
      <c r="B68" s="29" t="n"/>
      <c r="C68" s="33" t="n"/>
      <c r="D68" s="30" t="n"/>
      <c r="E68" s="30" t="n"/>
      <c r="F68" s="34">
        <f>IFERROR((D68-E68)/D68,0)</f>
        <v/>
      </c>
      <c r="G68" s="31">
        <f>IFERROR(C68*D68,0)</f>
        <v/>
      </c>
      <c r="H68" s="31">
        <f>IFERROR(C68*E68,0)</f>
        <v/>
      </c>
      <c r="I68" s="18">
        <f>G68-H68</f>
        <v/>
      </c>
    </row>
    <row r="69">
      <c r="A69" s="32" t="n"/>
      <c r="B69" s="29" t="n"/>
      <c r="C69" s="33" t="n"/>
      <c r="D69" s="30" t="n"/>
      <c r="E69" s="30" t="n"/>
      <c r="F69" s="34">
        <f>IFERROR((D69-E69)/D69,0)</f>
        <v/>
      </c>
      <c r="G69" s="31">
        <f>IFERROR(C69*D69,0)</f>
        <v/>
      </c>
      <c r="H69" s="31">
        <f>IFERROR(C69*E69,0)</f>
        <v/>
      </c>
      <c r="I69" s="18">
        <f>G69-H69</f>
        <v/>
      </c>
    </row>
    <row r="70">
      <c r="A70" s="32" t="n"/>
      <c r="B70" s="29" t="n"/>
      <c r="C70" s="33" t="n"/>
      <c r="D70" s="30" t="n"/>
      <c r="E70" s="30" t="n"/>
      <c r="F70" s="34">
        <f>IFERROR((D70-E70)/D70,0)</f>
        <v/>
      </c>
      <c r="G70" s="31">
        <f>IFERROR(C70*D70,0)</f>
        <v/>
      </c>
      <c r="H70" s="31">
        <f>IFERROR(C70*E70,0)</f>
        <v/>
      </c>
      <c r="I70" s="18">
        <f>G70-H70</f>
        <v/>
      </c>
    </row>
    <row r="71">
      <c r="A71" s="32" t="n"/>
      <c r="B71" s="29" t="n"/>
      <c r="C71" s="33" t="n"/>
      <c r="D71" s="30" t="n"/>
      <c r="E71" s="30" t="n"/>
      <c r="F71" s="34">
        <f>IFERROR((D71-E71)/D71,0)</f>
        <v/>
      </c>
      <c r="G71" s="31">
        <f>IFERROR(C71*D71,0)</f>
        <v/>
      </c>
      <c r="H71" s="31">
        <f>IFERROR(C71*E71,0)</f>
        <v/>
      </c>
      <c r="I71" s="18">
        <f>G71-H71</f>
        <v/>
      </c>
    </row>
    <row r="72">
      <c r="A72" s="32" t="n"/>
      <c r="B72" s="29" t="n"/>
      <c r="C72" s="33" t="n"/>
      <c r="D72" s="30" t="n"/>
      <c r="E72" s="30" t="n"/>
      <c r="F72" s="34">
        <f>IFERROR((D72-E72)/D72,0)</f>
        <v/>
      </c>
      <c r="G72" s="31">
        <f>IFERROR(C72*D72,0)</f>
        <v/>
      </c>
      <c r="H72" s="31">
        <f>IFERROR(C72*E72,0)</f>
        <v/>
      </c>
      <c r="I72" s="18">
        <f>G72-H72</f>
        <v/>
      </c>
    </row>
    <row r="73">
      <c r="A73" s="32" t="n"/>
      <c r="B73" s="29" t="n"/>
      <c r="C73" s="33" t="n"/>
      <c r="D73" s="30" t="n"/>
      <c r="E73" s="30" t="n"/>
      <c r="F73" s="34">
        <f>IFERROR((D73-E73)/D73,0)</f>
        <v/>
      </c>
      <c r="G73" s="31">
        <f>IFERROR(C73*D73,0)</f>
        <v/>
      </c>
      <c r="H73" s="31">
        <f>IFERROR(C73*E73,0)</f>
        <v/>
      </c>
      <c r="I73" s="18">
        <f>G73-H73</f>
        <v/>
      </c>
    </row>
    <row r="74">
      <c r="A74" s="32" t="n"/>
      <c r="B74" s="29" t="n"/>
      <c r="C74" s="33" t="n"/>
      <c r="D74" s="30" t="n"/>
      <c r="E74" s="30" t="n"/>
      <c r="F74" s="34">
        <f>IFERROR((D74-E74)/D74,0)</f>
        <v/>
      </c>
      <c r="G74" s="31">
        <f>IFERROR(C74*D74,0)</f>
        <v/>
      </c>
      <c r="H74" s="31">
        <f>IFERROR(C74*E74,0)</f>
        <v/>
      </c>
      <c r="I74" s="18">
        <f>G74-H74</f>
        <v/>
      </c>
    </row>
    <row r="75">
      <c r="A75" s="32" t="n"/>
      <c r="B75" s="29" t="n"/>
      <c r="C75" s="33" t="n"/>
      <c r="D75" s="30" t="n"/>
      <c r="E75" s="30" t="n"/>
      <c r="F75" s="34">
        <f>IFERROR((D75-E75)/D75,0)</f>
        <v/>
      </c>
      <c r="G75" s="31">
        <f>IFERROR(C75*D75,0)</f>
        <v/>
      </c>
      <c r="H75" s="31">
        <f>IFERROR(C75*E75,0)</f>
        <v/>
      </c>
      <c r="I75" s="18">
        <f>G75-H75</f>
        <v/>
      </c>
    </row>
    <row r="76">
      <c r="A76" s="32" t="n"/>
      <c r="B76" s="29" t="n"/>
      <c r="C76" s="33" t="n"/>
      <c r="D76" s="30" t="n"/>
      <c r="E76" s="30" t="n"/>
      <c r="F76" s="34">
        <f>IFERROR((D76-E76)/D76,0)</f>
        <v/>
      </c>
      <c r="G76" s="31">
        <f>IFERROR(C76*D76,0)</f>
        <v/>
      </c>
      <c r="H76" s="31">
        <f>IFERROR(C76*E76,0)</f>
        <v/>
      </c>
      <c r="I76" s="18">
        <f>G76-H76</f>
        <v/>
      </c>
    </row>
    <row r="77">
      <c r="A77" s="32" t="n"/>
      <c r="B77" s="29" t="n"/>
      <c r="C77" s="33" t="n"/>
      <c r="D77" s="30" t="n"/>
      <c r="E77" s="30" t="n"/>
      <c r="F77" s="34">
        <f>IFERROR((D77-E77)/D77,0)</f>
        <v/>
      </c>
      <c r="G77" s="31">
        <f>IFERROR(C77*D77,0)</f>
        <v/>
      </c>
      <c r="H77" s="31">
        <f>IFERROR(C77*E77,0)</f>
        <v/>
      </c>
      <c r="I77" s="18">
        <f>G77-H77</f>
        <v/>
      </c>
    </row>
    <row r="78">
      <c r="A78" s="32" t="n"/>
      <c r="B78" s="29" t="n"/>
      <c r="C78" s="33" t="n"/>
      <c r="D78" s="30" t="n"/>
      <c r="E78" s="30" t="n"/>
      <c r="F78" s="34">
        <f>IFERROR((D78-E78)/D78,0)</f>
        <v/>
      </c>
      <c r="G78" s="31">
        <f>IFERROR(C78*D78,0)</f>
        <v/>
      </c>
      <c r="H78" s="31">
        <f>IFERROR(C78*E78,0)</f>
        <v/>
      </c>
      <c r="I78" s="18">
        <f>G78-H78</f>
        <v/>
      </c>
    </row>
    <row r="79">
      <c r="A79" s="32" t="n"/>
      <c r="B79" s="29" t="n"/>
      <c r="C79" s="33" t="n"/>
      <c r="D79" s="30" t="n"/>
      <c r="E79" s="30" t="n"/>
      <c r="F79" s="34">
        <f>IFERROR((D79-E79)/D79,0)</f>
        <v/>
      </c>
      <c r="G79" s="31">
        <f>IFERROR(C79*D79,0)</f>
        <v/>
      </c>
      <c r="H79" s="31">
        <f>IFERROR(C79*E79,0)</f>
        <v/>
      </c>
      <c r="I79" s="18">
        <f>G79-H79</f>
        <v/>
      </c>
    </row>
    <row r="80">
      <c r="A80" s="32" t="n"/>
      <c r="B80" s="29" t="n"/>
      <c r="C80" s="33" t="n"/>
      <c r="D80" s="30" t="n"/>
      <c r="E80" s="30" t="n"/>
      <c r="F80" s="34">
        <f>IFERROR((D80-E80)/D80,0)</f>
        <v/>
      </c>
      <c r="G80" s="31">
        <f>IFERROR(C80*D80,0)</f>
        <v/>
      </c>
      <c r="H80" s="31">
        <f>IFERROR(C80*E80,0)</f>
        <v/>
      </c>
      <c r="I80" s="18">
        <f>G80-H80</f>
        <v/>
      </c>
    </row>
    <row r="81">
      <c r="A81" s="32" t="n"/>
      <c r="B81" s="29" t="n"/>
      <c r="C81" s="33" t="n"/>
      <c r="D81" s="30" t="n"/>
      <c r="E81" s="30" t="n"/>
      <c r="F81" s="34">
        <f>IFERROR((D81-E81)/D81,0)</f>
        <v/>
      </c>
      <c r="G81" s="31">
        <f>IFERROR(C81*D81,0)</f>
        <v/>
      </c>
      <c r="H81" s="31">
        <f>IFERROR(C81*E81,0)</f>
        <v/>
      </c>
      <c r="I81" s="18">
        <f>G81-H81</f>
        <v/>
      </c>
    </row>
    <row r="82">
      <c r="A82" s="32" t="n"/>
      <c r="B82" s="29" t="n"/>
      <c r="C82" s="33" t="n"/>
      <c r="D82" s="30" t="n"/>
      <c r="E82" s="30" t="n"/>
      <c r="F82" s="34">
        <f>IFERROR((D82-E82)/D82,0)</f>
        <v/>
      </c>
      <c r="G82" s="31">
        <f>IFERROR(C82*D82,0)</f>
        <v/>
      </c>
      <c r="H82" s="31">
        <f>IFERROR(C82*E82,0)</f>
        <v/>
      </c>
      <c r="I82" s="18">
        <f>G82-H82</f>
        <v/>
      </c>
    </row>
    <row r="83">
      <c r="A83" s="32" t="n"/>
      <c r="B83" s="29" t="n"/>
      <c r="C83" s="33" t="n"/>
      <c r="D83" s="30" t="n"/>
      <c r="E83" s="30" t="n"/>
      <c r="F83" s="34">
        <f>IFERROR((D83-E83)/D83,0)</f>
        <v/>
      </c>
      <c r="G83" s="31">
        <f>IFERROR(C83*D83,0)</f>
        <v/>
      </c>
      <c r="H83" s="31">
        <f>IFERROR(C83*E83,0)</f>
        <v/>
      </c>
      <c r="I83" s="18">
        <f>G83-H83</f>
        <v/>
      </c>
    </row>
    <row r="84">
      <c r="A84" s="32" t="n"/>
      <c r="B84" s="29" t="n"/>
      <c r="C84" s="33" t="n"/>
      <c r="D84" s="30" t="n"/>
      <c r="E84" s="30" t="n"/>
      <c r="F84" s="34">
        <f>IFERROR((D84-E84)/D84,0)</f>
        <v/>
      </c>
      <c r="G84" s="31">
        <f>IFERROR(C84*D84,0)</f>
        <v/>
      </c>
      <c r="H84" s="31">
        <f>IFERROR(C84*E84,0)</f>
        <v/>
      </c>
      <c r="I84" s="18">
        <f>G84-H84</f>
        <v/>
      </c>
    </row>
    <row r="85">
      <c r="A85" s="32" t="n"/>
      <c r="B85" s="29" t="n"/>
      <c r="C85" s="33" t="n"/>
      <c r="D85" s="30" t="n"/>
      <c r="E85" s="30" t="n"/>
      <c r="F85" s="34">
        <f>IFERROR((D85-E85)/D85,0)</f>
        <v/>
      </c>
      <c r="G85" s="31">
        <f>IFERROR(C85*D85,0)</f>
        <v/>
      </c>
      <c r="H85" s="31">
        <f>IFERROR(C85*E85,0)</f>
        <v/>
      </c>
      <c r="I85" s="18">
        <f>G85-H85</f>
        <v/>
      </c>
    </row>
    <row r="86">
      <c r="A86" s="32" t="n"/>
      <c r="B86" s="29" t="n"/>
      <c r="C86" s="33" t="n"/>
      <c r="D86" s="30" t="n"/>
      <c r="E86" s="30" t="n"/>
      <c r="F86" s="34">
        <f>IFERROR((D86-E86)/D86,0)</f>
        <v/>
      </c>
      <c r="G86" s="31">
        <f>IFERROR(C86*D86,0)</f>
        <v/>
      </c>
      <c r="H86" s="31">
        <f>IFERROR(C86*E86,0)</f>
        <v/>
      </c>
      <c r="I86" s="18">
        <f>G86-H86</f>
        <v/>
      </c>
    </row>
    <row r="87">
      <c r="A87" s="32" t="n"/>
      <c r="B87" s="29" t="n"/>
      <c r="C87" s="33" t="n"/>
      <c r="D87" s="30" t="n"/>
      <c r="E87" s="30" t="n"/>
      <c r="F87" s="34">
        <f>IFERROR((D87-E87)/D87,0)</f>
        <v/>
      </c>
      <c r="G87" s="31">
        <f>IFERROR(C87*D87,0)</f>
        <v/>
      </c>
      <c r="H87" s="31">
        <f>IFERROR(C87*E87,0)</f>
        <v/>
      </c>
      <c r="I87" s="18">
        <f>G87-H87</f>
        <v/>
      </c>
    </row>
    <row r="88">
      <c r="A88" s="32" t="n"/>
      <c r="B88" s="29" t="n"/>
      <c r="C88" s="33" t="n"/>
      <c r="D88" s="30" t="n"/>
      <c r="E88" s="30" t="n"/>
      <c r="F88" s="34">
        <f>IFERROR((D88-E88)/D88,0)</f>
        <v/>
      </c>
      <c r="G88" s="31">
        <f>IFERROR(C88*D88,0)</f>
        <v/>
      </c>
      <c r="H88" s="31">
        <f>IFERROR(C88*E88,0)</f>
        <v/>
      </c>
      <c r="I88" s="18">
        <f>G88-H88</f>
        <v/>
      </c>
    </row>
    <row r="89">
      <c r="A89" s="32" t="n"/>
      <c r="B89" s="29" t="n"/>
      <c r="C89" s="33" t="n"/>
      <c r="D89" s="30" t="n"/>
      <c r="E89" s="30" t="n"/>
      <c r="F89" s="34">
        <f>IFERROR((D89-E89)/D89,0)</f>
        <v/>
      </c>
      <c r="G89" s="31">
        <f>IFERROR(C89*D89,0)</f>
        <v/>
      </c>
      <c r="H89" s="31">
        <f>IFERROR(C89*E89,0)</f>
        <v/>
      </c>
      <c r="I89" s="18">
        <f>G89-H89</f>
        <v/>
      </c>
    </row>
    <row r="90">
      <c r="A90" s="32" t="n"/>
      <c r="B90" s="29" t="n"/>
      <c r="C90" s="33" t="n"/>
      <c r="D90" s="30" t="n"/>
      <c r="E90" s="30" t="n"/>
      <c r="F90" s="34">
        <f>IFERROR((D90-E90)/D90,0)</f>
        <v/>
      </c>
      <c r="G90" s="31">
        <f>IFERROR(C90*D90,0)</f>
        <v/>
      </c>
      <c r="H90" s="31">
        <f>IFERROR(C90*E90,0)</f>
        <v/>
      </c>
      <c r="I90" s="18">
        <f>G90-H90</f>
        <v/>
      </c>
    </row>
    <row r="91">
      <c r="A91" s="32" t="n"/>
      <c r="B91" s="29" t="n"/>
      <c r="C91" s="33" t="n"/>
      <c r="D91" s="30" t="n"/>
      <c r="E91" s="30" t="n"/>
      <c r="F91" s="34">
        <f>IFERROR((D91-E91)/D91,0)</f>
        <v/>
      </c>
      <c r="G91" s="31">
        <f>IFERROR(C91*D91,0)</f>
        <v/>
      </c>
      <c r="H91" s="31">
        <f>IFERROR(C91*E91,0)</f>
        <v/>
      </c>
      <c r="I91" s="18">
        <f>G91-H91</f>
        <v/>
      </c>
    </row>
    <row r="92">
      <c r="A92" s="32" t="n"/>
      <c r="B92" s="29" t="n"/>
      <c r="C92" s="33" t="n"/>
      <c r="D92" s="30" t="n"/>
      <c r="E92" s="30" t="n"/>
      <c r="F92" s="34">
        <f>IFERROR((D92-E92)/D92,0)</f>
        <v/>
      </c>
      <c r="G92" s="31">
        <f>IFERROR(C92*D92,0)</f>
        <v/>
      </c>
      <c r="H92" s="31">
        <f>IFERROR(C92*E92,0)</f>
        <v/>
      </c>
      <c r="I92" s="18">
        <f>G92-H92</f>
        <v/>
      </c>
    </row>
    <row r="93">
      <c r="A93" s="32" t="n"/>
      <c r="B93" s="29" t="n"/>
      <c r="C93" s="33" t="n"/>
      <c r="D93" s="30" t="n"/>
      <c r="E93" s="30" t="n"/>
      <c r="F93" s="34">
        <f>IFERROR((D93-E93)/D93,0)</f>
        <v/>
      </c>
      <c r="G93" s="31">
        <f>IFERROR(C93*D93,0)</f>
        <v/>
      </c>
      <c r="H93" s="31">
        <f>IFERROR(C93*E93,0)</f>
        <v/>
      </c>
      <c r="I93" s="18">
        <f>G93-H93</f>
        <v/>
      </c>
    </row>
    <row r="94">
      <c r="A94" s="32" t="n"/>
      <c r="B94" s="29" t="n"/>
      <c r="C94" s="33" t="n"/>
      <c r="D94" s="30" t="n"/>
      <c r="E94" s="30" t="n"/>
      <c r="F94" s="34">
        <f>IFERROR((D94-E94)/D94,0)</f>
        <v/>
      </c>
      <c r="G94" s="31">
        <f>IFERROR(C94*D94,0)</f>
        <v/>
      </c>
      <c r="H94" s="31">
        <f>IFERROR(C94*E94,0)</f>
        <v/>
      </c>
      <c r="I94" s="18">
        <f>G94-H94</f>
        <v/>
      </c>
    </row>
    <row r="95">
      <c r="A95" s="32" t="n"/>
      <c r="B95" s="29" t="n"/>
      <c r="C95" s="33" t="n"/>
      <c r="D95" s="30" t="n"/>
      <c r="E95" s="30" t="n"/>
      <c r="F95" s="34">
        <f>IFERROR((D95-E95)/D95,0)</f>
        <v/>
      </c>
      <c r="G95" s="31">
        <f>IFERROR(C95*D95,0)</f>
        <v/>
      </c>
      <c r="H95" s="31">
        <f>IFERROR(C95*E95,0)</f>
        <v/>
      </c>
      <c r="I95" s="18">
        <f>G95-H95</f>
        <v/>
      </c>
    </row>
    <row r="96">
      <c r="A96" s="32" t="n"/>
      <c r="B96" s="29" t="n"/>
      <c r="C96" s="33" t="n"/>
      <c r="D96" s="30" t="n"/>
      <c r="E96" s="30" t="n"/>
      <c r="F96" s="34">
        <f>IFERROR((D96-E96)/D96,0)</f>
        <v/>
      </c>
      <c r="G96" s="31">
        <f>IFERROR(C96*D96,0)</f>
        <v/>
      </c>
      <c r="H96" s="31">
        <f>IFERROR(C96*E96,0)</f>
        <v/>
      </c>
      <c r="I96" s="18">
        <f>G96-H96</f>
        <v/>
      </c>
    </row>
    <row r="97">
      <c r="A97" s="32" t="n"/>
      <c r="B97" s="29" t="n"/>
      <c r="C97" s="33" t="n"/>
      <c r="D97" s="30" t="n"/>
      <c r="E97" s="30" t="n"/>
      <c r="F97" s="34">
        <f>IFERROR((D97-E97)/D97,0)</f>
        <v/>
      </c>
      <c r="G97" s="31">
        <f>IFERROR(C97*D97,0)</f>
        <v/>
      </c>
      <c r="H97" s="31">
        <f>IFERROR(C97*E97,0)</f>
        <v/>
      </c>
      <c r="I97" s="18">
        <f>G97-H97</f>
        <v/>
      </c>
    </row>
    <row r="98">
      <c r="A98" s="32" t="n"/>
      <c r="B98" s="29" t="n"/>
      <c r="C98" s="33" t="n"/>
      <c r="D98" s="30" t="n"/>
      <c r="E98" s="30" t="n"/>
      <c r="F98" s="34">
        <f>IFERROR((D98-E98)/D98,0)</f>
        <v/>
      </c>
      <c r="G98" s="31">
        <f>IFERROR(C98*D98,0)</f>
        <v/>
      </c>
      <c r="H98" s="31">
        <f>IFERROR(C98*E98,0)</f>
        <v/>
      </c>
      <c r="I98" s="18">
        <f>G98-H98</f>
        <v/>
      </c>
    </row>
    <row r="99">
      <c r="A99" s="32" t="n"/>
      <c r="B99" s="29" t="n"/>
      <c r="C99" s="33" t="n"/>
      <c r="D99" s="30" t="n"/>
      <c r="E99" s="30" t="n"/>
      <c r="F99" s="34">
        <f>IFERROR((D99-E99)/D99,0)</f>
        <v/>
      </c>
      <c r="G99" s="31">
        <f>IFERROR(C99*D99,0)</f>
        <v/>
      </c>
      <c r="H99" s="31">
        <f>IFERROR(C99*E99,0)</f>
        <v/>
      </c>
      <c r="I99" s="18">
        <f>G99-H99</f>
        <v/>
      </c>
    </row>
    <row r="100">
      <c r="A100" s="32" t="n"/>
      <c r="B100" s="29" t="n"/>
      <c r="C100" s="33" t="n"/>
      <c r="D100" s="30" t="n"/>
      <c r="E100" s="30" t="n"/>
      <c r="F100" s="34">
        <f>IFERROR((D100-E100)/D100,0)</f>
        <v/>
      </c>
      <c r="G100" s="31">
        <f>IFERROR(C100*D100,0)</f>
        <v/>
      </c>
      <c r="H100" s="31">
        <f>IFERROR(C100*E100,0)</f>
        <v/>
      </c>
      <c r="I100" s="18">
        <f>G100-H100</f>
        <v/>
      </c>
    </row>
    <row r="101">
      <c r="A101" s="32" t="n"/>
      <c r="B101" s="29" t="n"/>
      <c r="C101" s="33" t="n"/>
      <c r="D101" s="30" t="n"/>
      <c r="E101" s="30" t="n"/>
      <c r="F101" s="34">
        <f>IFERROR((D101-E101)/D101,0)</f>
        <v/>
      </c>
      <c r="G101" s="31">
        <f>IFERROR(C101*D101,0)</f>
        <v/>
      </c>
      <c r="H101" s="31">
        <f>IFERROR(C101*E101,0)</f>
        <v/>
      </c>
      <c r="I101" s="18">
        <f>G101-H101</f>
        <v/>
      </c>
    </row>
    <row r="102">
      <c r="A102" s="32" t="n"/>
      <c r="B102" s="29" t="n"/>
      <c r="C102" s="33" t="n"/>
      <c r="D102" s="30" t="n"/>
      <c r="E102" s="30" t="n"/>
      <c r="F102" s="34">
        <f>IFERROR((D102-E102)/D102,0)</f>
        <v/>
      </c>
      <c r="G102" s="31">
        <f>IFERROR(C102*D102,0)</f>
        <v/>
      </c>
      <c r="H102" s="31">
        <f>IFERROR(C102*E102,0)</f>
        <v/>
      </c>
      <c r="I102" s="18">
        <f>G102-H102</f>
        <v/>
      </c>
    </row>
    <row r="103">
      <c r="A103" s="32" t="n"/>
      <c r="B103" s="29" t="n"/>
      <c r="C103" s="33" t="n"/>
      <c r="D103" s="30" t="n"/>
      <c r="E103" s="30" t="n"/>
      <c r="F103" s="34">
        <f>IFERROR((D103-E103)/D103,0)</f>
        <v/>
      </c>
      <c r="G103" s="31">
        <f>IFERROR(C103*D103,0)</f>
        <v/>
      </c>
      <c r="H103" s="31">
        <f>IFERROR(C103*E103,0)</f>
        <v/>
      </c>
      <c r="I103" s="18">
        <f>G103-H103</f>
        <v/>
      </c>
    </row>
    <row r="104">
      <c r="A104" s="32" t="n"/>
      <c r="B104" s="29" t="n"/>
      <c r="C104" s="33" t="n"/>
      <c r="D104" s="30" t="n"/>
      <c r="E104" s="30" t="n"/>
      <c r="F104" s="34">
        <f>IFERROR((D104-E104)/D104,0)</f>
        <v/>
      </c>
      <c r="G104" s="31">
        <f>IFERROR(C104*D104,0)</f>
        <v/>
      </c>
      <c r="H104" s="31">
        <f>IFERROR(C104*E104,0)</f>
        <v/>
      </c>
      <c r="I104" s="18">
        <f>G104-H104</f>
        <v/>
      </c>
    </row>
    <row r="105">
      <c r="A105" s="32" t="n"/>
      <c r="B105" s="29" t="n"/>
      <c r="C105" s="33" t="n"/>
      <c r="D105" s="30" t="n"/>
      <c r="E105" s="30" t="n"/>
      <c r="F105" s="34">
        <f>IFERROR((D105-E105)/D105,0)</f>
        <v/>
      </c>
      <c r="G105" s="31">
        <f>IFERROR(C105*D105,0)</f>
        <v/>
      </c>
      <c r="H105" s="31">
        <f>IFERROR(C105*E105,0)</f>
        <v/>
      </c>
      <c r="I105" s="18">
        <f>G105-H105</f>
        <v/>
      </c>
    </row>
    <row r="106">
      <c r="A106" s="32" t="n"/>
      <c r="B106" s="29" t="n"/>
      <c r="C106" s="33" t="n"/>
      <c r="D106" s="30" t="n"/>
      <c r="E106" s="30" t="n"/>
      <c r="F106" s="34">
        <f>IFERROR((D106-E106)/D106,0)</f>
        <v/>
      </c>
      <c r="G106" s="31">
        <f>IFERROR(C106*D106,0)</f>
        <v/>
      </c>
      <c r="H106" s="31">
        <f>IFERROR(C106*E106,0)</f>
        <v/>
      </c>
      <c r="I106" s="18">
        <f>G106-H106</f>
        <v/>
      </c>
    </row>
    <row r="107">
      <c r="A107" s="32" t="n"/>
      <c r="B107" s="29" t="n"/>
      <c r="C107" s="33" t="n"/>
      <c r="D107" s="30" t="n"/>
      <c r="E107" s="30" t="n"/>
      <c r="F107" s="34">
        <f>IFERROR((D107-E107)/D107,0)</f>
        <v/>
      </c>
      <c r="G107" s="31">
        <f>IFERROR(C107*D107,0)</f>
        <v/>
      </c>
      <c r="H107" s="31">
        <f>IFERROR(C107*E107,0)</f>
        <v/>
      </c>
      <c r="I107" s="18">
        <f>G107-H107</f>
        <v/>
      </c>
    </row>
    <row r="108">
      <c r="A108" s="32" t="n"/>
      <c r="B108" s="29" t="n"/>
      <c r="C108" s="33" t="n"/>
      <c r="D108" s="30" t="n"/>
      <c r="E108" s="30" t="n"/>
      <c r="F108" s="34">
        <f>IFERROR((D108-E108)/D108,0)</f>
        <v/>
      </c>
      <c r="G108" s="31">
        <f>IFERROR(C108*D108,0)</f>
        <v/>
      </c>
      <c r="H108" s="31">
        <f>IFERROR(C108*E108,0)</f>
        <v/>
      </c>
      <c r="I108" s="18">
        <f>G108-H108</f>
        <v/>
      </c>
    </row>
    <row r="109">
      <c r="A109" s="32" t="n"/>
      <c r="B109" s="29" t="n"/>
      <c r="C109" s="33" t="n"/>
      <c r="D109" s="30" t="n"/>
      <c r="E109" s="30" t="n"/>
      <c r="F109" s="34">
        <f>IFERROR((D109-E109)/D109,0)</f>
        <v/>
      </c>
      <c r="G109" s="31">
        <f>IFERROR(C109*D109,0)</f>
        <v/>
      </c>
      <c r="H109" s="31">
        <f>IFERROR(C109*E109,0)</f>
        <v/>
      </c>
      <c r="I109" s="18">
        <f>G109-H109</f>
        <v/>
      </c>
    </row>
    <row r="110">
      <c r="A110" s="32" t="n"/>
      <c r="B110" s="29" t="n"/>
      <c r="C110" s="33" t="n"/>
      <c r="D110" s="30" t="n"/>
      <c r="E110" s="30" t="n"/>
      <c r="F110" s="34">
        <f>IFERROR((D110-E110)/D110,0)</f>
        <v/>
      </c>
      <c r="G110" s="31">
        <f>IFERROR(C110*D110,0)</f>
        <v/>
      </c>
      <c r="H110" s="31">
        <f>IFERROR(C110*E110,0)</f>
        <v/>
      </c>
      <c r="I110" s="18">
        <f>G110-H110</f>
        <v/>
      </c>
    </row>
    <row r="111">
      <c r="A111" s="32" t="n"/>
      <c r="B111" s="29" t="n"/>
      <c r="C111" s="33" t="n"/>
      <c r="D111" s="30" t="n"/>
      <c r="E111" s="30" t="n"/>
      <c r="F111" s="34">
        <f>IFERROR((D111-E111)/D111,0)</f>
        <v/>
      </c>
      <c r="G111" s="31">
        <f>IFERROR(C111*D111,0)</f>
        <v/>
      </c>
      <c r="H111" s="31">
        <f>IFERROR(C111*E111,0)</f>
        <v/>
      </c>
      <c r="I111" s="18">
        <f>G111-H111</f>
        <v/>
      </c>
    </row>
    <row r="112">
      <c r="A112" s="32" t="n"/>
      <c r="B112" s="29" t="n"/>
      <c r="C112" s="33" t="n"/>
      <c r="D112" s="30" t="n"/>
      <c r="E112" s="30" t="n"/>
      <c r="F112" s="34">
        <f>IFERROR((D112-E112)/D112,0)</f>
        <v/>
      </c>
      <c r="G112" s="31">
        <f>IFERROR(C112*D112,0)</f>
        <v/>
      </c>
      <c r="H112" s="31">
        <f>IFERROR(C112*E112,0)</f>
        <v/>
      </c>
      <c r="I112" s="18">
        <f>G112-H112</f>
        <v/>
      </c>
    </row>
    <row r="113">
      <c r="A113" s="32" t="n"/>
      <c r="B113" s="29" t="n"/>
      <c r="C113" s="33" t="n"/>
      <c r="D113" s="30" t="n"/>
      <c r="E113" s="30" t="n"/>
      <c r="F113" s="34">
        <f>IFERROR((D113-E113)/D113,0)</f>
        <v/>
      </c>
      <c r="G113" s="31">
        <f>IFERROR(C113*D113,0)</f>
        <v/>
      </c>
      <c r="H113" s="31">
        <f>IFERROR(C113*E113,0)</f>
        <v/>
      </c>
      <c r="I113" s="18">
        <f>G113-H113</f>
        <v/>
      </c>
    </row>
    <row r="114">
      <c r="A114" s="32" t="n"/>
      <c r="B114" s="29" t="n"/>
      <c r="C114" s="33" t="n"/>
      <c r="D114" s="30" t="n"/>
      <c r="E114" s="30" t="n"/>
      <c r="F114" s="34">
        <f>IFERROR((D114-E114)/D114,0)</f>
        <v/>
      </c>
      <c r="G114" s="31">
        <f>IFERROR(C114*D114,0)</f>
        <v/>
      </c>
      <c r="H114" s="31">
        <f>IFERROR(C114*E114,0)</f>
        <v/>
      </c>
      <c r="I114" s="18">
        <f>G114-H114</f>
        <v/>
      </c>
    </row>
    <row r="115">
      <c r="A115" s="32" t="n"/>
      <c r="B115" s="29" t="n"/>
      <c r="C115" s="33" t="n"/>
      <c r="D115" s="30" t="n"/>
      <c r="E115" s="30" t="n"/>
      <c r="F115" s="34">
        <f>IFERROR((D115-E115)/D115,0)</f>
        <v/>
      </c>
      <c r="G115" s="31">
        <f>IFERROR(C115*D115,0)</f>
        <v/>
      </c>
      <c r="H115" s="31">
        <f>IFERROR(C115*E115,0)</f>
        <v/>
      </c>
      <c r="I115" s="18">
        <f>G115-H115</f>
        <v/>
      </c>
    </row>
    <row r="116">
      <c r="A116" s="32" t="n"/>
      <c r="B116" s="29" t="n"/>
      <c r="C116" s="33" t="n"/>
      <c r="D116" s="30" t="n"/>
      <c r="E116" s="30" t="n"/>
      <c r="F116" s="34">
        <f>IFERROR((D116-E116)/D116,0)</f>
        <v/>
      </c>
      <c r="G116" s="31">
        <f>IFERROR(C116*D116,0)</f>
        <v/>
      </c>
      <c r="H116" s="31">
        <f>IFERROR(C116*E116,0)</f>
        <v/>
      </c>
      <c r="I116" s="18">
        <f>G116-H116</f>
        <v/>
      </c>
    </row>
    <row r="117">
      <c r="A117" s="32" t="n"/>
      <c r="B117" s="29" t="n"/>
      <c r="C117" s="33" t="n"/>
      <c r="D117" s="30" t="n"/>
      <c r="E117" s="30" t="n"/>
      <c r="F117" s="34">
        <f>IFERROR((D117-E117)/D117,0)</f>
        <v/>
      </c>
      <c r="G117" s="31">
        <f>IFERROR(C117*D117,0)</f>
        <v/>
      </c>
      <c r="H117" s="31">
        <f>IFERROR(C117*E117,0)</f>
        <v/>
      </c>
      <c r="I117" s="18">
        <f>G117-H117</f>
        <v/>
      </c>
    </row>
    <row r="118">
      <c r="A118" s="32" t="n"/>
      <c r="B118" s="29" t="n"/>
      <c r="C118" s="33" t="n"/>
      <c r="D118" s="30" t="n"/>
      <c r="E118" s="30" t="n"/>
      <c r="F118" s="34">
        <f>IFERROR((D118-E118)/D118,0)</f>
        <v/>
      </c>
      <c r="G118" s="31">
        <f>IFERROR(C118*D118,0)</f>
        <v/>
      </c>
      <c r="H118" s="31">
        <f>IFERROR(C118*E118,0)</f>
        <v/>
      </c>
      <c r="I118" s="18">
        <f>G118-H118</f>
        <v/>
      </c>
    </row>
    <row r="119">
      <c r="A119" s="32" t="n"/>
      <c r="B119" s="29" t="n"/>
      <c r="C119" s="33" t="n"/>
      <c r="D119" s="30" t="n"/>
      <c r="E119" s="30" t="n"/>
      <c r="F119" s="34">
        <f>IFERROR((D119-E119)/D119,0)</f>
        <v/>
      </c>
      <c r="G119" s="31">
        <f>IFERROR(C119*D119,0)</f>
        <v/>
      </c>
      <c r="H119" s="31">
        <f>IFERROR(C119*E119,0)</f>
        <v/>
      </c>
      <c r="I119" s="18">
        <f>G119-H119</f>
        <v/>
      </c>
    </row>
    <row r="120">
      <c r="A120" s="32" t="n"/>
      <c r="B120" s="29" t="n"/>
      <c r="C120" s="33" t="n"/>
      <c r="D120" s="30" t="n"/>
      <c r="E120" s="30" t="n"/>
      <c r="F120" s="34">
        <f>IFERROR((D120-E120)/D120,0)</f>
        <v/>
      </c>
      <c r="G120" s="31">
        <f>IFERROR(C120*D120,0)</f>
        <v/>
      </c>
      <c r="H120" s="31">
        <f>IFERROR(C120*E120,0)</f>
        <v/>
      </c>
      <c r="I120" s="18">
        <f>G120-H120</f>
        <v/>
      </c>
    </row>
    <row r="121">
      <c r="A121" s="32" t="n"/>
      <c r="B121" s="29" t="n"/>
      <c r="C121" s="33" t="n"/>
      <c r="D121" s="30" t="n"/>
      <c r="E121" s="30" t="n"/>
      <c r="F121" s="34">
        <f>IFERROR((D121-E121)/D121,0)</f>
        <v/>
      </c>
      <c r="G121" s="31">
        <f>IFERROR(C121*D121,0)</f>
        <v/>
      </c>
      <c r="H121" s="31">
        <f>IFERROR(C121*E121,0)</f>
        <v/>
      </c>
      <c r="I121" s="18">
        <f>G121-H121</f>
        <v/>
      </c>
    </row>
    <row r="122">
      <c r="A122" s="32" t="n"/>
      <c r="B122" s="29" t="n"/>
      <c r="C122" s="33" t="n"/>
      <c r="D122" s="30" t="n"/>
      <c r="E122" s="30" t="n"/>
      <c r="F122" s="34">
        <f>IFERROR((D122-E122)/D122,0)</f>
        <v/>
      </c>
      <c r="G122" s="31">
        <f>IFERROR(C122*D122,0)</f>
        <v/>
      </c>
      <c r="H122" s="31">
        <f>IFERROR(C122*E122,0)</f>
        <v/>
      </c>
      <c r="I122" s="18">
        <f>G122-H122</f>
        <v/>
      </c>
    </row>
    <row r="123">
      <c r="A123" s="32" t="n"/>
      <c r="B123" s="29" t="n"/>
      <c r="C123" s="33" t="n"/>
      <c r="D123" s="30" t="n"/>
      <c r="E123" s="30" t="n"/>
      <c r="F123" s="34">
        <f>IFERROR((D123-E123)/D123,0)</f>
        <v/>
      </c>
      <c r="G123" s="31">
        <f>IFERROR(C123*D123,0)</f>
        <v/>
      </c>
      <c r="H123" s="31">
        <f>IFERROR(C123*E123,0)</f>
        <v/>
      </c>
      <c r="I123" s="18">
        <f>G123-H123</f>
        <v/>
      </c>
    </row>
    <row r="124">
      <c r="A124" s="32" t="n"/>
      <c r="B124" s="29" t="n"/>
      <c r="C124" s="33" t="n"/>
      <c r="D124" s="30" t="n"/>
      <c r="E124" s="30" t="n"/>
      <c r="F124" s="34">
        <f>IFERROR((D124-E124)/D124,0)</f>
        <v/>
      </c>
      <c r="G124" s="31">
        <f>IFERROR(C124*D124,0)</f>
        <v/>
      </c>
      <c r="H124" s="31">
        <f>IFERROR(C124*E124,0)</f>
        <v/>
      </c>
      <c r="I124" s="18">
        <f>G124-H124</f>
        <v/>
      </c>
    </row>
    <row r="125">
      <c r="A125" s="32" t="n"/>
      <c r="B125" s="29" t="n"/>
      <c r="C125" s="33" t="n"/>
      <c r="D125" s="30" t="n"/>
      <c r="E125" s="30" t="n"/>
      <c r="F125" s="34">
        <f>IFERROR((D125-E125)/D125,0)</f>
        <v/>
      </c>
      <c r="G125" s="31">
        <f>IFERROR(C125*D125,0)</f>
        <v/>
      </c>
      <c r="H125" s="31">
        <f>IFERROR(C125*E125,0)</f>
        <v/>
      </c>
      <c r="I125" s="18">
        <f>G125-H125</f>
        <v/>
      </c>
    </row>
    <row r="126">
      <c r="A126" s="32" t="n"/>
      <c r="B126" s="29" t="n"/>
      <c r="C126" s="33" t="n"/>
      <c r="D126" s="30" t="n"/>
      <c r="E126" s="30" t="n"/>
      <c r="F126" s="34">
        <f>IFERROR((D126-E126)/D126,0)</f>
        <v/>
      </c>
      <c r="G126" s="31">
        <f>IFERROR(C126*D126,0)</f>
        <v/>
      </c>
      <c r="H126" s="31">
        <f>IFERROR(C126*E126,0)</f>
        <v/>
      </c>
      <c r="I126" s="18">
        <f>G126-H126</f>
        <v/>
      </c>
    </row>
    <row r="127">
      <c r="A127" s="32" t="n"/>
      <c r="B127" s="29" t="n"/>
      <c r="C127" s="33" t="n"/>
      <c r="D127" s="30" t="n"/>
      <c r="E127" s="30" t="n"/>
      <c r="F127" s="34">
        <f>IFERROR((D127-E127)/D127,0)</f>
        <v/>
      </c>
      <c r="G127" s="31">
        <f>IFERROR(C127*D127,0)</f>
        <v/>
      </c>
      <c r="H127" s="31">
        <f>IFERROR(C127*E127,0)</f>
        <v/>
      </c>
      <c r="I127" s="18">
        <f>G127-H127</f>
        <v/>
      </c>
    </row>
    <row r="128">
      <c r="A128" s="32" t="n"/>
      <c r="B128" s="29" t="n"/>
      <c r="C128" s="33" t="n"/>
      <c r="D128" s="30" t="n"/>
      <c r="E128" s="30" t="n"/>
      <c r="F128" s="34">
        <f>IFERROR((D128-E128)/D128,0)</f>
        <v/>
      </c>
      <c r="G128" s="31">
        <f>IFERROR(C128*D128,0)</f>
        <v/>
      </c>
      <c r="H128" s="31">
        <f>IFERROR(C128*E128,0)</f>
        <v/>
      </c>
      <c r="I128" s="18">
        <f>G128-H128</f>
        <v/>
      </c>
    </row>
    <row r="129">
      <c r="A129" s="32" t="n"/>
      <c r="B129" s="29" t="n"/>
      <c r="C129" s="33" t="n"/>
      <c r="D129" s="30" t="n"/>
      <c r="E129" s="30" t="n"/>
      <c r="F129" s="34">
        <f>IFERROR((D129-E129)/D129,0)</f>
        <v/>
      </c>
      <c r="G129" s="31">
        <f>IFERROR(C129*D129,0)</f>
        <v/>
      </c>
      <c r="H129" s="31">
        <f>IFERROR(C129*E129,0)</f>
        <v/>
      </c>
      <c r="I129" s="18">
        <f>G129-H129</f>
        <v/>
      </c>
    </row>
    <row r="130">
      <c r="A130" s="32" t="n"/>
      <c r="B130" s="29" t="n"/>
      <c r="C130" s="33" t="n"/>
      <c r="D130" s="30" t="n"/>
      <c r="E130" s="30" t="n"/>
      <c r="F130" s="34">
        <f>IFERROR((D130-E130)/D130,0)</f>
        <v/>
      </c>
      <c r="G130" s="31">
        <f>IFERROR(C130*D130,0)</f>
        <v/>
      </c>
      <c r="H130" s="31">
        <f>IFERROR(C130*E130,0)</f>
        <v/>
      </c>
      <c r="I130" s="18">
        <f>G130-H130</f>
        <v/>
      </c>
    </row>
    <row r="131">
      <c r="A131" s="32" t="n"/>
      <c r="B131" s="29" t="n"/>
      <c r="C131" s="33" t="n"/>
      <c r="D131" s="30" t="n"/>
      <c r="E131" s="30" t="n"/>
      <c r="F131" s="34">
        <f>IFERROR((D131-E131)/D131,0)</f>
        <v/>
      </c>
      <c r="G131" s="31">
        <f>IFERROR(C131*D131,0)</f>
        <v/>
      </c>
      <c r="H131" s="31">
        <f>IFERROR(C131*E131,0)</f>
        <v/>
      </c>
      <c r="I131" s="18">
        <f>G131-H131</f>
        <v/>
      </c>
    </row>
    <row r="132">
      <c r="A132" s="32" t="n"/>
      <c r="B132" s="29" t="n"/>
      <c r="C132" s="33" t="n"/>
      <c r="D132" s="30" t="n"/>
      <c r="E132" s="30" t="n"/>
      <c r="F132" s="34">
        <f>IFERROR((D132-E132)/D132,0)</f>
        <v/>
      </c>
      <c r="G132" s="31">
        <f>IFERROR(C132*D132,0)</f>
        <v/>
      </c>
      <c r="H132" s="31">
        <f>IFERROR(C132*E132,0)</f>
        <v/>
      </c>
      <c r="I132" s="18">
        <f>G132-H132</f>
        <v/>
      </c>
    </row>
    <row r="133">
      <c r="A133" s="32" t="n"/>
      <c r="B133" s="29" t="n"/>
      <c r="C133" s="33" t="n"/>
      <c r="D133" s="30" t="n"/>
      <c r="E133" s="30" t="n"/>
      <c r="F133" s="34">
        <f>IFERROR((D133-E133)/D133,0)</f>
        <v/>
      </c>
      <c r="G133" s="31">
        <f>IFERROR(C133*D133,0)</f>
        <v/>
      </c>
      <c r="H133" s="31">
        <f>IFERROR(C133*E133,0)</f>
        <v/>
      </c>
      <c r="I133" s="18">
        <f>G133-H133</f>
        <v/>
      </c>
    </row>
    <row r="134">
      <c r="A134" s="32" t="n"/>
      <c r="B134" s="29" t="n"/>
      <c r="C134" s="33" t="n"/>
      <c r="D134" s="30" t="n"/>
      <c r="E134" s="30" t="n"/>
      <c r="F134" s="34">
        <f>IFERROR((D134-E134)/D134,0)</f>
        <v/>
      </c>
      <c r="G134" s="31">
        <f>IFERROR(C134*D134,0)</f>
        <v/>
      </c>
      <c r="H134" s="31">
        <f>IFERROR(C134*E134,0)</f>
        <v/>
      </c>
      <c r="I134" s="18">
        <f>G134-H134</f>
        <v/>
      </c>
    </row>
    <row r="135">
      <c r="A135" s="32" t="n"/>
      <c r="B135" s="29" t="n"/>
      <c r="C135" s="33" t="n"/>
      <c r="D135" s="30" t="n"/>
      <c r="E135" s="30" t="n"/>
      <c r="F135" s="34">
        <f>IFERROR((D135-E135)/D135,0)</f>
        <v/>
      </c>
      <c r="G135" s="31">
        <f>IFERROR(C135*D135,0)</f>
        <v/>
      </c>
      <c r="H135" s="31">
        <f>IFERROR(C135*E135,0)</f>
        <v/>
      </c>
      <c r="I135" s="18">
        <f>G135-H135</f>
        <v/>
      </c>
    </row>
    <row r="136">
      <c r="A136" s="32" t="n"/>
      <c r="B136" s="29" t="n"/>
      <c r="C136" s="33" t="n"/>
      <c r="D136" s="30" t="n"/>
      <c r="E136" s="30" t="n"/>
      <c r="F136" s="34">
        <f>IFERROR((D136-E136)/D136,0)</f>
        <v/>
      </c>
      <c r="G136" s="31">
        <f>IFERROR(C136*D136,0)</f>
        <v/>
      </c>
      <c r="H136" s="31">
        <f>IFERROR(C136*E136,0)</f>
        <v/>
      </c>
      <c r="I136" s="18">
        <f>G136-H136</f>
        <v/>
      </c>
    </row>
    <row r="137">
      <c r="A137" s="32" t="n"/>
      <c r="B137" s="29" t="n"/>
      <c r="C137" s="33" t="n"/>
      <c r="D137" s="30" t="n"/>
      <c r="E137" s="30" t="n"/>
      <c r="F137" s="34">
        <f>IFERROR((D137-E137)/D137,0)</f>
        <v/>
      </c>
      <c r="G137" s="31">
        <f>IFERROR(C137*D137,0)</f>
        <v/>
      </c>
      <c r="H137" s="31">
        <f>IFERROR(C137*E137,0)</f>
        <v/>
      </c>
      <c r="I137" s="18">
        <f>G137-H137</f>
        <v/>
      </c>
    </row>
    <row r="138">
      <c r="A138" s="32" t="n"/>
      <c r="B138" s="29" t="n"/>
      <c r="C138" s="33" t="n"/>
      <c r="D138" s="30" t="n"/>
      <c r="E138" s="30" t="n"/>
      <c r="F138" s="34">
        <f>IFERROR((D138-E138)/D138,0)</f>
        <v/>
      </c>
      <c r="G138" s="31">
        <f>IFERROR(C138*D138,0)</f>
        <v/>
      </c>
      <c r="H138" s="31">
        <f>IFERROR(C138*E138,0)</f>
        <v/>
      </c>
      <c r="I138" s="18">
        <f>G138-H138</f>
        <v/>
      </c>
    </row>
    <row r="139">
      <c r="A139" s="32" t="n"/>
      <c r="B139" s="29" t="n"/>
      <c r="C139" s="33" t="n"/>
      <c r="D139" s="30" t="n"/>
      <c r="E139" s="30" t="n"/>
      <c r="F139" s="34">
        <f>IFERROR((D139-E139)/D139,0)</f>
        <v/>
      </c>
      <c r="G139" s="31">
        <f>IFERROR(C139*D139,0)</f>
        <v/>
      </c>
      <c r="H139" s="31">
        <f>IFERROR(C139*E139,0)</f>
        <v/>
      </c>
      <c r="I139" s="18">
        <f>G139-H139</f>
        <v/>
      </c>
    </row>
    <row r="140">
      <c r="A140" s="32" t="n"/>
      <c r="B140" s="29" t="n"/>
      <c r="C140" s="33" t="n"/>
      <c r="D140" s="30" t="n"/>
      <c r="E140" s="30" t="n"/>
      <c r="F140" s="34">
        <f>IFERROR((D140-E140)/D140,0)</f>
        <v/>
      </c>
      <c r="G140" s="31">
        <f>IFERROR(C140*D140,0)</f>
        <v/>
      </c>
      <c r="H140" s="31">
        <f>IFERROR(C140*E140,0)</f>
        <v/>
      </c>
      <c r="I140" s="18">
        <f>G140-H140</f>
        <v/>
      </c>
    </row>
    <row r="141">
      <c r="A141" s="32" t="n"/>
      <c r="B141" s="29" t="n"/>
      <c r="C141" s="33" t="n"/>
      <c r="D141" s="30" t="n"/>
      <c r="E141" s="30" t="n"/>
      <c r="F141" s="34">
        <f>IFERROR((D141-E141)/D141,0)</f>
        <v/>
      </c>
      <c r="G141" s="31">
        <f>IFERROR(C141*D141,0)</f>
        <v/>
      </c>
      <c r="H141" s="31">
        <f>IFERROR(C141*E141,0)</f>
        <v/>
      </c>
      <c r="I141" s="18">
        <f>G141-H141</f>
        <v/>
      </c>
    </row>
    <row r="142">
      <c r="A142" s="32" t="n"/>
      <c r="B142" s="29" t="n"/>
      <c r="C142" s="33" t="n"/>
      <c r="D142" s="30" t="n"/>
      <c r="E142" s="30" t="n"/>
      <c r="F142" s="34">
        <f>IFERROR((D142-E142)/D142,0)</f>
        <v/>
      </c>
      <c r="G142" s="31">
        <f>IFERROR(C142*D142,0)</f>
        <v/>
      </c>
      <c r="H142" s="31">
        <f>IFERROR(C142*E142,0)</f>
        <v/>
      </c>
      <c r="I142" s="18">
        <f>G142-H142</f>
        <v/>
      </c>
    </row>
    <row r="143">
      <c r="A143" s="32" t="n"/>
      <c r="B143" s="29" t="n"/>
      <c r="C143" s="33" t="n"/>
      <c r="D143" s="30" t="n"/>
      <c r="E143" s="30" t="n"/>
      <c r="F143" s="34">
        <f>IFERROR((D143-E143)/D143,0)</f>
        <v/>
      </c>
      <c r="G143" s="31">
        <f>IFERROR(C143*D143,0)</f>
        <v/>
      </c>
      <c r="H143" s="31">
        <f>IFERROR(C143*E143,0)</f>
        <v/>
      </c>
      <c r="I143" s="18">
        <f>G143-H143</f>
        <v/>
      </c>
    </row>
    <row r="144">
      <c r="A144" s="32" t="n"/>
      <c r="B144" s="29" t="n"/>
      <c r="C144" s="33" t="n"/>
      <c r="D144" s="30" t="n"/>
      <c r="E144" s="30" t="n"/>
      <c r="F144" s="34">
        <f>IFERROR((D144-E144)/D144,0)</f>
        <v/>
      </c>
      <c r="G144" s="31">
        <f>IFERROR(C144*D144,0)</f>
        <v/>
      </c>
      <c r="H144" s="31">
        <f>IFERROR(C144*E144,0)</f>
        <v/>
      </c>
      <c r="I144" s="18">
        <f>G144-H144</f>
        <v/>
      </c>
    </row>
    <row r="145">
      <c r="A145" s="32" t="n"/>
      <c r="B145" s="29" t="n"/>
      <c r="C145" s="33" t="n"/>
      <c r="D145" s="30" t="n"/>
      <c r="E145" s="30" t="n"/>
      <c r="F145" s="34">
        <f>IFERROR((D145-E145)/D145,0)</f>
        <v/>
      </c>
      <c r="G145" s="31">
        <f>IFERROR(C145*D145,0)</f>
        <v/>
      </c>
      <c r="H145" s="31">
        <f>IFERROR(C145*E145,0)</f>
        <v/>
      </c>
      <c r="I145" s="18">
        <f>G145-H145</f>
        <v/>
      </c>
    </row>
    <row r="146">
      <c r="A146" s="32" t="n"/>
      <c r="B146" s="29" t="n"/>
      <c r="C146" s="33" t="n"/>
      <c r="D146" s="30" t="n"/>
      <c r="E146" s="30" t="n"/>
      <c r="F146" s="34">
        <f>IFERROR((D146-E146)/D146,0)</f>
        <v/>
      </c>
      <c r="G146" s="31">
        <f>IFERROR(C146*D146,0)</f>
        <v/>
      </c>
      <c r="H146" s="31">
        <f>IFERROR(C146*E146,0)</f>
        <v/>
      </c>
      <c r="I146" s="18">
        <f>G146-H146</f>
        <v/>
      </c>
    </row>
    <row r="147">
      <c r="A147" s="32" t="n"/>
      <c r="B147" s="29" t="n"/>
      <c r="C147" s="33" t="n"/>
      <c r="D147" s="30" t="n"/>
      <c r="E147" s="30" t="n"/>
      <c r="F147" s="34">
        <f>IFERROR((D147-E147)/D147,0)</f>
        <v/>
      </c>
      <c r="G147" s="31">
        <f>IFERROR(C147*D147,0)</f>
        <v/>
      </c>
      <c r="H147" s="31">
        <f>IFERROR(C147*E147,0)</f>
        <v/>
      </c>
      <c r="I147" s="18">
        <f>G147-H147</f>
        <v/>
      </c>
    </row>
    <row r="148">
      <c r="A148" s="32" t="n"/>
      <c r="B148" s="29" t="n"/>
      <c r="C148" s="33" t="n"/>
      <c r="D148" s="30" t="n"/>
      <c r="E148" s="30" t="n"/>
      <c r="F148" s="34">
        <f>IFERROR((D148-E148)/D148,0)</f>
        <v/>
      </c>
      <c r="G148" s="31">
        <f>IFERROR(C148*D148,0)</f>
        <v/>
      </c>
      <c r="H148" s="31">
        <f>IFERROR(C148*E148,0)</f>
        <v/>
      </c>
      <c r="I148" s="18">
        <f>G148-H148</f>
        <v/>
      </c>
    </row>
    <row r="149">
      <c r="A149" s="32" t="n"/>
      <c r="B149" s="29" t="n"/>
      <c r="C149" s="33" t="n"/>
      <c r="D149" s="30" t="n"/>
      <c r="E149" s="30" t="n"/>
      <c r="F149" s="34">
        <f>IFERROR((D149-E149)/D149,0)</f>
        <v/>
      </c>
      <c r="G149" s="31">
        <f>IFERROR(C149*D149,0)</f>
        <v/>
      </c>
      <c r="H149" s="31">
        <f>IFERROR(C149*E149,0)</f>
        <v/>
      </c>
      <c r="I149" s="18">
        <f>G149-H149</f>
        <v/>
      </c>
    </row>
    <row r="150">
      <c r="A150" s="32" t="n"/>
      <c r="B150" s="29" t="n"/>
      <c r="C150" s="33" t="n"/>
      <c r="D150" s="30" t="n"/>
      <c r="E150" s="30" t="n"/>
      <c r="F150" s="34">
        <f>IFERROR((D150-E150)/D150,0)</f>
        <v/>
      </c>
      <c r="G150" s="31">
        <f>IFERROR(C150*D150,0)</f>
        <v/>
      </c>
      <c r="H150" s="31">
        <f>IFERROR(C150*E150,0)</f>
        <v/>
      </c>
      <c r="I150" s="18">
        <f>G150-H150</f>
        <v/>
      </c>
    </row>
    <row r="151">
      <c r="A151" s="32" t="n"/>
      <c r="B151" s="29" t="n"/>
      <c r="C151" s="33" t="n"/>
      <c r="D151" s="30" t="n"/>
      <c r="E151" s="30" t="n"/>
      <c r="F151" s="34">
        <f>IFERROR((D151-E151)/D151,0)</f>
        <v/>
      </c>
      <c r="G151" s="31">
        <f>IFERROR(C151*D151,0)</f>
        <v/>
      </c>
      <c r="H151" s="31">
        <f>IFERROR(C151*E151,0)</f>
        <v/>
      </c>
      <c r="I151" s="18">
        <f>G151-H151</f>
        <v/>
      </c>
    </row>
    <row r="152">
      <c r="A152" s="32" t="n"/>
      <c r="B152" s="29" t="n"/>
      <c r="C152" s="33" t="n"/>
      <c r="D152" s="30" t="n"/>
      <c r="E152" s="30" t="n"/>
      <c r="F152" s="34">
        <f>IFERROR((D152-E152)/D152,0)</f>
        <v/>
      </c>
      <c r="G152" s="31">
        <f>IFERROR(C152*D152,0)</f>
        <v/>
      </c>
      <c r="H152" s="31">
        <f>IFERROR(C152*E152,0)</f>
        <v/>
      </c>
      <c r="I152" s="18">
        <f>G152-H152</f>
        <v/>
      </c>
    </row>
    <row r="153">
      <c r="A153" s="32" t="n"/>
      <c r="B153" s="29" t="n"/>
      <c r="C153" s="33" t="n"/>
      <c r="D153" s="30" t="n"/>
      <c r="E153" s="30" t="n"/>
      <c r="F153" s="34">
        <f>IFERROR((D153-E153)/D153,0)</f>
        <v/>
      </c>
      <c r="G153" s="31">
        <f>IFERROR(C153*D153,0)</f>
        <v/>
      </c>
      <c r="H153" s="31">
        <f>IFERROR(C153*E153,0)</f>
        <v/>
      </c>
      <c r="I153" s="18">
        <f>G153-H153</f>
        <v/>
      </c>
    </row>
    <row r="154">
      <c r="A154" s="32" t="n"/>
      <c r="B154" s="29" t="n"/>
      <c r="C154" s="33" t="n"/>
      <c r="D154" s="30" t="n"/>
      <c r="E154" s="30" t="n"/>
      <c r="F154" s="34">
        <f>IFERROR((D154-E154)/D154,0)</f>
        <v/>
      </c>
      <c r="G154" s="31">
        <f>IFERROR(C154*D154,0)</f>
        <v/>
      </c>
      <c r="H154" s="31">
        <f>IFERROR(C154*E154,0)</f>
        <v/>
      </c>
      <c r="I154" s="18">
        <f>G154-H154</f>
        <v/>
      </c>
    </row>
    <row r="155">
      <c r="A155" s="32" t="n"/>
      <c r="B155" s="29" t="n"/>
      <c r="C155" s="33" t="n"/>
      <c r="D155" s="30" t="n"/>
      <c r="E155" s="30" t="n"/>
      <c r="F155" s="34">
        <f>IFERROR((D155-E155)/D155,0)</f>
        <v/>
      </c>
      <c r="G155" s="31">
        <f>IFERROR(C155*D155,0)</f>
        <v/>
      </c>
      <c r="H155" s="31">
        <f>IFERROR(C155*E155,0)</f>
        <v/>
      </c>
      <c r="I155" s="18">
        <f>G155-H155</f>
        <v/>
      </c>
    </row>
    <row r="156">
      <c r="A156" s="32" t="n"/>
      <c r="B156" s="29" t="n"/>
      <c r="C156" s="33" t="n"/>
      <c r="D156" s="30" t="n"/>
      <c r="E156" s="30" t="n"/>
      <c r="F156" s="34">
        <f>IFERROR((D156-E156)/D156,0)</f>
        <v/>
      </c>
      <c r="G156" s="31">
        <f>IFERROR(C156*D156,0)</f>
        <v/>
      </c>
      <c r="H156" s="31">
        <f>IFERROR(C156*E156,0)</f>
        <v/>
      </c>
      <c r="I156" s="18">
        <f>G156-H156</f>
        <v/>
      </c>
    </row>
    <row r="157">
      <c r="A157" s="32" t="n"/>
      <c r="B157" s="29" t="n"/>
      <c r="C157" s="33" t="n"/>
      <c r="D157" s="30" t="n"/>
      <c r="E157" s="30" t="n"/>
      <c r="F157" s="34">
        <f>IFERROR((D157-E157)/D157,0)</f>
        <v/>
      </c>
      <c r="G157" s="31">
        <f>IFERROR(C157*D157,0)</f>
        <v/>
      </c>
      <c r="H157" s="31">
        <f>IFERROR(C157*E157,0)</f>
        <v/>
      </c>
      <c r="I157" s="18">
        <f>G157-H157</f>
        <v/>
      </c>
    </row>
    <row r="158">
      <c r="A158" s="32" t="n"/>
      <c r="B158" s="29" t="n"/>
      <c r="C158" s="33" t="n"/>
      <c r="D158" s="30" t="n"/>
      <c r="E158" s="30" t="n"/>
      <c r="F158" s="34">
        <f>IFERROR((D158-E158)/D158,0)</f>
        <v/>
      </c>
      <c r="G158" s="31">
        <f>IFERROR(C158*D158,0)</f>
        <v/>
      </c>
      <c r="H158" s="31">
        <f>IFERROR(C158*E158,0)</f>
        <v/>
      </c>
      <c r="I158" s="18">
        <f>G158-H158</f>
        <v/>
      </c>
    </row>
    <row r="159">
      <c r="A159" s="32" t="n"/>
      <c r="B159" s="29" t="n"/>
      <c r="C159" s="33" t="n"/>
      <c r="D159" s="30" t="n"/>
      <c r="E159" s="30" t="n"/>
      <c r="F159" s="34">
        <f>IFERROR((D159-E159)/D159,0)</f>
        <v/>
      </c>
      <c r="G159" s="31">
        <f>IFERROR(C159*D159,0)</f>
        <v/>
      </c>
      <c r="H159" s="31">
        <f>IFERROR(C159*E159,0)</f>
        <v/>
      </c>
      <c r="I159" s="18">
        <f>G159-H159</f>
        <v/>
      </c>
    </row>
    <row r="160">
      <c r="A160" s="32" t="n"/>
      <c r="B160" s="29" t="n"/>
      <c r="C160" s="33" t="n"/>
      <c r="D160" s="30" t="n"/>
      <c r="E160" s="30" t="n"/>
      <c r="F160" s="34">
        <f>IFERROR((D160-E160)/D160,0)</f>
        <v/>
      </c>
      <c r="G160" s="31">
        <f>IFERROR(C160*D160,0)</f>
        <v/>
      </c>
      <c r="H160" s="31">
        <f>IFERROR(C160*E160,0)</f>
        <v/>
      </c>
      <c r="I160" s="18">
        <f>G160-H160</f>
        <v/>
      </c>
    </row>
    <row r="161">
      <c r="A161" s="32" t="n"/>
      <c r="B161" s="29" t="n"/>
      <c r="C161" s="33" t="n"/>
      <c r="D161" s="30" t="n"/>
      <c r="E161" s="30" t="n"/>
      <c r="F161" s="34">
        <f>IFERROR((D161-E161)/D161,0)</f>
        <v/>
      </c>
      <c r="G161" s="31">
        <f>IFERROR(C161*D161,0)</f>
        <v/>
      </c>
      <c r="H161" s="31">
        <f>IFERROR(C161*E161,0)</f>
        <v/>
      </c>
      <c r="I161" s="18">
        <f>G161-H161</f>
        <v/>
      </c>
    </row>
    <row r="162">
      <c r="A162" s="32" t="n"/>
      <c r="B162" s="29" t="n"/>
      <c r="C162" s="33" t="n"/>
      <c r="D162" s="30" t="n"/>
      <c r="E162" s="30" t="n"/>
      <c r="F162" s="34">
        <f>IFERROR((D162-E162)/D162,0)</f>
        <v/>
      </c>
      <c r="G162" s="31">
        <f>IFERROR(C162*D162,0)</f>
        <v/>
      </c>
      <c r="H162" s="31">
        <f>IFERROR(C162*E162,0)</f>
        <v/>
      </c>
      <c r="I162" s="18">
        <f>G162-H162</f>
        <v/>
      </c>
    </row>
    <row r="163">
      <c r="A163" s="32" t="n"/>
      <c r="B163" s="29" t="n"/>
      <c r="C163" s="33" t="n"/>
      <c r="D163" s="30" t="n"/>
      <c r="E163" s="30" t="n"/>
      <c r="F163" s="34">
        <f>IFERROR((D163-E163)/D163,0)</f>
        <v/>
      </c>
      <c r="G163" s="31">
        <f>IFERROR(C163*D163,0)</f>
        <v/>
      </c>
      <c r="H163" s="31">
        <f>IFERROR(C163*E163,0)</f>
        <v/>
      </c>
      <c r="I163" s="18">
        <f>G163-H163</f>
        <v/>
      </c>
    </row>
    <row r="164">
      <c r="A164" s="32" t="n"/>
      <c r="B164" s="29" t="n"/>
      <c r="C164" s="33" t="n"/>
      <c r="D164" s="30" t="n"/>
      <c r="E164" s="30" t="n"/>
      <c r="F164" s="34">
        <f>IFERROR((D164-E164)/D164,0)</f>
        <v/>
      </c>
      <c r="G164" s="31">
        <f>IFERROR(C164*D164,0)</f>
        <v/>
      </c>
      <c r="H164" s="31">
        <f>IFERROR(C164*E164,0)</f>
        <v/>
      </c>
      <c r="I164" s="18">
        <f>G164-H164</f>
        <v/>
      </c>
    </row>
    <row r="165">
      <c r="A165" s="32" t="n"/>
      <c r="B165" s="29" t="n"/>
      <c r="C165" s="33" t="n"/>
      <c r="D165" s="30" t="n"/>
      <c r="E165" s="30" t="n"/>
      <c r="F165" s="34">
        <f>IFERROR((D165-E165)/D165,0)</f>
        <v/>
      </c>
      <c r="G165" s="31">
        <f>IFERROR(C165*D165,0)</f>
        <v/>
      </c>
      <c r="H165" s="31">
        <f>IFERROR(C165*E165,0)</f>
        <v/>
      </c>
      <c r="I165" s="18">
        <f>G165-H165</f>
        <v/>
      </c>
    </row>
    <row r="166">
      <c r="A166" s="32" t="n"/>
      <c r="B166" s="29" t="n"/>
      <c r="C166" s="33" t="n"/>
      <c r="D166" s="30" t="n"/>
      <c r="E166" s="30" t="n"/>
      <c r="F166" s="34">
        <f>IFERROR((D166-E166)/D166,0)</f>
        <v/>
      </c>
      <c r="G166" s="31">
        <f>IFERROR(C166*D166,0)</f>
        <v/>
      </c>
      <c r="H166" s="31">
        <f>IFERROR(C166*E166,0)</f>
        <v/>
      </c>
      <c r="I166" s="18">
        <f>G166-H166</f>
        <v/>
      </c>
    </row>
    <row r="167">
      <c r="A167" s="32" t="n"/>
      <c r="B167" s="29" t="n"/>
      <c r="C167" s="33" t="n"/>
      <c r="D167" s="30" t="n"/>
      <c r="E167" s="30" t="n"/>
      <c r="F167" s="34">
        <f>IFERROR((D167-E167)/D167,0)</f>
        <v/>
      </c>
      <c r="G167" s="31">
        <f>IFERROR(C167*D167,0)</f>
        <v/>
      </c>
      <c r="H167" s="31">
        <f>IFERROR(C167*E167,0)</f>
        <v/>
      </c>
      <c r="I167" s="18">
        <f>G167-H167</f>
        <v/>
      </c>
    </row>
    <row r="168">
      <c r="A168" s="32" t="n"/>
      <c r="B168" s="29" t="n"/>
      <c r="C168" s="33" t="n"/>
      <c r="D168" s="30" t="n"/>
      <c r="E168" s="30" t="n"/>
      <c r="F168" s="34">
        <f>IFERROR((D168-E168)/D168,0)</f>
        <v/>
      </c>
      <c r="G168" s="31">
        <f>IFERROR(C168*D168,0)</f>
        <v/>
      </c>
      <c r="H168" s="31">
        <f>IFERROR(C168*E168,0)</f>
        <v/>
      </c>
      <c r="I168" s="18">
        <f>G168-H168</f>
        <v/>
      </c>
    </row>
    <row r="169">
      <c r="A169" s="32" t="n"/>
      <c r="B169" s="29" t="n"/>
      <c r="C169" s="33" t="n"/>
      <c r="D169" s="30" t="n"/>
      <c r="E169" s="30" t="n"/>
      <c r="F169" s="34">
        <f>IFERROR((D169-E169)/D169,0)</f>
        <v/>
      </c>
      <c r="G169" s="31">
        <f>IFERROR(C169*D169,0)</f>
        <v/>
      </c>
      <c r="H169" s="31">
        <f>IFERROR(C169*E169,0)</f>
        <v/>
      </c>
      <c r="I169" s="18">
        <f>G169-H169</f>
        <v/>
      </c>
    </row>
    <row r="170">
      <c r="A170" s="32" t="n"/>
      <c r="B170" s="29" t="n"/>
      <c r="C170" s="33" t="n"/>
      <c r="D170" s="30" t="n"/>
      <c r="E170" s="30" t="n"/>
      <c r="F170" s="34">
        <f>IFERROR((D170-E170)/D170,0)</f>
        <v/>
      </c>
      <c r="G170" s="31">
        <f>IFERROR(C170*D170,0)</f>
        <v/>
      </c>
      <c r="H170" s="31">
        <f>IFERROR(C170*E170,0)</f>
        <v/>
      </c>
      <c r="I170" s="18">
        <f>G170-H170</f>
        <v/>
      </c>
    </row>
    <row r="171">
      <c r="A171" s="32" t="n"/>
      <c r="B171" s="29" t="n"/>
      <c r="C171" s="33" t="n"/>
      <c r="D171" s="30" t="n"/>
      <c r="E171" s="30" t="n"/>
      <c r="F171" s="34">
        <f>IFERROR((D171-E171)/D171,0)</f>
        <v/>
      </c>
      <c r="G171" s="31">
        <f>IFERROR(C171*D171,0)</f>
        <v/>
      </c>
      <c r="H171" s="31">
        <f>IFERROR(C171*E171,0)</f>
        <v/>
      </c>
      <c r="I171" s="18">
        <f>G171-H171</f>
        <v/>
      </c>
    </row>
    <row r="172">
      <c r="A172" s="32" t="n"/>
      <c r="B172" s="29" t="n"/>
      <c r="C172" s="33" t="n"/>
      <c r="D172" s="30" t="n"/>
      <c r="E172" s="30" t="n"/>
      <c r="F172" s="34">
        <f>IFERROR((D172-E172)/D172,0)</f>
        <v/>
      </c>
      <c r="G172" s="31">
        <f>IFERROR(C172*D172,0)</f>
        <v/>
      </c>
      <c r="H172" s="31">
        <f>IFERROR(C172*E172,0)</f>
        <v/>
      </c>
      <c r="I172" s="18">
        <f>G172-H172</f>
        <v/>
      </c>
    </row>
    <row r="173">
      <c r="A173" s="32" t="n"/>
      <c r="B173" s="29" t="n"/>
      <c r="C173" s="33" t="n"/>
      <c r="D173" s="30" t="n"/>
      <c r="E173" s="30" t="n"/>
      <c r="F173" s="34">
        <f>IFERROR((D173-E173)/D173,0)</f>
        <v/>
      </c>
      <c r="G173" s="31">
        <f>IFERROR(C173*D173,0)</f>
        <v/>
      </c>
      <c r="H173" s="31">
        <f>IFERROR(C173*E173,0)</f>
        <v/>
      </c>
      <c r="I173" s="18">
        <f>G173-H173</f>
        <v/>
      </c>
    </row>
    <row r="174">
      <c r="A174" s="32" t="n"/>
      <c r="B174" s="29" t="n"/>
      <c r="C174" s="33" t="n"/>
      <c r="D174" s="30" t="n"/>
      <c r="E174" s="30" t="n"/>
      <c r="F174" s="34">
        <f>IFERROR((D174-E174)/D174,0)</f>
        <v/>
      </c>
      <c r="G174" s="31">
        <f>IFERROR(C174*D174,0)</f>
        <v/>
      </c>
      <c r="H174" s="31">
        <f>IFERROR(C174*E174,0)</f>
        <v/>
      </c>
      <c r="I174" s="18">
        <f>G174-H174</f>
        <v/>
      </c>
    </row>
    <row r="175">
      <c r="A175" s="32" t="n"/>
      <c r="B175" s="29" t="n"/>
      <c r="C175" s="33" t="n"/>
      <c r="D175" s="30" t="n"/>
      <c r="E175" s="30" t="n"/>
      <c r="F175" s="34">
        <f>IFERROR((D175-E175)/D175,0)</f>
        <v/>
      </c>
      <c r="G175" s="31">
        <f>IFERROR(C175*D175,0)</f>
        <v/>
      </c>
      <c r="H175" s="31">
        <f>IFERROR(C175*E175,0)</f>
        <v/>
      </c>
      <c r="I175" s="18">
        <f>G175-H175</f>
        <v/>
      </c>
    </row>
    <row r="176">
      <c r="A176" s="32" t="n"/>
      <c r="B176" s="29" t="n"/>
      <c r="C176" s="33" t="n"/>
      <c r="D176" s="30" t="n"/>
      <c r="E176" s="30" t="n"/>
      <c r="F176" s="34">
        <f>IFERROR((D176-E176)/D176,0)</f>
        <v/>
      </c>
      <c r="G176" s="31">
        <f>IFERROR(C176*D176,0)</f>
        <v/>
      </c>
      <c r="H176" s="31">
        <f>IFERROR(C176*E176,0)</f>
        <v/>
      </c>
      <c r="I176" s="18">
        <f>G176-H176</f>
        <v/>
      </c>
    </row>
    <row r="177">
      <c r="A177" s="32" t="n"/>
      <c r="B177" s="29" t="n"/>
      <c r="C177" s="33" t="n"/>
      <c r="D177" s="30" t="n"/>
      <c r="E177" s="30" t="n"/>
      <c r="F177" s="34">
        <f>IFERROR((D177-E177)/D177,0)</f>
        <v/>
      </c>
      <c r="G177" s="31">
        <f>IFERROR(C177*D177,0)</f>
        <v/>
      </c>
      <c r="H177" s="31">
        <f>IFERROR(C177*E177,0)</f>
        <v/>
      </c>
      <c r="I177" s="18">
        <f>G177-H177</f>
        <v/>
      </c>
    </row>
    <row r="178">
      <c r="A178" s="32" t="n"/>
      <c r="B178" s="29" t="n"/>
      <c r="C178" s="33" t="n"/>
      <c r="D178" s="30" t="n"/>
      <c r="E178" s="30" t="n"/>
      <c r="F178" s="34">
        <f>IFERROR((D178-E178)/D178,0)</f>
        <v/>
      </c>
      <c r="G178" s="31">
        <f>IFERROR(C178*D178,0)</f>
        <v/>
      </c>
      <c r="H178" s="31">
        <f>IFERROR(C178*E178,0)</f>
        <v/>
      </c>
      <c r="I178" s="18">
        <f>G178-H178</f>
        <v/>
      </c>
    </row>
    <row r="179">
      <c r="A179" s="32" t="n"/>
      <c r="B179" s="29" t="n"/>
      <c r="C179" s="33" t="n"/>
      <c r="D179" s="30" t="n"/>
      <c r="E179" s="30" t="n"/>
      <c r="F179" s="34">
        <f>IFERROR((D179-E179)/D179,0)</f>
        <v/>
      </c>
      <c r="G179" s="31">
        <f>IFERROR(C179*D179,0)</f>
        <v/>
      </c>
      <c r="H179" s="31">
        <f>IFERROR(C179*E179,0)</f>
        <v/>
      </c>
      <c r="I179" s="18">
        <f>G179-H179</f>
        <v/>
      </c>
    </row>
    <row r="180">
      <c r="A180" s="32" t="n"/>
      <c r="B180" s="29" t="n"/>
      <c r="C180" s="33" t="n"/>
      <c r="D180" s="30" t="n"/>
      <c r="E180" s="30" t="n"/>
      <c r="F180" s="34">
        <f>IFERROR((D180-E180)/D180,0)</f>
        <v/>
      </c>
      <c r="G180" s="31">
        <f>IFERROR(C180*D180,0)</f>
        <v/>
      </c>
      <c r="H180" s="31">
        <f>IFERROR(C180*E180,0)</f>
        <v/>
      </c>
      <c r="I180" s="18">
        <f>G180-H180</f>
        <v/>
      </c>
    </row>
    <row r="181">
      <c r="A181" s="32" t="n"/>
      <c r="B181" s="29" t="n"/>
      <c r="C181" s="33" t="n"/>
      <c r="D181" s="30" t="n"/>
      <c r="E181" s="30" t="n"/>
      <c r="F181" s="34">
        <f>IFERROR((D181-E181)/D181,0)</f>
        <v/>
      </c>
      <c r="G181" s="31">
        <f>IFERROR(C181*D181,0)</f>
        <v/>
      </c>
      <c r="H181" s="31">
        <f>IFERROR(C181*E181,0)</f>
        <v/>
      </c>
      <c r="I181" s="18">
        <f>G181-H181</f>
        <v/>
      </c>
    </row>
    <row r="182">
      <c r="A182" s="32" t="n"/>
      <c r="B182" s="29" t="n"/>
      <c r="C182" s="33" t="n"/>
      <c r="D182" s="30" t="n"/>
      <c r="E182" s="30" t="n"/>
      <c r="F182" s="34">
        <f>IFERROR((D182-E182)/D182,0)</f>
        <v/>
      </c>
      <c r="G182" s="31">
        <f>IFERROR(C182*D182,0)</f>
        <v/>
      </c>
      <c r="H182" s="31">
        <f>IFERROR(C182*E182,0)</f>
        <v/>
      </c>
      <c r="I182" s="18">
        <f>G182-H182</f>
        <v/>
      </c>
    </row>
    <row r="183">
      <c r="A183" s="32" t="n"/>
      <c r="B183" s="29" t="n"/>
      <c r="C183" s="33" t="n"/>
      <c r="D183" s="30" t="n"/>
      <c r="E183" s="30" t="n"/>
      <c r="F183" s="34">
        <f>IFERROR((D183-E183)/D183,0)</f>
        <v/>
      </c>
      <c r="G183" s="31">
        <f>IFERROR(C183*D183,0)</f>
        <v/>
      </c>
      <c r="H183" s="31">
        <f>IFERROR(C183*E183,0)</f>
        <v/>
      </c>
      <c r="I183" s="18">
        <f>G183-H183</f>
        <v/>
      </c>
    </row>
    <row r="184">
      <c r="A184" s="32" t="n"/>
      <c r="B184" s="29" t="n"/>
      <c r="C184" s="33" t="n"/>
      <c r="D184" s="30" t="n"/>
      <c r="E184" s="30" t="n"/>
      <c r="F184" s="34">
        <f>IFERROR((D184-E184)/D184,0)</f>
        <v/>
      </c>
      <c r="G184" s="31">
        <f>IFERROR(C184*D184,0)</f>
        <v/>
      </c>
      <c r="H184" s="31">
        <f>IFERROR(C184*E184,0)</f>
        <v/>
      </c>
      <c r="I184" s="18">
        <f>G184-H184</f>
        <v/>
      </c>
    </row>
    <row r="185">
      <c r="A185" s="32" t="n"/>
      <c r="B185" s="29" t="n"/>
      <c r="C185" s="33" t="n"/>
      <c r="D185" s="30" t="n"/>
      <c r="E185" s="30" t="n"/>
      <c r="F185" s="34">
        <f>IFERROR((D185-E185)/D185,0)</f>
        <v/>
      </c>
      <c r="G185" s="31">
        <f>IFERROR(C185*D185,0)</f>
        <v/>
      </c>
      <c r="H185" s="31">
        <f>IFERROR(C185*E185,0)</f>
        <v/>
      </c>
      <c r="I185" s="18">
        <f>G185-H185</f>
        <v/>
      </c>
    </row>
    <row r="186">
      <c r="A186" s="32" t="n"/>
      <c r="B186" s="29" t="n"/>
      <c r="C186" s="33" t="n"/>
      <c r="D186" s="30" t="n"/>
      <c r="E186" s="30" t="n"/>
      <c r="F186" s="34">
        <f>IFERROR((D186-E186)/D186,0)</f>
        <v/>
      </c>
      <c r="G186" s="31">
        <f>IFERROR(C186*D186,0)</f>
        <v/>
      </c>
      <c r="H186" s="31">
        <f>IFERROR(C186*E186,0)</f>
        <v/>
      </c>
      <c r="I186" s="18">
        <f>G186-H186</f>
        <v/>
      </c>
    </row>
    <row r="187">
      <c r="A187" s="32" t="n"/>
      <c r="B187" s="29" t="n"/>
      <c r="C187" s="33" t="n"/>
      <c r="D187" s="30" t="n"/>
      <c r="E187" s="30" t="n"/>
      <c r="F187" s="34">
        <f>IFERROR((D187-E187)/D187,0)</f>
        <v/>
      </c>
      <c r="G187" s="31">
        <f>IFERROR(C187*D187,0)</f>
        <v/>
      </c>
      <c r="H187" s="31">
        <f>IFERROR(C187*E187,0)</f>
        <v/>
      </c>
      <c r="I187" s="18">
        <f>G187-H187</f>
        <v/>
      </c>
    </row>
    <row r="188">
      <c r="A188" s="32" t="n"/>
      <c r="B188" s="29" t="n"/>
      <c r="C188" s="33" t="n"/>
      <c r="D188" s="30" t="n"/>
      <c r="E188" s="30" t="n"/>
      <c r="F188" s="34">
        <f>IFERROR((D188-E188)/D188,0)</f>
        <v/>
      </c>
      <c r="G188" s="31">
        <f>IFERROR(C188*D188,0)</f>
        <v/>
      </c>
      <c r="H188" s="31">
        <f>IFERROR(C188*E188,0)</f>
        <v/>
      </c>
      <c r="I188" s="18">
        <f>G188-H188</f>
        <v/>
      </c>
    </row>
    <row r="189">
      <c r="A189" s="32" t="n"/>
      <c r="B189" s="29" t="n"/>
      <c r="C189" s="33" t="n"/>
      <c r="D189" s="30" t="n"/>
      <c r="E189" s="30" t="n"/>
      <c r="F189" s="34">
        <f>IFERROR((D189-E189)/D189,0)</f>
        <v/>
      </c>
      <c r="G189" s="31">
        <f>IFERROR(C189*D189,0)</f>
        <v/>
      </c>
      <c r="H189" s="31">
        <f>IFERROR(C189*E189,0)</f>
        <v/>
      </c>
      <c r="I189" s="18">
        <f>G189-H189</f>
        <v/>
      </c>
    </row>
    <row r="190">
      <c r="A190" s="32" t="n"/>
      <c r="B190" s="29" t="n"/>
      <c r="C190" s="33" t="n"/>
      <c r="D190" s="30" t="n"/>
      <c r="E190" s="30" t="n"/>
      <c r="F190" s="34">
        <f>IFERROR((D190-E190)/D190,0)</f>
        <v/>
      </c>
      <c r="G190" s="31">
        <f>IFERROR(C190*D190,0)</f>
        <v/>
      </c>
      <c r="H190" s="31">
        <f>IFERROR(C190*E190,0)</f>
        <v/>
      </c>
      <c r="I190" s="18">
        <f>G190-H190</f>
        <v/>
      </c>
    </row>
    <row r="191">
      <c r="A191" s="32" t="n"/>
      <c r="B191" s="29" t="n"/>
      <c r="C191" s="33" t="n"/>
      <c r="D191" s="30" t="n"/>
      <c r="E191" s="30" t="n"/>
      <c r="F191" s="34">
        <f>IFERROR((D191-E191)/D191,0)</f>
        <v/>
      </c>
      <c r="G191" s="31">
        <f>IFERROR(C191*D191,0)</f>
        <v/>
      </c>
      <c r="H191" s="31">
        <f>IFERROR(C191*E191,0)</f>
        <v/>
      </c>
      <c r="I191" s="18">
        <f>G191-H191</f>
        <v/>
      </c>
    </row>
    <row r="192">
      <c r="A192" s="32" t="n"/>
      <c r="B192" s="29" t="n"/>
      <c r="C192" s="33" t="n"/>
      <c r="D192" s="30" t="n"/>
      <c r="E192" s="30" t="n"/>
      <c r="F192" s="34">
        <f>IFERROR((D192-E192)/D192,0)</f>
        <v/>
      </c>
      <c r="G192" s="31">
        <f>IFERROR(C192*D192,0)</f>
        <v/>
      </c>
      <c r="H192" s="31">
        <f>IFERROR(C192*E192,0)</f>
        <v/>
      </c>
      <c r="I192" s="18">
        <f>G192-H192</f>
        <v/>
      </c>
    </row>
    <row r="193">
      <c r="A193" s="32" t="n"/>
      <c r="B193" s="29" t="n"/>
      <c r="C193" s="33" t="n"/>
      <c r="D193" s="30" t="n"/>
      <c r="E193" s="30" t="n"/>
      <c r="F193" s="34">
        <f>IFERROR((D193-E193)/D193,0)</f>
        <v/>
      </c>
      <c r="G193" s="31">
        <f>IFERROR(C193*D193,0)</f>
        <v/>
      </c>
      <c r="H193" s="31">
        <f>IFERROR(C193*E193,0)</f>
        <v/>
      </c>
      <c r="I193" s="18">
        <f>G193-H193</f>
        <v/>
      </c>
    </row>
    <row r="194">
      <c r="A194" s="32" t="n"/>
      <c r="B194" s="29" t="n"/>
      <c r="C194" s="33" t="n"/>
      <c r="D194" s="30" t="n"/>
      <c r="E194" s="30" t="n"/>
      <c r="F194" s="34">
        <f>IFERROR((D194-E194)/D194,0)</f>
        <v/>
      </c>
      <c r="G194" s="31">
        <f>IFERROR(C194*D194,0)</f>
        <v/>
      </c>
      <c r="H194" s="31">
        <f>IFERROR(C194*E194,0)</f>
        <v/>
      </c>
      <c r="I194" s="18">
        <f>G194-H194</f>
        <v/>
      </c>
    </row>
    <row r="195">
      <c r="A195" s="32" t="n"/>
      <c r="B195" s="29" t="n"/>
      <c r="C195" s="33" t="n"/>
      <c r="D195" s="30" t="n"/>
      <c r="E195" s="30" t="n"/>
      <c r="F195" s="34">
        <f>IFERROR((D195-E195)/D195,0)</f>
        <v/>
      </c>
      <c r="G195" s="31">
        <f>IFERROR(C195*D195,0)</f>
        <v/>
      </c>
      <c r="H195" s="31">
        <f>IFERROR(C195*E195,0)</f>
        <v/>
      </c>
      <c r="I195" s="18">
        <f>G195-H195</f>
        <v/>
      </c>
    </row>
    <row r="196">
      <c r="A196" s="32" t="n"/>
      <c r="B196" s="29" t="n"/>
      <c r="C196" s="33" t="n"/>
      <c r="D196" s="30" t="n"/>
      <c r="E196" s="30" t="n"/>
      <c r="F196" s="34">
        <f>IFERROR((D196-E196)/D196,0)</f>
        <v/>
      </c>
      <c r="G196" s="31">
        <f>IFERROR(C196*D196,0)</f>
        <v/>
      </c>
      <c r="H196" s="31">
        <f>IFERROR(C196*E196,0)</f>
        <v/>
      </c>
      <c r="I196" s="18">
        <f>G196-H196</f>
        <v/>
      </c>
    </row>
    <row r="197">
      <c r="A197" s="32" t="n"/>
      <c r="B197" s="29" t="n"/>
      <c r="C197" s="33" t="n"/>
      <c r="D197" s="30" t="n"/>
      <c r="E197" s="30" t="n"/>
      <c r="F197" s="34">
        <f>IFERROR((D197-E197)/D197,0)</f>
        <v/>
      </c>
      <c r="G197" s="31">
        <f>IFERROR(C197*D197,0)</f>
        <v/>
      </c>
      <c r="H197" s="31">
        <f>IFERROR(C197*E197,0)</f>
        <v/>
      </c>
      <c r="I197" s="18">
        <f>G197-H197</f>
        <v/>
      </c>
    </row>
    <row r="198">
      <c r="A198" s="32" t="n"/>
      <c r="B198" s="29" t="n"/>
      <c r="C198" s="33" t="n"/>
      <c r="D198" s="30" t="n"/>
      <c r="E198" s="30" t="n"/>
      <c r="F198" s="34">
        <f>IFERROR((D198-E198)/D198,0)</f>
        <v/>
      </c>
      <c r="G198" s="31">
        <f>IFERROR(C198*D198,0)</f>
        <v/>
      </c>
      <c r="H198" s="31">
        <f>IFERROR(C198*E198,0)</f>
        <v/>
      </c>
      <c r="I198" s="18">
        <f>G198-H198</f>
        <v/>
      </c>
    </row>
    <row r="199">
      <c r="A199" s="32" t="n"/>
      <c r="B199" s="29" t="n"/>
      <c r="C199" s="33" t="n"/>
      <c r="D199" s="30" t="n"/>
      <c r="E199" s="30" t="n"/>
      <c r="F199" s="34">
        <f>IFERROR((D199-E199)/D199,0)</f>
        <v/>
      </c>
      <c r="G199" s="31">
        <f>IFERROR(C199*D199,0)</f>
        <v/>
      </c>
      <c r="H199" s="31">
        <f>IFERROR(C199*E199,0)</f>
        <v/>
      </c>
      <c r="I199" s="18">
        <f>G199-H199</f>
        <v/>
      </c>
    </row>
    <row r="200">
      <c r="A200" s="32" t="n"/>
      <c r="B200" s="29" t="n"/>
      <c r="C200" s="33" t="n"/>
      <c r="D200" s="30" t="n"/>
      <c r="E200" s="30" t="n"/>
      <c r="F200" s="34">
        <f>IFERROR((D200-E200)/D200,0)</f>
        <v/>
      </c>
      <c r="G200" s="31">
        <f>IFERROR(C200*D200,0)</f>
        <v/>
      </c>
      <c r="H200" s="31">
        <f>IFERROR(C200*E200,0)</f>
        <v/>
      </c>
      <c r="I200" s="18">
        <f>G200-H200</f>
        <v/>
      </c>
    </row>
    <row r="201">
      <c r="A201" s="32" t="n"/>
      <c r="B201" s="29" t="n"/>
      <c r="C201" s="33" t="n"/>
      <c r="D201" s="30" t="n"/>
      <c r="E201" s="30" t="n"/>
      <c r="F201" s="34">
        <f>IFERROR((D201-E201)/D201,0)</f>
        <v/>
      </c>
      <c r="G201" s="31">
        <f>IFERROR(C201*D201,0)</f>
        <v/>
      </c>
      <c r="H201" s="31">
        <f>IFERROR(C201*E201,0)</f>
        <v/>
      </c>
      <c r="I201" s="18">
        <f>G201-H201</f>
        <v/>
      </c>
    </row>
    <row r="202">
      <c r="A202" s="32" t="n"/>
      <c r="B202" s="29" t="n"/>
      <c r="C202" s="33" t="n"/>
      <c r="D202" s="30" t="n"/>
      <c r="E202" s="30" t="n"/>
      <c r="F202" s="34">
        <f>IFERROR((D202-E202)/D202,0)</f>
        <v/>
      </c>
      <c r="G202" s="31">
        <f>IFERROR(C202*D202,0)</f>
        <v/>
      </c>
      <c r="H202" s="31">
        <f>IFERROR(C202*E202,0)</f>
        <v/>
      </c>
      <c r="I202" s="18">
        <f>G202-H202</f>
        <v/>
      </c>
    </row>
    <row r="203">
      <c r="A203" s="32" t="n"/>
      <c r="B203" s="29" t="n"/>
      <c r="C203" s="33" t="n"/>
      <c r="D203" s="30" t="n"/>
      <c r="E203" s="30" t="n"/>
      <c r="F203" s="34">
        <f>IFERROR((D203-E203)/D203,0)</f>
        <v/>
      </c>
      <c r="G203" s="31">
        <f>IFERROR(C203*D203,0)</f>
        <v/>
      </c>
      <c r="H203" s="31">
        <f>IFERROR(C203*E203,0)</f>
        <v/>
      </c>
      <c r="I203" s="18">
        <f>G203-H203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">
    <mergeCell ref="A1:I1"/>
    <mergeCell ref="A2:I2"/>
  </mergeCells>
  <conditionalFormatting sqref="F4:F203">
    <cfRule type="cellIs" priority="1" operator="lessThan" dxfId="0">
      <formula>0.2</formula>
    </cfRule>
    <cfRule type="cellIs" priority="2" operator="greaterThanOrEqual" dxfId="1">
      <formula>0.4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35" t="inlineStr">
        <is>
          <t>v1.0.0</t>
        </is>
      </c>
      <c r="B1" s="1" t="n"/>
      <c r="C1" s="1" t="n"/>
    </row>
    <row r="2">
      <c r="A2" s="1" t="n"/>
      <c r="B2" s="1" t="n"/>
      <c r="C2" s="1" t="n"/>
    </row>
    <row r="3">
      <c r="A3" s="36" t="inlineStr">
        <is>
          <t>CONFIGURACION</t>
        </is>
      </c>
      <c r="C3" s="1" t="n"/>
    </row>
    <row r="4">
      <c r="A4" s="1" t="n"/>
      <c r="B4" s="1" t="n"/>
      <c r="C4" s="1" t="n"/>
    </row>
    <row r="5">
      <c r="A5" s="14" t="inlineStr">
        <is>
          <t>Producto</t>
        </is>
      </c>
      <c r="B5" s="37" t="inlineStr">
        <is>
          <t>Gestor de Costo de Ventas</t>
        </is>
      </c>
      <c r="C5" s="1" t="n"/>
    </row>
    <row r="6">
      <c r="A6" s="14" t="inlineStr">
        <is>
          <t>Version</t>
        </is>
      </c>
      <c r="B6" s="37" t="inlineStr">
        <is>
          <t>v1.0.0</t>
        </is>
      </c>
      <c r="C6" s="1" t="n"/>
    </row>
    <row r="7">
      <c r="A7" s="14" t="inlineStr">
        <is>
          <t>Marca</t>
        </is>
      </c>
      <c r="B7" s="37" t="inlineStr">
        <is>
          <t>No Somos Ignorantes</t>
        </is>
      </c>
      <c r="C7" s="1" t="n"/>
    </row>
    <row r="8">
      <c r="A8" s="14" t="inlineStr">
        <is>
          <t>Precio</t>
        </is>
      </c>
      <c r="B8" s="37" t="inlineStr">
        <is>
          <t>Bs. 59</t>
        </is>
      </c>
      <c r="C8" s="1" t="n"/>
    </row>
    <row r="9">
      <c r="A9" s="14" t="inlineStr">
        <is>
          <t>Proteccion</t>
        </is>
      </c>
      <c r="B9" s="37" t="inlineStr">
        <is>
          <t>nsi2024</t>
        </is>
      </c>
      <c r="C9" s="1" t="n"/>
    </row>
    <row r="10">
      <c r="A10" s="14" t="inlineStr"/>
      <c r="B10" s="37" t="inlineStr"/>
      <c r="C10" s="1" t="n"/>
    </row>
    <row r="11">
      <c r="A11" s="14" t="inlineStr">
        <is>
          <t>INSTRUCCIONES</t>
        </is>
      </c>
      <c r="B11" s="37" t="inlineStr"/>
      <c r="C11" s="1" t="n"/>
    </row>
    <row r="12">
      <c r="A12" s="14" t="inlineStr">
        <is>
          <t>1.</t>
        </is>
      </c>
      <c r="B12" s="37" t="inlineStr">
        <is>
          <t>En 'Inventario', ingresa el valor del inventario inicial y final.</t>
        </is>
      </c>
      <c r="C12" s="1" t="n"/>
    </row>
    <row r="13">
      <c r="A13" s="14" t="inlineStr">
        <is>
          <t>2.</t>
        </is>
      </c>
      <c r="B13" s="37" t="inlineStr">
        <is>
          <t>En 'Compras', registra todas las compras del periodo.</t>
        </is>
      </c>
      <c r="C13" s="1" t="n"/>
    </row>
    <row r="14">
      <c r="A14" s="14" t="inlineStr">
        <is>
          <t>3.</t>
        </is>
      </c>
      <c r="B14" s="37" t="inlineStr">
        <is>
          <t>En 'Ventas', registra cada venta con su precio y costo unitario.</t>
        </is>
      </c>
      <c r="C14" s="1" t="n"/>
    </row>
    <row r="15">
      <c r="A15" s="14" t="inlineStr">
        <is>
          <t>4.</t>
        </is>
      </c>
      <c r="B15" s="37" t="inlineStr">
        <is>
          <t>El Dashboard calcula automaticamente el COGS, margen bruto y rotacion.</t>
        </is>
      </c>
      <c r="C15" s="1" t="n"/>
    </row>
    <row r="16">
      <c r="A16" s="14" t="inlineStr">
        <is>
          <t>5.</t>
        </is>
      </c>
      <c r="B16" s="37" t="inlineStr">
        <is>
          <t>Formula COGS: Inv. Inicial + Compras - Inv. Final = Costo de Ventas</t>
        </is>
      </c>
      <c r="C16" s="1" t="n"/>
    </row>
    <row r="17">
      <c r="A17" s="14" t="inlineStr">
        <is>
          <t>6.</t>
        </is>
      </c>
      <c r="B17" s="37" t="inlineStr">
        <is>
          <t>Para desbloquear: Revisar -&gt; Desproteger hoja -&gt; nsi2024</t>
        </is>
      </c>
      <c r="C17" s="1" t="n"/>
    </row>
    <row r="18">
      <c r="A18" s="1" t="n"/>
      <c r="B18" s="1" t="n"/>
      <c r="C18" s="1" t="n"/>
    </row>
    <row r="19">
      <c r="A19" s="1" t="n"/>
      <c r="B19" s="1" t="n"/>
      <c r="C19" s="1" t="n"/>
    </row>
    <row r="20">
      <c r="A20" s="1" t="n"/>
      <c r="B20" s="1" t="n"/>
      <c r="C20" s="1" t="n"/>
    </row>
    <row r="21">
      <c r="A21" s="1" t="n"/>
      <c r="B21" s="1" t="n"/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2026-02-06T13:22:55Z</dcterms:created>
  <dcterms:modified xmlns:dcterms="http://purl.org/dc/terms/" xmlns:xsi="http://www.w3.org/2001/XMLSchema-instance" xsi:type="dcterms:W3CDTF">2026-02-06T13:22:57Z</dcterms:modified>
</cp:coreProperties>
</file>