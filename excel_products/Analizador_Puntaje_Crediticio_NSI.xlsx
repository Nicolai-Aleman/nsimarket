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storial" sheetId="2" state="visible" r:id="rId2"/>
    <sheet xmlns:r="http://schemas.openxmlformats.org/officeDocument/2006/relationships" name="Simulador" sheetId="3" state="visible" r:id="rId3"/>
    <sheet xmlns:r="http://schemas.openxmlformats.org/officeDocument/2006/relationships" name="Recomendacione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5">
    <font>
      <name val="Calibri"/>
      <family val="2"/>
      <color theme="1"/>
      <sz val="11"/>
      <scheme val="minor"/>
    </font>
    <font>
      <name val="Calibri"/>
      <b val="1"/>
      <color rgb="00D4AF37"/>
      <sz val="20"/>
    </font>
    <font>
      <name val="Calibri"/>
      <i val="1"/>
      <color rgb="00D1D5DB"/>
      <sz val="10"/>
    </font>
    <font>
      <name val="Calibri"/>
      <b val="1"/>
      <color rgb="00D4AF37"/>
      <sz val="11"/>
    </font>
    <font>
      <name val="Calibri"/>
      <b val="1"/>
      <color rgb="00D4AF37"/>
      <sz val="48"/>
    </font>
    <font>
      <name val="Calibri"/>
      <b val="1"/>
      <sz val="24"/>
    </font>
    <font>
      <name val="Calibri"/>
      <b val="1"/>
      <color rgb="00FFFFFF"/>
      <sz val="9"/>
    </font>
    <font>
      <name val="Calibri"/>
      <b val="1"/>
      <color rgb="003B82F6"/>
      <sz val="12"/>
    </font>
    <font>
      <name val="Calibri"/>
      <b val="1"/>
      <color rgb="00FFFFFF"/>
      <sz val="11"/>
    </font>
    <font>
      <name val="Calibri"/>
      <b val="1"/>
      <color rgb="00D4AF37"/>
      <sz val="9"/>
    </font>
    <font>
      <name val="Calibri"/>
      <b val="1"/>
      <color rgb="002563EB"/>
      <sz val="11"/>
    </font>
    <font>
      <name val="Calibri"/>
      <color rgb="000000FF"/>
      <sz val="11"/>
    </font>
    <font>
      <name val="Calibri"/>
      <b val="1"/>
      <color rgb="000000FF"/>
      <sz val="14"/>
    </font>
    <font>
      <name val="Calibri"/>
      <color rgb="00111827"/>
      <sz val="11"/>
    </font>
    <font>
      <name val="Calibri"/>
      <b val="1"/>
      <color rgb="00111827"/>
      <sz val="11"/>
    </font>
    <font>
      <name val="Calibri"/>
      <b val="1"/>
      <sz val="11"/>
    </font>
    <font>
      <name val="Calibri"/>
      <b val="1"/>
      <color rgb="007C3AED"/>
      <sz val="11"/>
    </font>
    <font>
      <name val="Calibri"/>
      <b val="1"/>
      <color rgb="00059669"/>
      <sz val="11"/>
    </font>
    <font>
      <name val="Calibri"/>
      <b val="1"/>
      <color rgb="00D97706"/>
      <sz val="11"/>
    </font>
    <font>
      <name val="Calibri"/>
      <b val="1"/>
      <color rgb="00DC2626"/>
      <sz val="11"/>
    </font>
    <font>
      <name val="Calibri"/>
      <b val="1"/>
      <color rgb="00D4AF37"/>
      <sz val="14"/>
    </font>
    <font>
      <name val="Calibri"/>
      <b val="1"/>
      <color rgb="00047857"/>
      <sz val="10"/>
    </font>
    <font>
      <name val="Calibri"/>
      <color rgb="00374151"/>
      <sz val="10"/>
    </font>
    <font>
      <name val="Calibri"/>
      <b val="1"/>
      <color rgb="00059669"/>
      <sz val="10"/>
    </font>
    <font>
      <name val="Calibri"/>
      <b val="1"/>
      <color rgb="000D9488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b val="1"/>
      <color rgb="00991B1B"/>
      <sz val="10"/>
    </font>
    <font>
      <name val="Calibri"/>
      <b val="1"/>
      <color rgb="00D4AF37"/>
      <sz val="18"/>
    </font>
    <font>
      <name val="Calibri"/>
      <b val="1"/>
      <color rgb="00374151"/>
      <sz val="11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FFFFFF"/>
      <sz val="20"/>
    </font>
    <font>
      <name val="Calibri"/>
      <i val="1"/>
      <color rgb="003B82F6"/>
      <sz val="10"/>
    </font>
    <font>
      <name val="Calibri"/>
      <color rgb="00374151"/>
      <sz val="11"/>
    </font>
    <font>
      <name val="Calibri"/>
      <b val="1"/>
    </font>
    <font>
      <name val="Calibri"/>
      <b val="1"/>
      <sz val="12"/>
    </font>
    <font>
      <name val="Calibri"/>
      <i val="1"/>
      <color rgb="006B7280"/>
      <sz val="10"/>
    </font>
    <font>
      <name val="Calibri"/>
      <b val="1"/>
      <color rgb="002563EB"/>
      <sz val="10"/>
    </font>
    <font>
      <name val="Calibri"/>
      <b val="1"/>
      <color rgb="007C3AED"/>
      <sz val="10"/>
    </font>
    <font>
      <name val="Calibri"/>
      <b val="1"/>
      <color rgb="00D4AF37"/>
      <sz val="28"/>
    </font>
    <font>
      <name val="Calibri"/>
      <b val="1"/>
      <color rgb="006B7280"/>
      <sz val="11"/>
    </font>
    <font>
      <name val="Calibri"/>
      <b val="1"/>
      <sz val="16"/>
    </font>
    <font>
      <name val="Calibri"/>
      <b val="1"/>
      <color rgb="00FFFFFF"/>
      <sz val="14"/>
    </font>
    <font>
      <name val="Calibri"/>
      <b val="1"/>
      <color rgb="00D4AF37"/>
      <sz val="16"/>
    </font>
  </fonts>
  <fills count="2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991B1B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059669"/>
      </patternFill>
    </fill>
    <fill>
      <patternFill patternType="solid">
        <fgColor rgb="00047857"/>
      </patternFill>
    </fill>
    <fill>
      <patternFill patternType="solid">
        <fgColor rgb="00F3F4F6"/>
      </patternFill>
    </fill>
    <fill>
      <patternFill patternType="solid">
        <fgColor rgb="000F3460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374151"/>
      </patternFill>
    </fill>
    <fill>
      <patternFill patternType="solid">
        <fgColor rgb="00A7F3D0"/>
      </patternFill>
    </fill>
    <fill>
      <patternFill patternType="solid">
        <fgColor rgb="00CCFBF1"/>
      </patternFill>
    </fill>
    <fill>
      <patternFill patternType="solid">
        <fgColor rgb="00FECACA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4">
    <border>
      <left/>
      <right/>
      <top/>
      <bottom/>
      <diagonal/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9" fillId="3" borderId="0" applyAlignment="1" pivotButton="0" quotePrefix="0" xfId="0">
      <alignment horizontal="center" vertical="center"/>
    </xf>
    <xf numFmtId="0" fontId="10" fillId="11" borderId="2" pivotButton="0" quotePrefix="0" xfId="0"/>
    <xf numFmtId="3" fontId="12" fillId="12" borderId="3" applyAlignment="1" applyProtection="1" pivotButton="0" quotePrefix="0" xfId="0">
      <alignment horizontal="right" vertical="center"/>
      <protection locked="0" hidden="0"/>
    </xf>
    <xf numFmtId="164" fontId="13" fillId="11" borderId="2" applyAlignment="1" pivotButton="0" quotePrefix="0" xfId="0">
      <alignment horizontal="right" vertical="center"/>
    </xf>
    <xf numFmtId="3" fontId="14" fillId="11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center" vertical="center"/>
    </xf>
    <xf numFmtId="0" fontId="16" fillId="14" borderId="2" pivotButton="0" quotePrefix="0" xfId="0"/>
    <xf numFmtId="164" fontId="13" fillId="14" borderId="2" applyAlignment="1" pivotButton="0" quotePrefix="0" xfId="0">
      <alignment horizontal="right" vertical="center"/>
    </xf>
    <xf numFmtId="3" fontId="14" fillId="14" borderId="2" applyAlignment="1" pivotButton="0" quotePrefix="0" xfId="0">
      <alignment horizontal="right" vertical="center"/>
    </xf>
    <xf numFmtId="0" fontId="17" fillId="15" borderId="2" pivotButton="0" quotePrefix="0" xfId="0"/>
    <xf numFmtId="164" fontId="13" fillId="15" borderId="2" applyAlignment="1" pivotButton="0" quotePrefix="0" xfId="0">
      <alignment horizontal="right" vertical="center"/>
    </xf>
    <xf numFmtId="3" fontId="14" fillId="15" borderId="2" applyAlignment="1" pivotButton="0" quotePrefix="0" xfId="0">
      <alignment horizontal="right" vertical="center"/>
    </xf>
    <xf numFmtId="0" fontId="18" fillId="16" borderId="2" pivotButton="0" quotePrefix="0" xfId="0"/>
    <xf numFmtId="164" fontId="13" fillId="16" borderId="2" applyAlignment="1" pivotButton="0" quotePrefix="0" xfId="0">
      <alignment horizontal="right" vertical="center"/>
    </xf>
    <xf numFmtId="3" fontId="14" fillId="16" borderId="2" applyAlignment="1" pivotButton="0" quotePrefix="0" xfId="0">
      <alignment horizontal="right" vertical="center"/>
    </xf>
    <xf numFmtId="0" fontId="19" fillId="17" borderId="2" pivotButton="0" quotePrefix="0" xfId="0"/>
    <xf numFmtId="164" fontId="13" fillId="17" borderId="2" applyAlignment="1" pivotButton="0" quotePrefix="0" xfId="0">
      <alignment horizontal="right" vertical="center"/>
    </xf>
    <xf numFmtId="3" fontId="14" fillId="17" borderId="2" applyAlignment="1" pivotButton="0" quotePrefix="0" xfId="0">
      <alignment horizontal="right" vertical="center"/>
    </xf>
    <xf numFmtId="0" fontId="8" fillId="3" borderId="2" pivotButton="0" quotePrefix="0" xfId="0"/>
    <xf numFmtId="3" fontId="20" fillId="3" borderId="0" applyAlignment="1" pivotButton="0" quotePrefix="0" xfId="0">
      <alignment horizontal="center"/>
    </xf>
    <xf numFmtId="164" fontId="3" fillId="3" borderId="0" pivotButton="0" quotePrefix="0" xfId="0"/>
    <xf numFmtId="0" fontId="8" fillId="18" borderId="0" applyAlignment="1" pivotButton="0" quotePrefix="0" xfId="0">
      <alignment horizontal="left" vertical="center"/>
    </xf>
    <xf numFmtId="0" fontId="0" fillId="18" borderId="0" pivotButton="0" quotePrefix="0" xfId="0"/>
    <xf numFmtId="0" fontId="21" fillId="19" borderId="2" applyAlignment="1" pivotButton="0" quotePrefix="0" xfId="0">
      <alignment horizontal="center"/>
    </xf>
    <xf numFmtId="0" fontId="22" fillId="19" borderId="2" applyAlignment="1" pivotButton="0" quotePrefix="0" xfId="0">
      <alignment vertical="center" wrapText="1"/>
    </xf>
    <xf numFmtId="0" fontId="23" fillId="15" borderId="2" applyAlignment="1" pivotButton="0" quotePrefix="0" xfId="0">
      <alignment horizontal="center"/>
    </xf>
    <xf numFmtId="0" fontId="22" fillId="15" borderId="2" applyAlignment="1" pivotButton="0" quotePrefix="0" xfId="0">
      <alignment vertical="center" wrapText="1"/>
    </xf>
    <xf numFmtId="0" fontId="24" fillId="20" borderId="2" applyAlignment="1" pivotButton="0" quotePrefix="0" xfId="0">
      <alignment horizontal="center"/>
    </xf>
    <xf numFmtId="0" fontId="22" fillId="20" borderId="2" applyAlignment="1" pivotButton="0" quotePrefix="0" xfId="0">
      <alignment vertical="center" wrapText="1"/>
    </xf>
    <xf numFmtId="0" fontId="25" fillId="16" borderId="2" applyAlignment="1" pivotButton="0" quotePrefix="0" xfId="0">
      <alignment horizontal="center"/>
    </xf>
    <xf numFmtId="0" fontId="22" fillId="16" borderId="2" applyAlignment="1" pivotButton="0" quotePrefix="0" xfId="0">
      <alignment vertical="center" wrapText="1"/>
    </xf>
    <xf numFmtId="0" fontId="26" fillId="17" borderId="2" applyAlignment="1" pivotButton="0" quotePrefix="0" xfId="0">
      <alignment horizontal="center"/>
    </xf>
    <xf numFmtId="0" fontId="22" fillId="17" borderId="2" applyAlignment="1" pivotButton="0" quotePrefix="0" xfId="0">
      <alignment vertical="center" wrapText="1"/>
    </xf>
    <xf numFmtId="0" fontId="27" fillId="21" borderId="2" applyAlignment="1" pivotButton="0" quotePrefix="0" xfId="0">
      <alignment horizontal="center"/>
    </xf>
    <xf numFmtId="0" fontId="22" fillId="21" borderId="2" applyAlignment="1" pivotButton="0" quotePrefix="0" xfId="0">
      <alignment vertical="center" wrapText="1"/>
    </xf>
    <xf numFmtId="0" fontId="28" fillId="2" borderId="0" applyAlignment="1" pivotButton="0" quotePrefix="0" xfId="0">
      <alignment horizontal="center" vertical="center"/>
    </xf>
    <xf numFmtId="0" fontId="8" fillId="22" borderId="0" applyAlignment="1" pivotButton="0" quotePrefix="0" xfId="0">
      <alignment horizontal="left" vertical="center"/>
    </xf>
    <xf numFmtId="0" fontId="0" fillId="22" borderId="0" pivotButton="0" quotePrefix="0" xfId="0"/>
    <xf numFmtId="0" fontId="29" fillId="11" borderId="2" applyAlignment="1" pivotButton="0" quotePrefix="0" xfId="0">
      <alignment horizontal="left" vertical="center"/>
    </xf>
    <xf numFmtId="3" fontId="11" fillId="12" borderId="3" applyAlignment="1" applyProtection="1" pivotButton="0" quotePrefix="0" xfId="0">
      <alignment horizontal="right" vertical="center"/>
      <protection locked="0" hidden="0"/>
    </xf>
    <xf numFmtId="0" fontId="30" fillId="11" borderId="2" pivotButton="0" quotePrefix="0" xfId="0"/>
    <xf numFmtId="3" fontId="13" fillId="13" borderId="2" applyAlignment="1" pivotButton="0" quotePrefix="0" xfId="0">
      <alignment horizontal="right" vertical="center"/>
    </xf>
    <xf numFmtId="0" fontId="31" fillId="22" borderId="0" applyAlignment="1" pivotButton="0" quotePrefix="0" xfId="0">
      <alignment horizontal="center" vertical="center"/>
    </xf>
    <xf numFmtId="3" fontId="32" fillId="22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/>
    </xf>
    <xf numFmtId="0" fontId="8" fillId="23" borderId="0" applyAlignment="1" pivotButton="0" quotePrefix="0" xfId="0">
      <alignment horizontal="left" vertical="center"/>
    </xf>
    <xf numFmtId="0" fontId="0" fillId="23" borderId="0" pivotButton="0" quotePrefix="0" xfId="0"/>
    <xf numFmtId="0" fontId="11" fillId="12" borderId="3" applyAlignment="1" applyProtection="1" pivotButton="0" quotePrefix="0" xfId="0">
      <alignment horizontal="left" vertical="center"/>
      <protection locked="0" hidden="0"/>
    </xf>
    <xf numFmtId="4" fontId="11" fillId="12" borderId="3" applyAlignment="1" applyProtection="1" pivotButton="0" quotePrefix="0" xfId="0">
      <alignment horizontal="right" vertical="center"/>
      <protection locked="0" hidden="0"/>
    </xf>
    <xf numFmtId="164" fontId="13" fillId="13" borderId="2" applyAlignment="1" pivotButton="0" quotePrefix="0" xfId="0">
      <alignment horizontal="right" vertical="center"/>
    </xf>
    <xf numFmtId="0" fontId="35" fillId="0" borderId="2" applyAlignment="1" pivotButton="0" quotePrefix="0" xfId="0">
      <alignment horizontal="center"/>
    </xf>
    <xf numFmtId="0" fontId="8" fillId="23" borderId="0" applyAlignment="1" pivotButton="0" quotePrefix="0" xfId="0">
      <alignment horizontal="center"/>
    </xf>
    <xf numFmtId="4" fontId="8" fillId="23" borderId="0" pivotButton="0" quotePrefix="0" xfId="0"/>
    <xf numFmtId="164" fontId="8" fillId="23" borderId="0" pivotButton="0" quotePrefix="0" xfId="0"/>
    <xf numFmtId="0" fontId="31" fillId="23" borderId="0" applyAlignment="1" pivotButton="0" quotePrefix="0" xfId="0">
      <alignment horizontal="center" vertical="center"/>
    </xf>
    <xf numFmtId="3" fontId="32" fillId="23" borderId="0" applyAlignment="1" pivotButton="0" quotePrefix="0" xfId="0">
      <alignment horizontal="center" vertical="center"/>
    </xf>
    <xf numFmtId="0" fontId="8" fillId="24" borderId="0" applyAlignment="1" pivotButton="0" quotePrefix="0" xfId="0">
      <alignment horizontal="left" vertical="center"/>
    </xf>
    <xf numFmtId="0" fontId="0" fillId="24" borderId="0" pivotButton="0" quotePrefix="0" xfId="0"/>
    <xf numFmtId="0" fontId="29" fillId="9" borderId="2" applyAlignment="1" pivotButton="0" quotePrefix="0" xfId="0">
      <alignment horizontal="left" vertical="center"/>
    </xf>
    <xf numFmtId="3" fontId="13" fillId="9" borderId="2" applyAlignment="1" pivotButton="0" quotePrefix="0" xfId="0">
      <alignment horizontal="right" vertical="center"/>
    </xf>
    <xf numFmtId="3" fontId="14" fillId="9" borderId="2" applyAlignment="1" pivotButton="0" quotePrefix="0" xfId="0">
      <alignment horizontal="right" vertical="center"/>
    </xf>
    <xf numFmtId="3" fontId="36" fillId="9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/>
    </xf>
    <xf numFmtId="0" fontId="29" fillId="25" borderId="2" applyAlignment="1" pivotButton="0" quotePrefix="0" xfId="0">
      <alignment horizontal="left" vertical="center"/>
    </xf>
    <xf numFmtId="3" fontId="13" fillId="25" borderId="2" applyAlignment="1" pivotButton="0" quotePrefix="0" xfId="0">
      <alignment horizontal="right" vertical="center"/>
    </xf>
    <xf numFmtId="3" fontId="14" fillId="25" borderId="2" applyAlignment="1" pivotButton="0" quotePrefix="0" xfId="0">
      <alignment horizontal="right" vertical="center"/>
    </xf>
    <xf numFmtId="3" fontId="36" fillId="25" borderId="2" applyAlignment="1" pivotButton="0" quotePrefix="0" xfId="0">
      <alignment horizontal="center" vertical="center"/>
    </xf>
    <xf numFmtId="0" fontId="8" fillId="26" borderId="0" applyAlignment="1" pivotButton="0" quotePrefix="0" xfId="0">
      <alignment horizontal="left" vertical="center"/>
    </xf>
    <xf numFmtId="0" fontId="0" fillId="26" borderId="0" pivotButton="0" quotePrefix="0" xfId="0"/>
    <xf numFmtId="0" fontId="37" fillId="0" borderId="0" applyAlignment="1" pivotButton="0" quotePrefix="0" xfId="0">
      <alignment horizontal="center"/>
    </xf>
    <xf numFmtId="0" fontId="38" fillId="11" borderId="2" pivotButton="0" quotePrefix="0" xfId="0"/>
    <xf numFmtId="3" fontId="13" fillId="11" borderId="2" applyAlignment="1" pivotButton="0" quotePrefix="0" xfId="0">
      <alignment horizontal="right" vertical="center"/>
    </xf>
    <xf numFmtId="0" fontId="39" fillId="14" borderId="2" pivotButton="0" quotePrefix="0" xfId="0"/>
    <xf numFmtId="3" fontId="13" fillId="14" borderId="2" applyAlignment="1" pivotButton="0" quotePrefix="0" xfId="0">
      <alignment horizontal="right" vertical="center"/>
    </xf>
    <xf numFmtId="0" fontId="23" fillId="15" borderId="2" pivotButton="0" quotePrefix="0" xfId="0"/>
    <xf numFmtId="3" fontId="13" fillId="15" borderId="2" applyAlignment="1" pivotButton="0" quotePrefix="0" xfId="0">
      <alignment horizontal="right" vertical="center"/>
    </xf>
    <xf numFmtId="0" fontId="25" fillId="16" borderId="2" pivotButton="0" quotePrefix="0" xfId="0"/>
    <xf numFmtId="3" fontId="13" fillId="16" borderId="2" applyAlignment="1" pivotButton="0" quotePrefix="0" xfId="0">
      <alignment horizontal="right" vertical="center"/>
    </xf>
    <xf numFmtId="0" fontId="26" fillId="17" borderId="2" pivotButton="0" quotePrefix="0" xfId="0"/>
    <xf numFmtId="3" fontId="13" fillId="17" borderId="2" applyAlignment="1" pivotButton="0" quotePrefix="0" xfId="0">
      <alignment horizontal="right" vertical="center"/>
    </xf>
    <xf numFmtId="0" fontId="20" fillId="2" borderId="0" applyAlignment="1" pivotButton="0" quotePrefix="0" xfId="0">
      <alignment horizontal="center" vertical="center"/>
    </xf>
    <xf numFmtId="3" fontId="40" fillId="2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3" fontId="42" fillId="0" borderId="0" applyAlignment="1" pivotButton="0" quotePrefix="0" xfId="0">
      <alignment horizontal="center" vertical="center"/>
    </xf>
    <xf numFmtId="0" fontId="43" fillId="22" borderId="0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2" fillId="11" borderId="2" applyAlignment="1" pivotButton="0" quotePrefix="0" xfId="0">
      <alignment vertical="center" wrapText="1"/>
    </xf>
    <xf numFmtId="0" fontId="43" fillId="23" borderId="0" applyAlignment="1" pivotButton="0" quotePrefix="0" xfId="0">
      <alignment horizontal="center"/>
    </xf>
    <xf numFmtId="0" fontId="39" fillId="14" borderId="2" applyAlignment="1" pivotButton="0" quotePrefix="0" xfId="0">
      <alignment horizontal="center"/>
    </xf>
    <xf numFmtId="0" fontId="22" fillId="14" borderId="2" applyAlignment="1" pivotButton="0" quotePrefix="0" xfId="0">
      <alignment vertical="center" wrapText="1"/>
    </xf>
    <xf numFmtId="0" fontId="8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43" fillId="7" borderId="0" applyAlignment="1" pivotButton="0" quotePrefix="0" xfId="0">
      <alignment horizontal="center"/>
    </xf>
    <xf numFmtId="0" fontId="8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3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43" fillId="5" borderId="0" applyAlignment="1" pivotButton="0" quotePrefix="0" xfId="0">
      <alignment horizontal="center"/>
    </xf>
    <xf numFmtId="0" fontId="44" fillId="2" borderId="0" applyAlignment="1" pivotButton="0" quotePrefix="0" xfId="0">
      <alignment horizontal="center" vertical="center"/>
    </xf>
    <xf numFmtId="0" fontId="29" fillId="0" borderId="2" pivotButton="0" quotePrefix="0" xfId="0"/>
    <xf numFmtId="0" fontId="13" fillId="0" borderId="2" pivotButton="0" quotePrefix="0" xfId="0"/>
    <xf numFmtId="0" fontId="20" fillId="2" borderId="0" applyAlignment="1" pivotButton="0" quotePrefix="0" xfId="0">
      <alignment horizontal="center"/>
    </xf>
    <xf numFmtId="0" fontId="2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4">
    <dxf>
      <font>
        <b val="1"/>
        <color rgb="00047857"/>
        <sz val="24"/>
      </font>
      <fill>
        <patternFill patternType="solid">
          <fgColor rgb="00A7F3D0"/>
        </patternFill>
      </fill>
    </dxf>
    <dxf>
      <font>
        <b val="1"/>
        <color rgb="00059669"/>
        <sz val="24"/>
      </font>
      <fill>
        <patternFill patternType="solid">
          <fgColor rgb="00D1FAE5"/>
        </patternFill>
      </fill>
    </dxf>
    <dxf>
      <font>
        <b val="1"/>
        <color rgb="00D97706"/>
        <sz val="24"/>
      </font>
      <fill>
        <patternFill patternType="solid">
          <fgColor rgb="00FEF3C7"/>
        </patternFill>
      </fill>
    </dxf>
    <dxf>
      <font>
        <b val="1"/>
        <color rgb="00DC2626"/>
        <sz val="24"/>
      </font>
      <fill>
        <patternFill patternType="solid">
          <fgColor rgb="00FEE2E2"/>
        </patternFill>
      </fill>
    </dxf>
    <dxf>
      <font>
        <b val="1"/>
        <color rgb="00047857"/>
      </font>
      <fill>
        <patternFill patternType="solid">
          <fgColor rgb="00A7F3D0"/>
        </patternFill>
      </fill>
    </dxf>
    <dxf>
      <font>
        <b val="1"/>
        <color rgb="00059669"/>
      </font>
      <fill>
        <patternFill patternType="solid">
          <fgColor rgb="00D1FAE5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1A1A2E"/>
      </font>
      <fill>
        <patternFill patternType="solid">
          <fgColor rgb="00D4AF37"/>
        </patternFill>
      </fill>
    </dxf>
    <dxf>
      <font>
        <b val="1"/>
        <color rgb="00991B1B"/>
      </font>
      <fill>
        <patternFill patternType="solid">
          <fgColor rgb="00FECACA"/>
        </patternFill>
      </fill>
    </dxf>
    <dxf>
      <font>
        <b val="1"/>
        <color rgb="00059669"/>
        <sz val="14"/>
      </font>
      <fill>
        <patternFill patternType="solid">
          <fgColor rgb="00D1FAE5"/>
        </patternFill>
      </fill>
    </dxf>
    <dxf>
      <font>
        <b val="1"/>
        <color rgb="00DC2626"/>
        <sz val="14"/>
      </font>
      <fill>
        <patternFill patternType="solid">
          <fgColor rgb="00FEE2E2"/>
        </patternFill>
      </fill>
    </dxf>
    <dxf>
      <font>
        <b val="1"/>
        <color rgb="00059669"/>
        <sz val="16"/>
      </font>
      <fill>
        <patternFill patternType="solid">
          <fgColor rgb="00D1FAE5"/>
        </patternFill>
      </fill>
    </dxf>
    <dxf>
      <font>
        <b val="1"/>
        <color rgb="00DC2626"/>
        <sz val="1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Perfil de Puntaje Crediticio</a:t>
            </a:r>
          </a:p>
        </rich>
      </tx>
    </title>
    <plotArea>
      <radarChart>
        <radarStyle val="filled"/>
        <ser>
          <idx val="0"/>
          <order val="0"/>
          <tx>
            <strRef>
              <f>'Dashboard'!C60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'Dashboard'!$B$61:$B$65</f>
            </numRef>
          </cat>
          <val>
            <numRef>
              <f>'Dashboard'!$C$61:$C$65</f>
            </numRef>
          </val>
        </ser>
        <ser>
          <idx val="1"/>
          <order val="1"/>
          <tx>
            <strRef>
              <f>'Dashboard'!D60</f>
            </strRef>
          </tx>
          <spPr>
            <a:solidFill xmlns:a="http://schemas.openxmlformats.org/drawingml/2006/main">
              <a:srgbClr val="D1D5DB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'Dashboard'!$B$61:$B$65</f>
            </numRef>
          </cat>
          <val>
            <numRef>
              <f>'Dashboard'!$D$61:$D$65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Contribucion de Cada Factor a tu Puntaje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'Dashboard'!$B$69:$B$73</f>
            </numRef>
          </cat>
          <val>
            <numRef>
              <f>'Dashboard'!$C$69:$C$73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de Cada Factor (%)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'Dashboard'!$B$77:$B$81</f>
            </numRef>
          </cat>
          <val>
            <numRef>
              <f>'Dashboard'!$C$77:$C$81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vs Simulado por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'Simulador'!C17</f>
            </strRef>
          </tx>
          <spPr>
            <a:solidFill xmlns:a="http://schemas.openxmlformats.org/drawingml/2006/main">
              <a:srgbClr val="6B7280"/>
            </a:solidFill>
            <a:ln xmlns:a="http://schemas.openxmlformats.org/drawingml/2006/main">
              <a:prstDash val="solid"/>
            </a:ln>
          </spPr>
          <cat>
            <numRef>
              <f>'Simulador'!$B$18:$B$22</f>
            </numRef>
          </cat>
          <val>
            <numRef>
              <f>'Simulador'!$C$18:$C$22</f>
            </numRef>
          </val>
        </ser>
        <ser>
          <idx val="1"/>
          <order val="1"/>
          <tx>
            <strRef>
              <f>'Simulador'!D17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cat>
            <numRef>
              <f>'Simulador'!$B$18:$B$22</f>
            </numRef>
          </cat>
          <val>
            <numRef>
              <f>'Simulador'!$D$18:$D$22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57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43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G8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6" customWidth="1" min="4" max="4"/>
    <col width="20" customWidth="1" min="5" max="5"/>
    <col width="20" customWidth="1" min="6" max="6"/>
    <col width="2" customWidth="1" min="7" max="7"/>
  </cols>
  <sheetData>
    <row r="1" ht="8" customHeight="1">
      <c r="B1" s="1" t="n"/>
      <c r="C1" s="1" t="n"/>
      <c r="D1" s="1" t="n"/>
      <c r="E1" s="1" t="n"/>
      <c r="F1" s="1" t="n"/>
    </row>
    <row r="2" ht="42" customHeight="1">
      <c r="B2" s="2" t="inlineStr">
        <is>
          <t>ANALIZADOR DE PUNTAJE CREDITICIO</t>
        </is>
      </c>
      <c r="C2" s="1" t="n"/>
      <c r="D2" s="1" t="n"/>
      <c r="E2" s="1" t="n"/>
      <c r="F2" s="1" t="n"/>
    </row>
    <row r="3" ht="24" customHeight="1">
      <c r="B3" s="3" t="inlineStr">
        <is>
          <t>No Somos Ignorantes  |  v1.0  |  Conoce, entiende y mejora tu puntaje</t>
        </is>
      </c>
      <c r="C3" s="1" t="n"/>
      <c r="D3" s="1" t="n"/>
      <c r="E3" s="1" t="n"/>
      <c r="F3" s="1" t="n"/>
    </row>
    <row r="4" ht="8" customHeight="1"/>
    <row r="5" ht="30" customHeight="1">
      <c r="B5" s="4" t="inlineStr">
        <is>
          <t>TU PUNTAJE ESTIMADO</t>
        </is>
      </c>
      <c r="C5" s="5" t="n"/>
      <c r="D5" s="5" t="n"/>
      <c r="E5" s="5" t="n"/>
      <c r="F5" s="5" t="n"/>
    </row>
    <row r="6" ht="60" customHeight="1">
      <c r="B6" s="6">
        <f>IFERROR(MAX(300,MIN(850,ROUND((C13*0.35+C14*0.30+C15*0.15+C16*0.10+C17*0.10)*5.5+300,0))),300)</f>
        <v/>
      </c>
      <c r="C6" s="1" t="n"/>
      <c r="D6" s="7">
        <f>IF(B6&gt;=750,"EXCELENTE",IF(B6&gt;=700,"MUY BUENO",IF(B6&gt;=650,"BUENO",IF(B6&gt;=550,"REGULAR",IF(B6&gt;=450,"BAJO","MUY BAJO")))))</f>
        <v/>
      </c>
    </row>
    <row r="7" ht="28" customHeight="1">
      <c r="B7" s="8" t="inlineStr">
        <is>
          <t>300</t>
        </is>
      </c>
      <c r="C7" s="9" t="inlineStr">
        <is>
          <t>450</t>
        </is>
      </c>
      <c r="D7" s="10" t="inlineStr">
        <is>
          <t>550</t>
        </is>
      </c>
      <c r="E7" s="11" t="inlineStr">
        <is>
          <t>650</t>
        </is>
      </c>
      <c r="F7" s="12" t="inlineStr">
        <is>
          <t>750</t>
        </is>
      </c>
      <c r="G7" s="12" t="inlineStr">
        <is>
          <t>850</t>
        </is>
      </c>
    </row>
    <row r="8" ht="30" customHeight="1">
      <c r="B8" s="13">
        <f>IF(B6&gt;=750,"Felicidades! Tienes un puntaje EXCELENTE. Mantelo!",IF(B6&gt;=700,"Proximo nivel: EXCELENTE (750). Necesitas +"&amp;TEXT(750-B6,"#,##0")&amp;" puntos",IF(B6&gt;=650,"Proximo nivel: MUY BUENO (700). Necesitas +"&amp;TEXT(700-B6,"#,##0")&amp;" puntos",IF(B6&gt;=550,"Proximo nivel: BUENO (650). Necesitas +"&amp;TEXT(650-B6,"#,##0")&amp;" puntos","Proximo nivel: REGULAR (550). Necesitas +"&amp;TEXT(550-B6,"#,##0")&amp;" puntos"))))</f>
        <v/>
      </c>
    </row>
    <row r="9" ht="8" customHeight="1"/>
    <row r="10" ht="30" customHeight="1">
      <c r="B10" s="14" t="inlineStr">
        <is>
          <t>FACTORES QUE AFECTAN TU PUNTAJE (ingresa tu puntuacion 0-100)</t>
        </is>
      </c>
      <c r="C10" s="15" t="n"/>
      <c r="D10" s="15" t="n"/>
      <c r="E10" s="15" t="n"/>
      <c r="F10" s="15" t="n"/>
    </row>
    <row r="11" ht="26" customHeight="1">
      <c r="A11" t="inlineStr"/>
      <c r="B11" s="16" t="inlineStr">
        <is>
          <t>FACTOR</t>
        </is>
      </c>
      <c r="C11" s="16" t="inlineStr">
        <is>
          <t>TU PUNTAJE (0-100)</t>
        </is>
      </c>
      <c r="D11" s="16" t="inlineStr">
        <is>
          <t>PESO (%)</t>
        </is>
      </c>
      <c r="E11" s="16" t="inlineStr">
        <is>
          <t>CONTRIBUCION</t>
        </is>
      </c>
      <c r="F11" s="16" t="inlineStr">
        <is>
          <t>ESTADO</t>
        </is>
      </c>
    </row>
    <row r="12" ht="6" customHeight="1"/>
    <row r="13" ht="34" customHeight="1">
      <c r="B13" s="17" t="inlineStr">
        <is>
          <t>Historial de Pagos (35%)</t>
        </is>
      </c>
      <c r="C13" s="18" t="n">
        <v>85</v>
      </c>
      <c r="D13" s="19" t="n">
        <v>0.35</v>
      </c>
      <c r="E13" s="20">
        <f>ROUND(C13*D13,1)</f>
        <v/>
      </c>
      <c r="F13" s="21">
        <f>IF(C13&gt;=80,"Excelente",IF(C13&gt;=60,"Bueno",IF(C13&gt;=40,"Mejorar","Critico")))</f>
        <v/>
      </c>
    </row>
    <row r="14" ht="34" customHeight="1">
      <c r="B14" s="22" t="inlineStr">
        <is>
          <t>Uso de Credito (30%)</t>
        </is>
      </c>
      <c r="C14" s="18" t="n">
        <v>60</v>
      </c>
      <c r="D14" s="23" t="n">
        <v>0.3</v>
      </c>
      <c r="E14" s="24">
        <f>ROUND(C14*D14,1)</f>
        <v/>
      </c>
      <c r="F14" s="21">
        <f>IF(C14&gt;=80,"Excelente",IF(C14&gt;=60,"Bueno",IF(C14&gt;=40,"Mejorar","Critico")))</f>
        <v/>
      </c>
    </row>
    <row r="15" ht="34" customHeight="1">
      <c r="B15" s="25" t="inlineStr">
        <is>
          <t>Antiguedad de Cuentas (15%)</t>
        </is>
      </c>
      <c r="C15" s="18" t="n">
        <v>75</v>
      </c>
      <c r="D15" s="26" t="n">
        <v>0.15</v>
      </c>
      <c r="E15" s="27">
        <f>ROUND(C15*D15,1)</f>
        <v/>
      </c>
      <c r="F15" s="21">
        <f>IF(C15&gt;=80,"Excelente",IF(C15&gt;=60,"Bueno",IF(C15&gt;=40,"Mejorar","Critico")))</f>
        <v/>
      </c>
    </row>
    <row r="16" ht="34" customHeight="1">
      <c r="B16" s="28" t="inlineStr">
        <is>
          <t>Tipos de Credito (10%)</t>
        </is>
      </c>
      <c r="C16" s="18" t="n">
        <v>70</v>
      </c>
      <c r="D16" s="29" t="n">
        <v>0.1</v>
      </c>
      <c r="E16" s="30">
        <f>ROUND(C16*D16,1)</f>
        <v/>
      </c>
      <c r="F16" s="21">
        <f>IF(C16&gt;=80,"Excelente",IF(C16&gt;=60,"Bueno",IF(C16&gt;=40,"Mejorar","Critico")))</f>
        <v/>
      </c>
    </row>
    <row r="17" ht="34" customHeight="1">
      <c r="B17" s="31" t="inlineStr">
        <is>
          <t>Consultas Recientes (10%)</t>
        </is>
      </c>
      <c r="C17" s="18" t="n">
        <v>45</v>
      </c>
      <c r="D17" s="32" t="n">
        <v>0.1</v>
      </c>
      <c r="E17" s="33">
        <f>ROUND(C17*D17,1)</f>
        <v/>
      </c>
      <c r="F17" s="21">
        <f>IF(C17&gt;=80,"Excelente",IF(C17&gt;=60,"Bueno",IF(C17&gt;=40,"Mejorar","Critico")))</f>
        <v/>
      </c>
    </row>
    <row r="18" ht="28" customHeight="1">
      <c r="B18" s="34" t="inlineStr">
        <is>
          <t>TOTAL PONDERADO</t>
        </is>
      </c>
      <c r="C18" s="35">
        <f>ROUND(SUMPRODUCT(C13:C17,D13:D17)/SUM(D13:D17),0)</f>
        <v/>
      </c>
      <c r="D18" s="36" t="n">
        <v>1</v>
      </c>
      <c r="E18" s="35">
        <f>SUM(E13:E17)</f>
        <v/>
      </c>
      <c r="F18" s="5" t="n"/>
    </row>
    <row r="19" ht="10" customHeight="1"/>
    <row r="20" ht="28" customHeight="1">
      <c r="B20" s="37" t="inlineStr">
        <is>
          <t>INTERPRETACION DEL PUNTAJE</t>
        </is>
      </c>
      <c r="C20" s="38" t="n"/>
      <c r="D20" s="38" t="n"/>
      <c r="E20" s="38" t="n"/>
      <c r="F20" s="38" t="n"/>
    </row>
    <row r="21" ht="28" customHeight="1">
      <c r="B21" s="39" t="inlineStr">
        <is>
          <t>750 - 850</t>
        </is>
      </c>
      <c r="C21" s="39" t="inlineStr">
        <is>
          <t>EXCELENTE</t>
        </is>
      </c>
      <c r="D21" s="40" t="inlineStr">
        <is>
          <t>Acceso a las mejores tasas y condiciones de credito</t>
        </is>
      </c>
    </row>
    <row r="22" ht="28" customHeight="1">
      <c r="B22" s="41" t="inlineStr">
        <is>
          <t>700 - 749</t>
        </is>
      </c>
      <c r="C22" s="41" t="inlineStr">
        <is>
          <t>MUY BUENO</t>
        </is>
      </c>
      <c r="D22" s="42" t="inlineStr">
        <is>
          <t>Buenas opciones de credito con tasas competitivas</t>
        </is>
      </c>
    </row>
    <row r="23" ht="28" customHeight="1">
      <c r="B23" s="43" t="inlineStr">
        <is>
          <t>650 - 699</t>
        </is>
      </c>
      <c r="C23" s="43" t="inlineStr">
        <is>
          <t>BUENO</t>
        </is>
      </c>
      <c r="D23" s="44" t="inlineStr">
        <is>
          <t>Acceso a credito estandar, tasas promedio del mercado</t>
        </is>
      </c>
    </row>
    <row r="24" ht="28" customHeight="1">
      <c r="B24" s="45" t="inlineStr">
        <is>
          <t>550 - 649</t>
        </is>
      </c>
      <c r="C24" s="45" t="inlineStr">
        <is>
          <t>REGULAR</t>
        </is>
      </c>
      <c r="D24" s="46" t="inlineStr">
        <is>
          <t>Opciones limitadas, tasas mas altas, posibles garantias</t>
        </is>
      </c>
    </row>
    <row r="25" ht="28" customHeight="1">
      <c r="B25" s="47" t="inlineStr">
        <is>
          <t>450 - 549</t>
        </is>
      </c>
      <c r="C25" s="47" t="inlineStr">
        <is>
          <t>BAJO</t>
        </is>
      </c>
      <c r="D25" s="48" t="inlineStr">
        <is>
          <t>Dificultad para obtener credito, necesita mejorar</t>
        </is>
      </c>
    </row>
    <row r="26" ht="28" customHeight="1">
      <c r="B26" s="49" t="inlineStr">
        <is>
          <t>300 - 449</t>
        </is>
      </c>
      <c r="C26" s="49" t="inlineStr">
        <is>
          <t>MUY BAJO</t>
        </is>
      </c>
      <c r="D26" s="50" t="inlineStr">
        <is>
          <t>Requiere reconstruir historial. Busca asesoramiento</t>
        </is>
      </c>
    </row>
    <row r="27" ht="10" customHeight="1"/>
    <row r="60">
      <c r="B60" t="inlineStr">
        <is>
          <t>Factor</t>
        </is>
      </c>
      <c r="C60" t="inlineStr">
        <is>
          <t>Tu Puntaje</t>
        </is>
      </c>
      <c r="D60" t="inlineStr">
        <is>
          <t>Ideal</t>
        </is>
      </c>
    </row>
    <row r="61">
      <c r="B61" t="inlineStr">
        <is>
          <t>Historial de Pagos</t>
        </is>
      </c>
      <c r="C61">
        <f>C13</f>
        <v/>
      </c>
      <c r="D61" t="n">
        <v>100</v>
      </c>
    </row>
    <row r="62">
      <c r="B62" t="inlineStr">
        <is>
          <t>Uso de Credito</t>
        </is>
      </c>
      <c r="C62">
        <f>C14</f>
        <v/>
      </c>
      <c r="D62" t="n">
        <v>100</v>
      </c>
    </row>
    <row r="63">
      <c r="B63" t="inlineStr">
        <is>
          <t>Antiguedad de Cuentas</t>
        </is>
      </c>
      <c r="C63">
        <f>C15</f>
        <v/>
      </c>
      <c r="D63" t="n">
        <v>100</v>
      </c>
    </row>
    <row r="64">
      <c r="B64" t="inlineStr">
        <is>
          <t>Tipos de Credito</t>
        </is>
      </c>
      <c r="C64">
        <f>C16</f>
        <v/>
      </c>
      <c r="D64" t="n">
        <v>100</v>
      </c>
    </row>
    <row r="65">
      <c r="B65" t="inlineStr">
        <is>
          <t>Consultas Recientes</t>
        </is>
      </c>
      <c r="C65">
        <f>C17</f>
        <v/>
      </c>
      <c r="D65" t="n">
        <v>100</v>
      </c>
    </row>
    <row r="68">
      <c r="B68" t="inlineStr">
        <is>
          <t>Factor</t>
        </is>
      </c>
      <c r="C68" t="inlineStr">
        <is>
          <t>Contribucion</t>
        </is>
      </c>
    </row>
    <row r="69">
      <c r="B69" t="inlineStr">
        <is>
          <t>Historial de Pagos</t>
        </is>
      </c>
      <c r="C69">
        <f>E13</f>
        <v/>
      </c>
    </row>
    <row r="70">
      <c r="B70" t="inlineStr">
        <is>
          <t>Uso de Credito</t>
        </is>
      </c>
      <c r="C70">
        <f>E14</f>
        <v/>
      </c>
    </row>
    <row r="71">
      <c r="B71" t="inlineStr">
        <is>
          <t>Antiguedad de Cuentas</t>
        </is>
      </c>
      <c r="C71">
        <f>E15</f>
        <v/>
      </c>
    </row>
    <row r="72">
      <c r="B72" t="inlineStr">
        <is>
          <t>Tipos de Credito</t>
        </is>
      </c>
      <c r="C72">
        <f>E16</f>
        <v/>
      </c>
    </row>
    <row r="73">
      <c r="B73" t="inlineStr">
        <is>
          <t>Consultas Recientes</t>
        </is>
      </c>
      <c r="C73">
        <f>E17</f>
        <v/>
      </c>
    </row>
    <row r="76">
      <c r="B76" t="inlineStr">
        <is>
          <t>Factor</t>
        </is>
      </c>
      <c r="C76" t="inlineStr">
        <is>
          <t>Peso</t>
        </is>
      </c>
    </row>
    <row r="77">
      <c r="B77" t="inlineStr">
        <is>
          <t>Historial de Pagos</t>
        </is>
      </c>
      <c r="C77" t="n">
        <v>0.35</v>
      </c>
    </row>
    <row r="78">
      <c r="B78" t="inlineStr">
        <is>
          <t>Uso de Credito</t>
        </is>
      </c>
      <c r="C78" t="n">
        <v>0.3</v>
      </c>
    </row>
    <row r="79">
      <c r="B79" t="inlineStr">
        <is>
          <t>Antiguedad de Cuentas</t>
        </is>
      </c>
      <c r="C79" t="n">
        <v>0.15</v>
      </c>
    </row>
    <row r="80">
      <c r="B80" t="inlineStr">
        <is>
          <t>Tipos de Credito</t>
        </is>
      </c>
      <c r="C80" t="n">
        <v>0.1</v>
      </c>
    </row>
    <row r="81">
      <c r="B81" t="inlineStr">
        <is>
          <t>Consultas Recientes</t>
        </is>
      </c>
      <c r="C81" t="n">
        <v>0.1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5">
    <mergeCell ref="B6:C6"/>
    <mergeCell ref="B2:F2"/>
    <mergeCell ref="B20:F20"/>
    <mergeCell ref="D23:F23"/>
    <mergeCell ref="B10:F10"/>
    <mergeCell ref="B3:F3"/>
    <mergeCell ref="B5:F5"/>
    <mergeCell ref="D22:F22"/>
    <mergeCell ref="D26:F26"/>
    <mergeCell ref="B1:F1"/>
    <mergeCell ref="B8:F8"/>
    <mergeCell ref="D21:F21"/>
    <mergeCell ref="D25:F25"/>
    <mergeCell ref="D6:F6"/>
    <mergeCell ref="D24:F24"/>
  </mergeCells>
  <conditionalFormatting sqref="D6:F6">
    <cfRule type="expression" priority="1" dxfId="0">
      <formula>$B$6&gt;=750</formula>
    </cfRule>
    <cfRule type="expression" priority="2" dxfId="1">
      <formula>AND($B$6&gt;=700,$B$6&lt;750)</formula>
    </cfRule>
    <cfRule type="expression" priority="3" dxfId="2">
      <formula>AND($B$6&gt;=550,$B$6&lt;700)</formula>
    </cfRule>
    <cfRule type="expression" priority="4" dxfId="3">
      <formula>$B$6&lt;550</formula>
    </cfRule>
  </conditionalFormatting>
  <conditionalFormatting sqref="F13">
    <cfRule type="cellIs" priority="5" operator="equal" dxfId="4">
      <formula>"Excelente"</formula>
    </cfRule>
    <cfRule type="cellIs" priority="6" operator="equal" dxfId="5">
      <formula>"Bueno"</formula>
    </cfRule>
    <cfRule type="cellIs" priority="7" operator="equal" dxfId="6">
      <formula>"Mejorar"</formula>
    </cfRule>
    <cfRule type="cellIs" priority="8" operator="equal" dxfId="7">
      <formula>"Critico"</formula>
    </cfRule>
  </conditionalFormatting>
  <conditionalFormatting sqref="F14">
    <cfRule type="cellIs" priority="9" operator="equal" dxfId="4">
      <formula>"Excelente"</formula>
    </cfRule>
    <cfRule type="cellIs" priority="10" operator="equal" dxfId="5">
      <formula>"Bueno"</formula>
    </cfRule>
    <cfRule type="cellIs" priority="11" operator="equal" dxfId="6">
      <formula>"Mejorar"</formula>
    </cfRule>
    <cfRule type="cellIs" priority="12" operator="equal" dxfId="7">
      <formula>"Critico"</formula>
    </cfRule>
  </conditionalFormatting>
  <conditionalFormatting sqref="F15">
    <cfRule type="cellIs" priority="13" operator="equal" dxfId="4">
      <formula>"Excelente"</formula>
    </cfRule>
    <cfRule type="cellIs" priority="14" operator="equal" dxfId="5">
      <formula>"Bueno"</formula>
    </cfRule>
    <cfRule type="cellIs" priority="15" operator="equal" dxfId="6">
      <formula>"Mejorar"</formula>
    </cfRule>
    <cfRule type="cellIs" priority="16" operator="equal" dxfId="7">
      <formula>"Critico"</formula>
    </cfRule>
  </conditionalFormatting>
  <conditionalFormatting sqref="F16">
    <cfRule type="cellIs" priority="17" operator="equal" dxfId="4">
      <formula>"Excelente"</formula>
    </cfRule>
    <cfRule type="cellIs" priority="18" operator="equal" dxfId="5">
      <formula>"Bueno"</formula>
    </cfRule>
    <cfRule type="cellIs" priority="19" operator="equal" dxfId="6">
      <formula>"Mejorar"</formula>
    </cfRule>
    <cfRule type="cellIs" priority="20" operator="equal" dxfId="7">
      <formula>"Critico"</formula>
    </cfRule>
  </conditionalFormatting>
  <conditionalFormatting sqref="F17">
    <cfRule type="cellIs" priority="21" operator="equal" dxfId="4">
      <formula>"Excelente"</formula>
    </cfRule>
    <cfRule type="cellIs" priority="22" operator="equal" dxfId="5">
      <formula>"Bueno"</formula>
    </cfRule>
    <cfRule type="cellIs" priority="23" operator="equal" dxfId="6">
      <formula>"Mejorar"</formula>
    </cfRule>
    <cfRule type="cellIs" priority="24" operator="equal" dxfId="7">
      <formula>"Critico"</formula>
    </cfRule>
  </conditionalFormatting>
  <conditionalFormatting sqref="C13:C17">
    <cfRule type="dataBar" priority="25">
      <dataBar>
        <cfvo type="num" val="0"/>
        <cfvo type="num" val="100"/>
        <color rgb="003B82F6"/>
      </dataBar>
    </cfRule>
  </conditionalFormatting>
  <conditionalFormatting sqref="B21:F21">
    <cfRule type="expression" priority="26" dxfId="8">
      <formula>AND($B$6&gt;=750,$B$6&lt;851)</formula>
    </cfRule>
  </conditionalFormatting>
  <conditionalFormatting sqref="B22:F22">
    <cfRule type="expression" priority="27" dxfId="8">
      <formula>AND($B$6&gt;=700,$B$6&lt;750)</formula>
    </cfRule>
  </conditionalFormatting>
  <conditionalFormatting sqref="B23:F23">
    <cfRule type="expression" priority="28" dxfId="8">
      <formula>AND($B$6&gt;=650,$B$6&lt;700)</formula>
    </cfRule>
  </conditionalFormatting>
  <conditionalFormatting sqref="B24:F24">
    <cfRule type="expression" priority="29" dxfId="8">
      <formula>AND($B$6&gt;=550,$B$6&lt;650)</formula>
    </cfRule>
  </conditionalFormatting>
  <conditionalFormatting sqref="B25:F25">
    <cfRule type="expression" priority="30" dxfId="8">
      <formula>AND($B$6&gt;=450,$B$6&lt;550)</formula>
    </cfRule>
  </conditionalFormatting>
  <conditionalFormatting sqref="B26:F26">
    <cfRule type="expression" priority="31" dxfId="8">
      <formula>AND($B$6&gt;=300,$B$6&lt;450)</formula>
    </cfRule>
  </conditionalFormatting>
  <dataValidations count="1">
    <dataValidation sqref="C13 C14 C15 C16 C17" showDropDown="0" showInputMessage="0" showErrorMessage="0" allowBlank="0" errorTitle="Puntaje invalido" error="El puntaje debe estar entre 0 y 100" promptTitle="Puntaje del Factor" prompt="Ingresa tu puntuacion estimada de 0 (peor) a 100 (mejor)" type="whole" operator="between">
      <formula1>0</formula1>
      <formula2>100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G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1" ht="8" customHeight="1">
      <c r="B1" s="1" t="n"/>
      <c r="C1" s="1" t="n"/>
      <c r="D1" s="1" t="n"/>
      <c r="E1" s="1" t="n"/>
      <c r="F1" s="1" t="n"/>
      <c r="G1" s="1" t="n"/>
    </row>
    <row r="2" ht="38" customHeight="1">
      <c r="B2" s="51" t="inlineStr">
        <is>
          <t>HISTORIAL DE PAGOS</t>
        </is>
      </c>
      <c r="C2" s="1" t="n"/>
      <c r="D2" s="1" t="n"/>
      <c r="E2" s="1" t="n"/>
      <c r="F2" s="1" t="n"/>
      <c r="G2" s="1" t="n"/>
    </row>
    <row r="3" ht="24" customHeight="1">
      <c r="B3" s="3" t="inlineStr">
        <is>
          <t>Registra tus pagos de los ultimos 24 meses para calcular tu puntuacion</t>
        </is>
      </c>
      <c r="C3" s="1" t="n"/>
      <c r="D3" s="1" t="n"/>
      <c r="E3" s="1" t="n"/>
      <c r="F3" s="1" t="n"/>
      <c r="G3" s="1" t="n"/>
    </row>
    <row r="4" ht="8" customHeight="1"/>
    <row r="5" ht="28" customHeight="1">
      <c r="B5" s="52" t="inlineStr">
        <is>
          <t>RESUMEN DE PAGOS (ultimos 24 meses)</t>
        </is>
      </c>
      <c r="C5" s="53" t="n"/>
      <c r="D5" s="53" t="n"/>
      <c r="E5" s="53" t="n"/>
      <c r="F5" s="53" t="n"/>
      <c r="G5" s="53" t="n"/>
    </row>
    <row r="6" ht="26" customHeight="1">
      <c r="A6" t="inlineStr"/>
      <c r="B6" s="16" t="inlineStr">
        <is>
          <t>METRICA</t>
        </is>
      </c>
      <c r="C6" s="16" t="inlineStr">
        <is>
          <t>CANTIDAD</t>
        </is>
      </c>
      <c r="D6" s="16" t="inlineStr">
        <is>
          <t>IMPACTO</t>
        </is>
      </c>
      <c r="E6" s="16" t="inlineStr">
        <is>
          <t>PUNTOS PERDIDOS</t>
        </is>
      </c>
    </row>
    <row r="7" ht="28" customHeight="1">
      <c r="B7" s="54" t="inlineStr">
        <is>
          <t>Total de pagos realizados</t>
        </is>
      </c>
      <c r="C7" s="55" t="n">
        <v>24</v>
      </c>
      <c r="D7" s="56" t="inlineStr">
        <is>
          <t>Base del historial</t>
        </is>
      </c>
      <c r="E7" s="57" t="n">
        <v>0</v>
      </c>
    </row>
    <row r="8" ht="28" customHeight="1">
      <c r="B8" s="54" t="inlineStr">
        <is>
          <t>Pagos puntuales (a tiempo)</t>
        </is>
      </c>
      <c r="C8" s="55" t="n">
        <v>20</v>
      </c>
      <c r="D8" s="56" t="inlineStr">
        <is>
          <t>Factor positivo principal</t>
        </is>
      </c>
      <c r="E8" s="57" t="n">
        <v>0</v>
      </c>
    </row>
    <row r="9" ht="28" customHeight="1">
      <c r="B9" s="54" t="inlineStr">
        <is>
          <t>Pagos atrasados 1-30 dias</t>
        </is>
      </c>
      <c r="C9" s="55" t="n">
        <v>3</v>
      </c>
      <c r="D9" s="56" t="inlineStr">
        <is>
          <t>-10 puntos cada uno</t>
        </is>
      </c>
      <c r="E9" s="57">
        <f>C9*10</f>
        <v/>
      </c>
    </row>
    <row r="10" ht="28" customHeight="1">
      <c r="B10" s="54" t="inlineStr">
        <is>
          <t>Pagos atrasados 31-60 dias</t>
        </is>
      </c>
      <c r="C10" s="55" t="n">
        <v>1</v>
      </c>
      <c r="D10" s="56" t="inlineStr">
        <is>
          <t>-20 puntos cada uno</t>
        </is>
      </c>
      <c r="E10" s="57">
        <f>C10*20</f>
        <v/>
      </c>
    </row>
    <row r="11" ht="28" customHeight="1">
      <c r="B11" s="54" t="inlineStr">
        <is>
          <t>Pagos atrasados 61-90 dias</t>
        </is>
      </c>
      <c r="C11" s="55" t="n">
        <v>0</v>
      </c>
      <c r="D11" s="56" t="inlineStr">
        <is>
          <t>-40 puntos cada uno</t>
        </is>
      </c>
      <c r="E11" s="57">
        <f>C11*40</f>
        <v/>
      </c>
    </row>
    <row r="12" ht="28" customHeight="1">
      <c r="B12" s="54" t="inlineStr">
        <is>
          <t>Pagos atrasados 90+ dias</t>
        </is>
      </c>
      <c r="C12" s="55" t="n">
        <v>0</v>
      </c>
      <c r="D12" s="56" t="inlineStr">
        <is>
          <t>-50 puntos cada uno</t>
        </is>
      </c>
      <c r="E12" s="57">
        <f>C12*50</f>
        <v/>
      </c>
    </row>
    <row r="13" ht="28" customHeight="1">
      <c r="B13" s="54" t="inlineStr">
        <is>
          <t>Cuentas en cobranza</t>
        </is>
      </c>
      <c r="C13" s="55" t="n">
        <v>0</v>
      </c>
      <c r="D13" s="56" t="inlineStr">
        <is>
          <t>-30 puntos cada una</t>
        </is>
      </c>
      <c r="E13" s="57">
        <f>C13*30</f>
        <v/>
      </c>
    </row>
    <row r="14" ht="6" customHeight="1"/>
    <row r="15" ht="32" customHeight="1">
      <c r="B15" s="58" t="inlineStr">
        <is>
          <t>PUNTAJE HISTORIAL DE PAGOS</t>
        </is>
      </c>
      <c r="C15" s="53" t="n"/>
      <c r="D15" s="59">
        <f>MAX(0,MIN(100,100-SUM(E9:E13)))</f>
        <v/>
      </c>
    </row>
    <row r="16" ht="6" customHeight="1">
      <c r="B16" s="60" t="inlineStr">
        <is>
          <t>Usa este puntaje en el Dashboard (factor: Historial de Pagos)</t>
        </is>
      </c>
    </row>
    <row r="17" ht="10" customHeight="1"/>
    <row r="18" ht="28" customHeight="1">
      <c r="B18" s="61" t="inlineStr">
        <is>
          <t>CALCULADORA DE USO DE CREDITO</t>
        </is>
      </c>
      <c r="C18" s="62" t="n"/>
      <c r="D18" s="62" t="n"/>
      <c r="E18" s="62" t="n"/>
      <c r="F18" s="62" t="n"/>
      <c r="G18" s="62" t="n"/>
    </row>
    <row r="19" ht="26" customHeight="1">
      <c r="A19" t="inlineStr"/>
      <c r="B19" s="16" t="inlineStr">
        <is>
          <t>TARJETA/LINEA</t>
        </is>
      </c>
      <c r="C19" s="16" t="inlineStr">
        <is>
          <t>LIMITE (Bs.)</t>
        </is>
      </c>
      <c r="D19" s="16" t="inlineStr">
        <is>
          <t>SALDO USADO (Bs.)</t>
        </is>
      </c>
      <c r="E19" s="16" t="inlineStr">
        <is>
          <t>USO (%)</t>
        </is>
      </c>
      <c r="F19" s="16" t="inlineStr">
        <is>
          <t>ESTADO</t>
        </is>
      </c>
    </row>
    <row r="20" ht="26" customHeight="1">
      <c r="B20" s="63" t="inlineStr">
        <is>
          <t>Visa Clasica</t>
        </is>
      </c>
      <c r="C20" s="64" t="n">
        <v>15000</v>
      </c>
      <c r="D20" s="64" t="n">
        <v>4500</v>
      </c>
      <c r="E20" s="65">
        <f>IFERROR(IF(C20&gt;0,D20/C20,0),0)</f>
        <v/>
      </c>
      <c r="F20" s="66">
        <f>IF(C20=0,"",IF(E20&lt;0.1,"Optimo",IF(E20&lt;0.3,"Bueno",IF(E20&lt;0.5,"Cuidado",IF(E20&lt;0.75,"Alto","Critico")))))</f>
        <v/>
      </c>
    </row>
    <row r="21" ht="26" customHeight="1">
      <c r="B21" s="63" t="inlineStr">
        <is>
          <t>Mastercard Gold</t>
        </is>
      </c>
      <c r="C21" s="64" t="n">
        <v>30000</v>
      </c>
      <c r="D21" s="64" t="n">
        <v>12000</v>
      </c>
      <c r="E21" s="65">
        <f>IFERROR(IF(C21&gt;0,D21/C21,0),0)</f>
        <v/>
      </c>
      <c r="F21" s="66">
        <f>IF(C21=0,"",IF(E21&lt;0.1,"Optimo",IF(E21&lt;0.3,"Bueno",IF(E21&lt;0.5,"Cuidado",IF(E21&lt;0.75,"Alto","Critico")))))</f>
        <v/>
      </c>
    </row>
    <row r="22" ht="26" customHeight="1">
      <c r="B22" s="63" t="inlineStr">
        <is>
          <t>Linea de credito BNB</t>
        </is>
      </c>
      <c r="C22" s="64" t="n">
        <v>50000</v>
      </c>
      <c r="D22" s="64" t="n">
        <v>5000</v>
      </c>
      <c r="E22" s="65">
        <f>IFERROR(IF(C22&gt;0,D22/C22,0),0)</f>
        <v/>
      </c>
      <c r="F22" s="66">
        <f>IF(C22=0,"",IF(E22&lt;0.1,"Optimo",IF(E22&lt;0.3,"Bueno",IF(E22&lt;0.5,"Cuidado",IF(E22&lt;0.75,"Alto","Critico")))))</f>
        <v/>
      </c>
    </row>
    <row r="23" ht="26" customHeight="1">
      <c r="B23" s="63" t="n"/>
      <c r="C23" s="64" t="n"/>
      <c r="D23" s="64" t="n"/>
      <c r="E23" s="65">
        <f>IFERROR(IF(C23&gt;0,D23/C23,0),0)</f>
        <v/>
      </c>
      <c r="F23" s="66">
        <f>IF(C23=0,"",IF(E23&lt;0.1,"Optimo",IF(E23&lt;0.3,"Bueno",IF(E23&lt;0.5,"Cuidado",IF(E23&lt;0.75,"Alto","Critico")))))</f>
        <v/>
      </c>
    </row>
    <row r="24" ht="26" customHeight="1">
      <c r="B24" s="63" t="n"/>
      <c r="C24" s="64" t="n"/>
      <c r="D24" s="64" t="n"/>
      <c r="E24" s="65">
        <f>IFERROR(IF(C24&gt;0,D24/C24,0),0)</f>
        <v/>
      </c>
      <c r="F24" s="66">
        <f>IF(C24=0,"",IF(E24&lt;0.1,"Optimo",IF(E24&lt;0.3,"Bueno",IF(E24&lt;0.5,"Cuidado",IF(E24&lt;0.75,"Alto","Critico")))))</f>
        <v/>
      </c>
    </row>
    <row r="25" ht="26" customHeight="1">
      <c r="B25" s="63" t="n"/>
      <c r="C25" s="64" t="n"/>
      <c r="D25" s="64" t="n"/>
      <c r="E25" s="65">
        <f>IFERROR(IF(C25&gt;0,D25/C25,0),0)</f>
        <v/>
      </c>
      <c r="F25" s="66">
        <f>IF(C25=0,"",IF(E25&lt;0.1,"Optimo",IF(E25&lt;0.3,"Bueno",IF(E25&lt;0.5,"Cuidado",IF(E25&lt;0.75,"Alto","Critico")))))</f>
        <v/>
      </c>
    </row>
    <row r="26" ht="26" customHeight="1">
      <c r="B26" s="63" t="n"/>
      <c r="C26" s="64" t="n"/>
      <c r="D26" s="64" t="n"/>
      <c r="E26" s="65">
        <f>IFERROR(IF(C26&gt;0,D26/C26,0),0)</f>
        <v/>
      </c>
      <c r="F26" s="66">
        <f>IF(C26=0,"",IF(E26&lt;0.1,"Optimo",IF(E26&lt;0.3,"Bueno",IF(E26&lt;0.5,"Cuidado",IF(E26&lt;0.75,"Alto","Critico")))))</f>
        <v/>
      </c>
    </row>
    <row r="27" ht="26" customHeight="1">
      <c r="B27" s="63" t="n"/>
      <c r="C27" s="64" t="n"/>
      <c r="D27" s="64" t="n"/>
      <c r="E27" s="65">
        <f>IFERROR(IF(C27&gt;0,D27/C27,0),0)</f>
        <v/>
      </c>
      <c r="F27" s="66">
        <f>IF(C27=0,"",IF(E27&lt;0.1,"Optimo",IF(E27&lt;0.3,"Bueno",IF(E27&lt;0.5,"Cuidado",IF(E27&lt;0.75,"Alto","Critico")))))</f>
        <v/>
      </c>
    </row>
    <row r="28" ht="28" customHeight="1">
      <c r="B28" s="67" t="inlineStr">
        <is>
          <t>TOTAL</t>
        </is>
      </c>
      <c r="C28" s="68">
        <f>SUM(C20:C27)</f>
        <v/>
      </c>
      <c r="D28" s="68">
        <f>SUM(D20:D27)</f>
        <v/>
      </c>
      <c r="E28" s="69">
        <f>IFERROR(D28/C28,0)</f>
        <v/>
      </c>
      <c r="F28" s="62" t="n"/>
    </row>
    <row r="29" ht="6" customHeight="1"/>
    <row r="30" ht="32" customHeight="1">
      <c r="B30" s="70" t="inlineStr">
        <is>
          <t>PUNTAJE USO DE CREDITO</t>
        </is>
      </c>
      <c r="C30" s="62" t="n"/>
      <c r="D30" s="71">
        <f>IF(E28&lt;0.1,100,IF(E28&lt;0.3,90,IF(E28&lt;0.5,70,IF(E28&lt;0.75,50,30))))</f>
        <v/>
      </c>
    </row>
    <row r="31">
      <c r="B31" s="60" t="inlineStr">
        <is>
          <t>Usa este puntaje en el Dashboard (factor: Uso de Credito)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1">
    <mergeCell ref="B3:G3"/>
    <mergeCell ref="B2:G2"/>
    <mergeCell ref="B31:E31"/>
    <mergeCell ref="B30:C30"/>
    <mergeCell ref="B15:C15"/>
    <mergeCell ref="D30:E30"/>
    <mergeCell ref="B5:G5"/>
    <mergeCell ref="D15:E15"/>
    <mergeCell ref="B1:G1"/>
    <mergeCell ref="B16:E16"/>
    <mergeCell ref="B18:G18"/>
  </mergeCells>
  <conditionalFormatting sqref="F20">
    <cfRule type="cellIs" priority="1" operator="equal" dxfId="4">
      <formula>"Optimo"</formula>
    </cfRule>
    <cfRule type="cellIs" priority="2" operator="equal" dxfId="5">
      <formula>"Bueno"</formula>
    </cfRule>
    <cfRule type="cellIs" priority="3" operator="equal" dxfId="6">
      <formula>"Cuidado"</formula>
    </cfRule>
    <cfRule type="cellIs" priority="4" operator="equal" dxfId="7">
      <formula>"Alto"</formula>
    </cfRule>
    <cfRule type="cellIs" priority="5" operator="equal" dxfId="9">
      <formula>"Critico"</formula>
    </cfRule>
  </conditionalFormatting>
  <conditionalFormatting sqref="F21">
    <cfRule type="cellIs" priority="6" operator="equal" dxfId="4">
      <formula>"Optimo"</formula>
    </cfRule>
    <cfRule type="cellIs" priority="7" operator="equal" dxfId="5">
      <formula>"Bueno"</formula>
    </cfRule>
    <cfRule type="cellIs" priority="8" operator="equal" dxfId="6">
      <formula>"Cuidado"</formula>
    </cfRule>
    <cfRule type="cellIs" priority="9" operator="equal" dxfId="7">
      <formula>"Alto"</formula>
    </cfRule>
    <cfRule type="cellIs" priority="10" operator="equal" dxfId="9">
      <formula>"Critico"</formula>
    </cfRule>
  </conditionalFormatting>
  <conditionalFormatting sqref="F22">
    <cfRule type="cellIs" priority="11" operator="equal" dxfId="4">
      <formula>"Optimo"</formula>
    </cfRule>
    <cfRule type="cellIs" priority="12" operator="equal" dxfId="5">
      <formula>"Bueno"</formula>
    </cfRule>
    <cfRule type="cellIs" priority="13" operator="equal" dxfId="6">
      <formula>"Cuidado"</formula>
    </cfRule>
    <cfRule type="cellIs" priority="14" operator="equal" dxfId="7">
      <formula>"Alto"</formula>
    </cfRule>
    <cfRule type="cellIs" priority="15" operator="equal" dxfId="9">
      <formula>"Critico"</formula>
    </cfRule>
  </conditionalFormatting>
  <conditionalFormatting sqref="F23">
    <cfRule type="cellIs" priority="16" operator="equal" dxfId="4">
      <formula>"Optimo"</formula>
    </cfRule>
    <cfRule type="cellIs" priority="17" operator="equal" dxfId="5">
      <formula>"Bueno"</formula>
    </cfRule>
    <cfRule type="cellIs" priority="18" operator="equal" dxfId="6">
      <formula>"Cuidado"</formula>
    </cfRule>
    <cfRule type="cellIs" priority="19" operator="equal" dxfId="7">
      <formula>"Alto"</formula>
    </cfRule>
    <cfRule type="cellIs" priority="20" operator="equal" dxfId="9">
      <formula>"Critico"</formula>
    </cfRule>
  </conditionalFormatting>
  <conditionalFormatting sqref="F24">
    <cfRule type="cellIs" priority="21" operator="equal" dxfId="4">
      <formula>"Optimo"</formula>
    </cfRule>
    <cfRule type="cellIs" priority="22" operator="equal" dxfId="5">
      <formula>"Bueno"</formula>
    </cfRule>
    <cfRule type="cellIs" priority="23" operator="equal" dxfId="6">
      <formula>"Cuidado"</formula>
    </cfRule>
    <cfRule type="cellIs" priority="24" operator="equal" dxfId="7">
      <formula>"Alto"</formula>
    </cfRule>
    <cfRule type="cellIs" priority="25" operator="equal" dxfId="9">
      <formula>"Critico"</formula>
    </cfRule>
  </conditionalFormatting>
  <conditionalFormatting sqref="F25">
    <cfRule type="cellIs" priority="26" operator="equal" dxfId="4">
      <formula>"Optimo"</formula>
    </cfRule>
    <cfRule type="cellIs" priority="27" operator="equal" dxfId="5">
      <formula>"Bueno"</formula>
    </cfRule>
    <cfRule type="cellIs" priority="28" operator="equal" dxfId="6">
      <formula>"Cuidado"</formula>
    </cfRule>
    <cfRule type="cellIs" priority="29" operator="equal" dxfId="7">
      <formula>"Alto"</formula>
    </cfRule>
    <cfRule type="cellIs" priority="30" operator="equal" dxfId="9">
      <formula>"Critico"</formula>
    </cfRule>
  </conditionalFormatting>
  <conditionalFormatting sqref="F26">
    <cfRule type="cellIs" priority="31" operator="equal" dxfId="4">
      <formula>"Optimo"</formula>
    </cfRule>
    <cfRule type="cellIs" priority="32" operator="equal" dxfId="5">
      <formula>"Bueno"</formula>
    </cfRule>
    <cfRule type="cellIs" priority="33" operator="equal" dxfId="6">
      <formula>"Cuidado"</formula>
    </cfRule>
    <cfRule type="cellIs" priority="34" operator="equal" dxfId="7">
      <formula>"Alto"</formula>
    </cfRule>
    <cfRule type="cellIs" priority="35" operator="equal" dxfId="9">
      <formula>"Critico"</formula>
    </cfRule>
  </conditionalFormatting>
  <conditionalFormatting sqref="F27">
    <cfRule type="cellIs" priority="36" operator="equal" dxfId="4">
      <formula>"Optimo"</formula>
    </cfRule>
    <cfRule type="cellIs" priority="37" operator="equal" dxfId="5">
      <formula>"Bueno"</formula>
    </cfRule>
    <cfRule type="cellIs" priority="38" operator="equal" dxfId="6">
      <formula>"Cuidado"</formula>
    </cfRule>
    <cfRule type="cellIs" priority="39" operator="equal" dxfId="7">
      <formula>"Alto"</formula>
    </cfRule>
    <cfRule type="cellIs" priority="40" operator="equal" dxfId="9">
      <formula>"Critico"</formula>
    </cfRule>
  </conditionalFormatting>
  <conditionalFormatting sqref="E20:E27">
    <cfRule type="colorScale" priority="41">
      <colorScale>
        <cfvo type="num" val="0"/>
        <cfvo type="num" val="0.3"/>
        <cfvo type="num" val="1"/>
        <color rgb="00A7F3D0"/>
        <color rgb="00FEF3C7"/>
        <color rgb="00FEE2E2"/>
      </colorScale>
    </cfRule>
  </conditionalFormatting>
  <dataValidations count="2">
    <dataValidation sqref="C7 C8 C9 C10 C11 C12 C13" showDropDown="0" showInputMessage="0" showErrorMessage="0" allowBlank="0" errorTitle="Cantidad invalida" error="La cantidad no puede ser negativa" type="whole" operator="greaterThanOrEqual">
      <formula1>0</formula1>
    </dataValidation>
    <dataValidation sqref="C20 C21 C22 C23 C24 C25 C26 C27 D20 D21 D22 D23 D24 D25 D26 D27" showDropDown="0" showInputMessage="0" showErrorMessage="0" allowBlank="0" error="No puede ser negativo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F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8" customWidth="1" min="4" max="4"/>
    <col width="18" customWidth="1" min="5" max="5"/>
    <col width="20" customWidth="1" min="6" max="6"/>
    <col width="2" customWidth="1" min="7" max="7"/>
  </cols>
  <sheetData>
    <row r="1" ht="8" customHeight="1">
      <c r="B1" s="1" t="n"/>
      <c r="C1" s="1" t="n"/>
      <c r="D1" s="1" t="n"/>
      <c r="E1" s="1" t="n"/>
      <c r="F1" s="1" t="n"/>
    </row>
    <row r="2" ht="40" customHeight="1">
      <c r="B2" s="51" t="inlineStr">
        <is>
          <t>SIMULADOR: QUE PASA SI...?</t>
        </is>
      </c>
      <c r="C2" s="1" t="n"/>
      <c r="D2" s="1" t="n"/>
      <c r="E2" s="1" t="n"/>
      <c r="F2" s="1" t="n"/>
    </row>
    <row r="3" ht="24" customHeight="1">
      <c r="B3" s="3" t="inlineStr">
        <is>
          <t>Simula diferentes escenarios y ve como afectan tu puntaje</t>
        </is>
      </c>
      <c r="C3" s="1" t="n"/>
      <c r="D3" s="1" t="n"/>
      <c r="E3" s="1" t="n"/>
      <c r="F3" s="1" t="n"/>
    </row>
    <row r="4" ht="8" customHeight="1"/>
    <row r="5" ht="28" customHeight="1">
      <c r="B5" s="72" t="inlineStr">
        <is>
          <t>ESCENARIOS DE MEJORA</t>
        </is>
      </c>
      <c r="C5" s="73" t="n"/>
      <c r="D5" s="73" t="n"/>
      <c r="E5" s="73" t="n"/>
      <c r="F5" s="73" t="n"/>
    </row>
    <row r="6" ht="26" customHeight="1">
      <c r="A6" t="inlineStr"/>
      <c r="B6" s="16" t="inlineStr">
        <is>
          <t>ESCENARIO</t>
        </is>
      </c>
      <c r="C6" s="16" t="inlineStr">
        <is>
          <t>PUNTAJE ACTUAL</t>
        </is>
      </c>
      <c r="D6" s="16" t="inlineStr">
        <is>
          <t>PUNTAJE NUEVO</t>
        </is>
      </c>
      <c r="E6" s="16" t="inlineStr">
        <is>
          <t>CAMBIO</t>
        </is>
      </c>
      <c r="F6" s="16" t="inlineStr">
        <is>
          <t>IMPACTO</t>
        </is>
      </c>
    </row>
    <row r="7" ht="30" customHeight="1">
      <c r="B7" s="74" t="inlineStr">
        <is>
          <t>Pago todas las deudas atrasadas</t>
        </is>
      </c>
      <c r="C7" s="75">
        <f>Dashboard!B6</f>
        <v/>
      </c>
      <c r="D7" s="76">
        <f>IFERROR(MAX(300,MIN(850,ROUND((100*0.35+Dashboard!C14*0.30+Dashboard!C15*0.15+Dashboard!C16*0.10+Dashboard!C17*0.10)*5.5+300,0))),300)</f>
        <v/>
      </c>
      <c r="E7" s="77">
        <f>D7-C7</f>
        <v/>
      </c>
      <c r="F7" s="78">
        <f>IF(E7&gt;50,"ALTO IMPACTO",IF(E7&gt;20,"IMPACTO MEDIO",IF(E7&gt;0,"IMPACTO BAJO",IF(E7=0,"SIN CAMBIO","NEGATIVO"))))</f>
        <v/>
      </c>
    </row>
    <row r="8" ht="30" customHeight="1">
      <c r="B8" s="79" t="inlineStr">
        <is>
          <t>Reduzco uso de credito al 10%</t>
        </is>
      </c>
      <c r="C8" s="80">
        <f>Dashboard!B6</f>
        <v/>
      </c>
      <c r="D8" s="81">
        <f>IFERROR(MAX(300,MIN(850,ROUND((Dashboard!C13*0.35+100*0.30+Dashboard!C15*0.15+Dashboard!C16*0.10+Dashboard!C17*0.10)*5.5+300,0))),300)</f>
        <v/>
      </c>
      <c r="E8" s="82">
        <f>D8-C8</f>
        <v/>
      </c>
      <c r="F8" s="78">
        <f>IF(E8&gt;50,"ALTO IMPACTO",IF(E8&gt;20,"IMPACTO MEDIO",IF(E8&gt;0,"IMPACTO BAJO",IF(E8=0,"SIN CAMBIO","NEGATIVO"))))</f>
        <v/>
      </c>
    </row>
    <row r="9" ht="30" customHeight="1">
      <c r="B9" s="74" t="inlineStr">
        <is>
          <t>Mantengo cuentas por 5+ anios</t>
        </is>
      </c>
      <c r="C9" s="75">
        <f>Dashboard!B6</f>
        <v/>
      </c>
      <c r="D9" s="76">
        <f>IFERROR(MAX(300,MIN(850,ROUND((Dashboard!C13*0.35+Dashboard!C14*0.30+90*0.15+Dashboard!C16*0.10+Dashboard!C17*0.10)*5.5+300,0))),300)</f>
        <v/>
      </c>
      <c r="E9" s="77">
        <f>D9-C9</f>
        <v/>
      </c>
      <c r="F9" s="78">
        <f>IF(E9&gt;50,"ALTO IMPACTO",IF(E9&gt;20,"IMPACTO MEDIO",IF(E9&gt;0,"IMPACTO BAJO",IF(E9=0,"SIN CAMBIO","NEGATIVO"))))</f>
        <v/>
      </c>
    </row>
    <row r="10" ht="30" customHeight="1">
      <c r="B10" s="79" t="inlineStr">
        <is>
          <t>Agrego un tipo de credito nuevo</t>
        </is>
      </c>
      <c r="C10" s="80">
        <f>Dashboard!B6</f>
        <v/>
      </c>
      <c r="D10" s="81">
        <f>IFERROR(MAX(300,MIN(850,ROUND((Dashboard!C13*0.35+Dashboard!C14*0.30+Dashboard!C15*0.15+85*0.10+Dashboard!C17*0.10)*5.5+300,0))),300)</f>
        <v/>
      </c>
      <c r="E10" s="82">
        <f>D10-C10</f>
        <v/>
      </c>
      <c r="F10" s="78">
        <f>IF(E10&gt;50,"ALTO IMPACTO",IF(E10&gt;20,"IMPACTO MEDIO",IF(E10&gt;0,"IMPACTO BAJO",IF(E10=0,"SIN CAMBIO","NEGATIVO"))))</f>
        <v/>
      </c>
    </row>
    <row r="11" ht="30" customHeight="1">
      <c r="B11" s="74" t="inlineStr">
        <is>
          <t>No hago mas consultas por 6 meses</t>
        </is>
      </c>
      <c r="C11" s="75">
        <f>Dashboard!B6</f>
        <v/>
      </c>
      <c r="D11" s="76">
        <f>IFERROR(MAX(300,MIN(850,ROUND((Dashboard!C13*0.35+Dashboard!C14*0.30+Dashboard!C15*0.15+Dashboard!C16*0.10+80*0.10)*5.5+300,0))),300)</f>
        <v/>
      </c>
      <c r="E11" s="77">
        <f>D11-C11</f>
        <v/>
      </c>
      <c r="F11" s="78">
        <f>IF(E11&gt;50,"ALTO IMPACTO",IF(E11&gt;20,"IMPACTO MEDIO",IF(E11&gt;0,"IMPACTO BAJO",IF(E11=0,"SIN CAMBIO","NEGATIVO"))))</f>
        <v/>
      </c>
    </row>
    <row r="12" ht="30" customHeight="1">
      <c r="B12" s="79" t="inlineStr">
        <is>
          <t>ESCENARIO IDEAL (todo perfecto)</t>
        </is>
      </c>
      <c r="C12" s="80">
        <f>Dashboard!B6</f>
        <v/>
      </c>
      <c r="D12" s="81">
        <f>IFERROR(MAX(300,MIN(850,ROUND((100*0.35+100*0.30+100*0.15+100*0.10+100*0.10)*5.5+300,0))),300)</f>
        <v/>
      </c>
      <c r="E12" s="82">
        <f>D12-C12</f>
        <v/>
      </c>
      <c r="F12" s="78">
        <f>IF(E12&gt;50,"ALTO IMPACTO",IF(E12&gt;20,"IMPACTO MEDIO",IF(E12&gt;0,"IMPACTO BAJO",IF(E12=0,"SIN CAMBIO","NEGATIVO"))))</f>
        <v/>
      </c>
    </row>
    <row r="13" ht="30" customHeight="1">
      <c r="B13" s="74" t="inlineStr">
        <is>
          <t>PEOR CASO (todo critico)</t>
        </is>
      </c>
      <c r="C13" s="75">
        <f>Dashboard!B6</f>
        <v/>
      </c>
      <c r="D13" s="76">
        <f>IFERROR(MAX(300,MIN(850,ROUND((10*0.35+10*0.30+10*0.15+10*0.10+10*0.10)*5.5+300,0))),300)</f>
        <v/>
      </c>
      <c r="E13" s="77">
        <f>D13-C13</f>
        <v/>
      </c>
      <c r="F13" s="78">
        <f>IF(E13&gt;50,"ALTO IMPACTO",IF(E13&gt;20,"IMPACTO MEDIO",IF(E13&gt;0,"IMPACTO BAJO",IF(E13=0,"SIN CAMBIO","NEGATIVO"))))</f>
        <v/>
      </c>
    </row>
    <row r="14" ht="10" customHeight="1"/>
    <row r="15" ht="28" customHeight="1">
      <c r="B15" s="83" t="inlineStr">
        <is>
          <t>SIMULADOR PERSONALIZADO</t>
        </is>
      </c>
      <c r="C15" s="84" t="n"/>
      <c r="D15" s="84" t="n"/>
      <c r="E15" s="84" t="n"/>
      <c r="F15" s="84" t="n"/>
    </row>
    <row r="16" ht="22" customHeight="1">
      <c r="B16" s="85" t="inlineStr">
        <is>
          <t>Ingresa los puntajes hipoteticos para cada factor y ve el resultado</t>
        </is>
      </c>
    </row>
    <row r="17" ht="24" customHeight="1">
      <c r="A17" t="inlineStr"/>
      <c r="B17" s="16" t="inlineStr">
        <is>
          <t>FACTOR</t>
        </is>
      </c>
      <c r="C17" s="16" t="inlineStr">
        <is>
          <t>ACTUAL</t>
        </is>
      </c>
      <c r="D17" s="16" t="inlineStr">
        <is>
          <t>SIMULADO</t>
        </is>
      </c>
      <c r="E17" s="16" t="inlineStr">
        <is>
          <t>DIFERENCIA</t>
        </is>
      </c>
    </row>
    <row r="18" ht="28" customHeight="1">
      <c r="B18" s="86" t="inlineStr">
        <is>
          <t>Historial de Pagos</t>
        </is>
      </c>
      <c r="C18" s="87">
        <f>Dashboard!C13</f>
        <v/>
      </c>
      <c r="D18" s="55" t="n">
        <v>95</v>
      </c>
      <c r="E18" s="57">
        <f>D18-C18</f>
        <v/>
      </c>
    </row>
    <row r="19" ht="28" customHeight="1">
      <c r="B19" s="88" t="inlineStr">
        <is>
          <t>Uso de Credito</t>
        </is>
      </c>
      <c r="C19" s="89">
        <f>Dashboard!C14</f>
        <v/>
      </c>
      <c r="D19" s="55" t="n">
        <v>70</v>
      </c>
      <c r="E19" s="57">
        <f>D19-C19</f>
        <v/>
      </c>
    </row>
    <row r="20" ht="28" customHeight="1">
      <c r="B20" s="90" t="inlineStr">
        <is>
          <t>Antiguedad de Cuentas</t>
        </is>
      </c>
      <c r="C20" s="91">
        <f>Dashboard!C15</f>
        <v/>
      </c>
      <c r="D20" s="55" t="n">
        <v>85</v>
      </c>
      <c r="E20" s="57">
        <f>D20-C20</f>
        <v/>
      </c>
    </row>
    <row r="21" ht="28" customHeight="1">
      <c r="B21" s="92" t="inlineStr">
        <is>
          <t>Tipos de Credito</t>
        </is>
      </c>
      <c r="C21" s="93">
        <f>Dashboard!C16</f>
        <v/>
      </c>
      <c r="D21" s="55" t="n">
        <v>80</v>
      </c>
      <c r="E21" s="57">
        <f>D21-C21</f>
        <v/>
      </c>
    </row>
    <row r="22" ht="28" customHeight="1">
      <c r="B22" s="94" t="inlineStr">
        <is>
          <t>Consultas Recientes</t>
        </is>
      </c>
      <c r="C22" s="95">
        <f>Dashboard!C17</f>
        <v/>
      </c>
      <c r="D22" s="55" t="n">
        <v>55</v>
      </c>
      <c r="E22" s="57">
        <f>D22-C22</f>
        <v/>
      </c>
    </row>
    <row r="23" ht="6" customHeight="1"/>
    <row r="24" ht="38" customHeight="1">
      <c r="B24" s="96" t="inlineStr">
        <is>
          <t>PUNTAJE SIMULADO</t>
        </is>
      </c>
      <c r="C24" s="1" t="n"/>
      <c r="D24" s="97">
        <f>IFERROR(MAX(300,MIN(850,ROUND((D18*0.35+D19*0.30+D20*0.15+D21*0.10+D22*0.10)*5.5+300,0))),300)</f>
        <v/>
      </c>
    </row>
    <row r="25" ht="28" customHeight="1">
      <c r="B25" s="98" t="inlineStr">
        <is>
          <t>VS ACTUAL:</t>
        </is>
      </c>
      <c r="D25" s="99">
        <f>D24-Dashboard!B6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0">
    <mergeCell ref="D25:E25"/>
    <mergeCell ref="B24:C24"/>
    <mergeCell ref="D24:E24"/>
    <mergeCell ref="B2:F2"/>
    <mergeCell ref="B16:F16"/>
    <mergeCell ref="B15:F15"/>
    <mergeCell ref="B25:C25"/>
    <mergeCell ref="B3:F3"/>
    <mergeCell ref="B5:F5"/>
    <mergeCell ref="B1:F1"/>
  </mergeCells>
  <conditionalFormatting sqref="E7">
    <cfRule type="cellIs" priority="1" operator="greaterThan" dxfId="10">
      <formula>0</formula>
    </cfRule>
    <cfRule type="cellIs" priority="2" operator="lessThan" dxfId="11">
      <formula>0</formula>
    </cfRule>
  </conditionalFormatting>
  <conditionalFormatting sqref="F7">
    <cfRule type="cellIs" priority="3" operator="equal" dxfId="4">
      <formula>"ALTO IMPACTO"</formula>
    </cfRule>
    <cfRule type="cellIs" priority="4" operator="equal" dxfId="7">
      <formula>"NEGATIVO"</formula>
    </cfRule>
  </conditionalFormatting>
  <conditionalFormatting sqref="E8">
    <cfRule type="cellIs" priority="5" operator="greaterThan" dxfId="10">
      <formula>0</formula>
    </cfRule>
    <cfRule type="cellIs" priority="6" operator="lessThan" dxfId="11">
      <formula>0</formula>
    </cfRule>
  </conditionalFormatting>
  <conditionalFormatting sqref="F8">
    <cfRule type="cellIs" priority="7" operator="equal" dxfId="4">
      <formula>"ALTO IMPACTO"</formula>
    </cfRule>
    <cfRule type="cellIs" priority="8" operator="equal" dxfId="7">
      <formula>"NEGATIVO"</formula>
    </cfRule>
  </conditionalFormatting>
  <conditionalFormatting sqref="E9">
    <cfRule type="cellIs" priority="9" operator="greaterThan" dxfId="10">
      <formula>0</formula>
    </cfRule>
    <cfRule type="cellIs" priority="10" operator="lessThan" dxfId="11">
      <formula>0</formula>
    </cfRule>
  </conditionalFormatting>
  <conditionalFormatting sqref="F9">
    <cfRule type="cellIs" priority="11" operator="equal" dxfId="4">
      <formula>"ALTO IMPACTO"</formula>
    </cfRule>
    <cfRule type="cellIs" priority="12" operator="equal" dxfId="7">
      <formula>"NEGATIVO"</formula>
    </cfRule>
  </conditionalFormatting>
  <conditionalFormatting sqref="E10">
    <cfRule type="cellIs" priority="13" operator="greaterThan" dxfId="10">
      <formula>0</formula>
    </cfRule>
    <cfRule type="cellIs" priority="14" operator="lessThan" dxfId="11">
      <formula>0</formula>
    </cfRule>
  </conditionalFormatting>
  <conditionalFormatting sqref="F10">
    <cfRule type="cellIs" priority="15" operator="equal" dxfId="4">
      <formula>"ALTO IMPACTO"</formula>
    </cfRule>
    <cfRule type="cellIs" priority="16" operator="equal" dxfId="7">
      <formula>"NEGATIVO"</formula>
    </cfRule>
  </conditionalFormatting>
  <conditionalFormatting sqref="E11">
    <cfRule type="cellIs" priority="17" operator="greaterThan" dxfId="10">
      <formula>0</formula>
    </cfRule>
    <cfRule type="cellIs" priority="18" operator="lessThan" dxfId="11">
      <formula>0</formula>
    </cfRule>
  </conditionalFormatting>
  <conditionalFormatting sqref="F11">
    <cfRule type="cellIs" priority="19" operator="equal" dxfId="4">
      <formula>"ALTO IMPACTO"</formula>
    </cfRule>
    <cfRule type="cellIs" priority="20" operator="equal" dxfId="7">
      <formula>"NEGATIVO"</formula>
    </cfRule>
  </conditionalFormatting>
  <conditionalFormatting sqref="E12">
    <cfRule type="cellIs" priority="21" operator="greaterThan" dxfId="10">
      <formula>0</formula>
    </cfRule>
    <cfRule type="cellIs" priority="22" operator="lessThan" dxfId="11">
      <formula>0</formula>
    </cfRule>
  </conditionalFormatting>
  <conditionalFormatting sqref="F12">
    <cfRule type="cellIs" priority="23" operator="equal" dxfId="4">
      <formula>"ALTO IMPACTO"</formula>
    </cfRule>
    <cfRule type="cellIs" priority="24" operator="equal" dxfId="7">
      <formula>"NEGATIVO"</formula>
    </cfRule>
  </conditionalFormatting>
  <conditionalFormatting sqref="E13">
    <cfRule type="cellIs" priority="25" operator="greaterThan" dxfId="10">
      <formula>0</formula>
    </cfRule>
    <cfRule type="cellIs" priority="26" operator="lessThan" dxfId="11">
      <formula>0</formula>
    </cfRule>
  </conditionalFormatting>
  <conditionalFormatting sqref="F13">
    <cfRule type="cellIs" priority="27" operator="equal" dxfId="4">
      <formula>"ALTO IMPACTO"</formula>
    </cfRule>
    <cfRule type="cellIs" priority="28" operator="equal" dxfId="7">
      <formula>"NEGATIVO"</formula>
    </cfRule>
  </conditionalFormatting>
  <conditionalFormatting sqref="D25:E25">
    <cfRule type="cellIs" priority="29" operator="greaterThan" dxfId="12">
      <formula>0</formula>
    </cfRule>
    <cfRule type="cellIs" priority="30" operator="lessThan" dxfId="13">
      <formula>0</formula>
    </cfRule>
  </conditionalFormatting>
  <dataValidations count="1">
    <dataValidation sqref="D18 D19 D20 D21 D22" showDropDown="0" showInputMessage="0" showErrorMessage="0" allowBlank="0" errorTitle="Invalido" error="Valor entre 0 y 100" type="whole" operator="between">
      <formula1>0</formula1>
      <formula2>100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B1:D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50" customWidth="1" min="3" max="3"/>
    <col width="16" customWidth="1" min="4" max="4"/>
    <col width="2" customWidth="1" min="5" max="5"/>
  </cols>
  <sheetData>
    <row r="1" ht="8" customHeight="1">
      <c r="B1" s="1" t="n"/>
      <c r="C1" s="1" t="n"/>
      <c r="D1" s="1" t="n"/>
    </row>
    <row r="2" ht="38" customHeight="1">
      <c r="B2" s="51" t="inlineStr">
        <is>
          <t>RECOMENDACIONES PERSONALIZADAS</t>
        </is>
      </c>
      <c r="C2" s="1" t="n"/>
      <c r="D2" s="1" t="n"/>
    </row>
    <row r="3" ht="24" customHeight="1">
      <c r="B3" s="3" t="inlineStr">
        <is>
          <t>Acciones concretas basadas en tu perfil actual</t>
        </is>
      </c>
      <c r="C3" s="1" t="n"/>
      <c r="D3" s="1" t="n"/>
    </row>
    <row r="4" ht="8" customHeight="1"/>
    <row r="5" ht="28" customHeight="1">
      <c r="B5" s="52" t="inlineStr">
        <is>
          <t>Historial de Pagos - Tu puntaje:</t>
        </is>
      </c>
      <c r="C5" s="53" t="n"/>
      <c r="D5" s="100">
        <f>Dashboard!C13</f>
        <v/>
      </c>
    </row>
    <row r="6" ht="30" customHeight="1">
      <c r="B6" s="101" t="inlineStr">
        <is>
          <t>Accion 1</t>
        </is>
      </c>
      <c r="C6" s="102">
        <f>IF(Dashboard!C13&gt;=70,"Configura pagos automaticos para TODAS tus cuentas","Si tienes atrasos, paga al menos el minimo HOY")</f>
        <v/>
      </c>
    </row>
    <row r="7" ht="30" customHeight="1">
      <c r="B7" s="101" t="inlineStr">
        <is>
          <t>Accion 2</t>
        </is>
      </c>
      <c r="C7" s="102">
        <f>IF(Dashboard!C13&gt;=70,"Negocia eliminacion de atrasos menores con el banco","Establece alertas de pago 5 dias antes del vencimiento")</f>
        <v/>
      </c>
    </row>
    <row r="8" ht="30" customHeight="1">
      <c r="B8" s="101" t="inlineStr">
        <is>
          <t>Accion 3</t>
        </is>
      </c>
      <c r="C8" s="102">
        <f>IF(Dashboard!C13&gt;=70,"Un solo pago atrasado puede bajar 50+ puntos","Si no puedes pagar todo, paga el minimo para evitar reporte")</f>
        <v/>
      </c>
    </row>
    <row r="9" ht="6" customHeight="1"/>
    <row r="10" ht="28" customHeight="1">
      <c r="B10" s="61" t="inlineStr">
        <is>
          <t>Uso de Credito - Tu puntaje:</t>
        </is>
      </c>
      <c r="C10" s="62" t="n"/>
      <c r="D10" s="103">
        <f>Dashboard!C14</f>
        <v/>
      </c>
    </row>
    <row r="11" ht="30" customHeight="1">
      <c r="B11" s="104" t="inlineStr">
        <is>
          <t>Accion 1</t>
        </is>
      </c>
      <c r="C11" s="105">
        <f>IF(Dashboard!C14&gt;=70,"Mantene tu uso por debajo del 30% del limite","Si usas mas del 50%, paga antes de la fecha de corte")</f>
        <v/>
      </c>
    </row>
    <row r="12" ht="30" customHeight="1">
      <c r="B12" s="104" t="inlineStr">
        <is>
          <t>Accion 2</t>
        </is>
      </c>
      <c r="C12" s="105">
        <f>IF(Dashboard!C14&gt;=70,"Pide aumento de limite (sin usarlo) para bajar el %","Distribuye gastos en varias tarjetas en vez de una")</f>
        <v/>
      </c>
    </row>
    <row r="13" ht="30" customHeight="1">
      <c r="B13" s="104" t="inlineStr">
        <is>
          <t>Accion 3</t>
        </is>
      </c>
      <c r="C13" s="105">
        <f>IF(Dashboard!C14&gt;=70,"El punto optimo es usar menos del 10% del limite","Paga 2 veces al mes para mantener el saldo bajo")</f>
        <v/>
      </c>
    </row>
    <row r="14" ht="6" customHeight="1"/>
    <row r="15" ht="28" customHeight="1">
      <c r="B15" s="106" t="inlineStr">
        <is>
          <t>Antiguedad - Tu puntaje:</t>
        </is>
      </c>
      <c r="C15" s="107" t="n"/>
      <c r="D15" s="108">
        <f>Dashboard!C15</f>
        <v/>
      </c>
    </row>
    <row r="16" ht="30" customHeight="1">
      <c r="B16" s="41" t="inlineStr">
        <is>
          <t>Accion 1</t>
        </is>
      </c>
      <c r="C16" s="42">
        <f>IF(Dashboard!C15&gt;=70,"NO cierres tu tarjeta mas antigua, mantela activa","Usa tu tarjeta vieja al menos 1 vez al mes")</f>
        <v/>
      </c>
    </row>
    <row r="17" ht="30" customHeight="1">
      <c r="B17" s="41" t="inlineStr">
        <is>
          <t>Accion 2</t>
        </is>
      </c>
      <c r="C17" s="42">
        <f>IF(Dashboard!C15&gt;=70,"La antiguedad promedio ideal es 5+ anios","Abre cuentas nuevas solo cuando sea necesario")</f>
        <v/>
      </c>
    </row>
    <row r="18" ht="30" customHeight="1">
      <c r="B18" s="41" t="inlineStr">
        <is>
          <t>Accion 3</t>
        </is>
      </c>
      <c r="C18" s="42">
        <f>IF(Dashboard!C15&gt;=70,"Cada cuenta nueva baja tu promedio de antiguedad","Si necesitas una nueva tarjeta, conserva las viejas")</f>
        <v/>
      </c>
    </row>
    <row r="19" ht="6" customHeight="1"/>
    <row r="20" ht="28" customHeight="1">
      <c r="B20" s="109" t="inlineStr">
        <is>
          <t>Tipos de Credito - Tu puntaje:</t>
        </is>
      </c>
      <c r="C20" s="110" t="n"/>
      <c r="D20" s="111">
        <f>Dashboard!C16</f>
        <v/>
      </c>
    </row>
    <row r="21" ht="30" customHeight="1">
      <c r="B21" s="45" t="inlineStr">
        <is>
          <t>Accion 1</t>
        </is>
      </c>
      <c r="C21" s="46">
        <f>IF(Dashboard!C16&gt;=70,"Ideal: 1 tarjeta + 1 prestamo + 1 linea de credito","No abras creditos solo por diversificar (ten un proposito)")</f>
        <v/>
      </c>
    </row>
    <row r="22" ht="30" customHeight="1">
      <c r="B22" s="45" t="inlineStr">
        <is>
          <t>Accion 2</t>
        </is>
      </c>
      <c r="C22" s="46">
        <f>IF(Dashboard!C16&gt;=70,"Los creditos hipotecarios suman mucho al mix","Un prestamo personal pequeno puede ayudar al mix")</f>
        <v/>
      </c>
    </row>
    <row r="23" ht="30" customHeight="1">
      <c r="B23" s="45" t="inlineStr">
        <is>
          <t>Accion 3</t>
        </is>
      </c>
      <c r="C23" s="46">
        <f>IF(Dashboard!C16&gt;=70,"Las tiendas con credito propio tambien cuentan","La variedad demuestra que manejas diferentes obligaciones")</f>
        <v/>
      </c>
    </row>
    <row r="24" ht="6" customHeight="1"/>
    <row r="25" ht="28" customHeight="1">
      <c r="B25" s="112" t="inlineStr">
        <is>
          <t>Consultas Recientes - Tu puntaje:</t>
        </is>
      </c>
      <c r="C25" s="113" t="n"/>
      <c r="D25" s="114">
        <f>Dashboard!C17</f>
        <v/>
      </c>
    </row>
    <row r="26" ht="30" customHeight="1">
      <c r="B26" s="47" t="inlineStr">
        <is>
          <t>Accion 1</t>
        </is>
      </c>
      <c r="C26" s="48">
        <f>IF(Dashboard!C17&gt;=70,"Evita solicitar multiples creditos en poco tiempo","Cada consulta baja tu puntaje 5-10 puntos temporalmente")</f>
        <v/>
      </c>
    </row>
    <row r="27" ht="30" customHeight="1">
      <c r="B27" s="47" t="inlineStr">
        <is>
          <t>Accion 2</t>
        </is>
      </c>
      <c r="C27" s="48">
        <f>IF(Dashboard!C17&gt;=70,"Agrupa solicitudes del mismo tipo en 2 semanas","Las consultas se borran del reporte despues de 2 anios")</f>
        <v/>
      </c>
    </row>
    <row r="28" ht="30" customHeight="1">
      <c r="B28" s="47" t="inlineStr">
        <is>
          <t>Accion 3</t>
        </is>
      </c>
      <c r="C28" s="48">
        <f>IF(Dashboard!C17&gt;=70,"Consultar tu PROPIO reporte no afecta tu puntaje","Evita pre-aprobaciones que generan consultas duras")</f>
        <v/>
      </c>
    </row>
    <row r="29" ht="6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3">
    <mergeCell ref="C6:D6"/>
    <mergeCell ref="B25:C25"/>
    <mergeCell ref="B1:D1"/>
    <mergeCell ref="C26:D26"/>
    <mergeCell ref="C16:D16"/>
    <mergeCell ref="C22:D22"/>
    <mergeCell ref="C12:D12"/>
    <mergeCell ref="C21:D21"/>
    <mergeCell ref="C11:D11"/>
    <mergeCell ref="C27:D27"/>
    <mergeCell ref="B10:C10"/>
    <mergeCell ref="C23:D23"/>
    <mergeCell ref="C17:D17"/>
    <mergeCell ref="C8:D8"/>
    <mergeCell ref="B3:D3"/>
    <mergeCell ref="C7:D7"/>
    <mergeCell ref="B15:C15"/>
    <mergeCell ref="B5:C5"/>
    <mergeCell ref="B20:C20"/>
    <mergeCell ref="C28:D28"/>
    <mergeCell ref="C13:D13"/>
    <mergeCell ref="C18:D18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36" customHeight="1">
      <c r="A1" s="115" t="inlineStr">
        <is>
          <t>CONFIGURACION</t>
        </is>
      </c>
      <c r="B1" s="1" t="n"/>
    </row>
    <row r="3">
      <c r="A3" s="116" t="inlineStr">
        <is>
          <t>Producto</t>
        </is>
      </c>
      <c r="B3" s="117" t="inlineStr">
        <is>
          <t>Analizador de Puntaje Crediticio</t>
        </is>
      </c>
    </row>
    <row r="4">
      <c r="A4" s="116" t="inlineStr">
        <is>
          <t>Version</t>
        </is>
      </c>
      <c r="B4" s="117" t="inlineStr">
        <is>
          <t>v1.0.0</t>
        </is>
      </c>
    </row>
    <row r="5">
      <c r="A5" s="116" t="inlineStr">
        <is>
          <t>Marca</t>
        </is>
      </c>
      <c r="B5" s="117" t="inlineStr">
        <is>
          <t>No Somos Ignorantes</t>
        </is>
      </c>
    </row>
    <row r="6">
      <c r="A6" s="116" t="inlineStr">
        <is>
          <t>Precio</t>
        </is>
      </c>
      <c r="B6" s="117" t="inlineStr">
        <is>
          <t>Bs. 39</t>
        </is>
      </c>
    </row>
    <row r="7">
      <c r="A7" s="116" t="inlineStr">
        <is>
          <t>Modelo</t>
        </is>
      </c>
      <c r="B7" s="117" t="inlineStr">
        <is>
          <t>Aproximacion buros bolivianos (educativo)</t>
        </is>
      </c>
    </row>
    <row r="8">
      <c r="A8" s="116" t="inlineStr">
        <is>
          <t>Rango puntaje</t>
        </is>
      </c>
      <c r="B8" s="117" t="inlineStr">
        <is>
          <t>300 - 850</t>
        </is>
      </c>
    </row>
    <row r="9">
      <c r="A9" s="116" t="inlineStr">
        <is>
          <t>Factores</t>
        </is>
      </c>
      <c r="B9" s="117" t="inlineStr">
        <is>
          <t>5 (Historial, Uso, Antiguedad, Mix, Consultas)</t>
        </is>
      </c>
    </row>
    <row r="10">
      <c r="A10" s="116" t="inlineStr">
        <is>
          <t>Proteccion</t>
        </is>
      </c>
      <c r="B10" s="117" t="inlineStr">
        <is>
          <t>nsi2024</t>
        </is>
      </c>
    </row>
    <row r="11">
      <c r="A11" s="116" t="inlineStr">
        <is>
          <t>Contacto</t>
        </is>
      </c>
      <c r="B11" s="117" t="inlineStr">
        <is>
          <t>nosomosignorantes@gmail.com</t>
        </is>
      </c>
    </row>
    <row r="14" ht="32" customHeight="1">
      <c r="A14" s="118" t="inlineStr">
        <is>
          <t>INSTRUCCIONES DE USO</t>
        </is>
      </c>
      <c r="B14" s="1" t="n"/>
    </row>
    <row r="15" ht="20" customHeight="1">
      <c r="A15" s="119" t="inlineStr">
        <is>
          <t>1. Ve al Dashboard e ingresa tu puntuacion estimada (0-100) para cada factor.</t>
        </is>
      </c>
    </row>
    <row r="16" ht="20" customHeight="1">
      <c r="A16" s="119" t="inlineStr">
        <is>
          <t>2. Usa la hoja 'Historial' para calcular tu puntaje exacto de pagos y uso de credito.</t>
        </is>
      </c>
    </row>
    <row r="17" ht="20" customHeight="1">
      <c r="A17" s="119" t="inlineStr">
        <is>
          <t>3. Copia los puntajes calculados al Dashboard para mayor precision.</t>
        </is>
      </c>
    </row>
    <row r="18" ht="20" customHeight="1">
      <c r="A18" s="119" t="inlineStr">
        <is>
          <t>4. Ve al 'Simulador' para explorar que pasaria si mejoras ciertos factores.</t>
        </is>
      </c>
    </row>
    <row r="19" ht="20" customHeight="1">
      <c r="A19" s="119" t="inlineStr">
        <is>
          <t>5. Revisa 'Recomendaciones' para acciones concretas basadas en tu perfil.</t>
        </is>
      </c>
    </row>
    <row r="20" ht="20" customHeight="1">
      <c r="A20" s="119" t="inlineStr"/>
    </row>
    <row r="21" ht="20" customHeight="1">
      <c r="A21" s="119" t="inlineStr">
        <is>
          <t>COMO ESTIMAR CADA FACTOR (0-100):</t>
        </is>
      </c>
    </row>
    <row r="22" ht="20" customHeight="1">
      <c r="A22" s="119" t="inlineStr">
        <is>
          <t>- Historial: 100 = nunca atrasado, -10 por cada atraso &lt;30d, -20 por &gt;30d</t>
        </is>
      </c>
    </row>
    <row r="23" ht="20" customHeight="1">
      <c r="A23" s="119" t="inlineStr">
        <is>
          <t>- Uso credito: 100 = &lt;10% usado, 90 = &lt;30%, 70 = &lt;50%, 50 = &lt;75%, 30 = &gt;75%</t>
        </is>
      </c>
    </row>
    <row r="24" ht="20" customHeight="1">
      <c r="A24" s="119" t="inlineStr">
        <is>
          <t>- Antiguedad: 100 = &gt;10 anios promedio, 80 = 5-10, 60 = 3-5, 40 = 1-3, 20 = &lt;1</t>
        </is>
      </c>
    </row>
    <row r="25" ht="20" customHeight="1">
      <c r="A25" s="119" t="inlineStr">
        <is>
          <t>- Mix: 100 = 4+ tipos (hipoteca, auto, tarjeta, personal), 50 = solo tarjetas</t>
        </is>
      </c>
    </row>
    <row r="26" ht="20" customHeight="1">
      <c r="A26" s="119" t="inlineStr">
        <is>
          <t>- Consultas: 100 = 0 en 6 meses, 80 = 1-2, 60 = 3-4, 40 = 5+</t>
        </is>
      </c>
    </row>
    <row r="27" ht="20" customHeight="1">
      <c r="A27" s="119" t="inlineStr"/>
    </row>
    <row r="28" ht="20" customHeight="1">
      <c r="A28" s="119" t="inlineStr">
        <is>
          <t>NOTA IMPORTANTE:</t>
        </is>
      </c>
    </row>
    <row r="29" ht="20" customHeight="1">
      <c r="A29" s="119" t="inlineStr">
        <is>
          <t>Este es un modelo educativo basado en la estructura de buros de credito.</t>
        </is>
      </c>
    </row>
    <row r="30" ht="20" customHeight="1">
      <c r="A30" s="119" t="inlineStr">
        <is>
          <t>NO es tu puntaje oficial. Para tu puntaje real, consulta tu buro de credito.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8">
    <mergeCell ref="A20:B20"/>
    <mergeCell ref="A21:B21"/>
    <mergeCell ref="A16:B16"/>
    <mergeCell ref="A24:B24"/>
    <mergeCell ref="A15:B15"/>
    <mergeCell ref="A26:B26"/>
    <mergeCell ref="A25:B25"/>
    <mergeCell ref="A29:B29"/>
    <mergeCell ref="A30:B30"/>
    <mergeCell ref="A19:B19"/>
    <mergeCell ref="A23:B23"/>
    <mergeCell ref="A28:B28"/>
    <mergeCell ref="A14:B14"/>
    <mergeCell ref="A1:B1"/>
    <mergeCell ref="A17:B17"/>
    <mergeCell ref="A18:B18"/>
    <mergeCell ref="A27:B27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2026-02-06T03:51:22Z</dcterms:created>
  <dcterms:modified xmlns:dcterms="http://purl.org/dc/terms/" xmlns:xsi="http://www.w3.org/2001/XMLSchema-instance" xsi:type="dcterms:W3CDTF">2026-02-06T03:51:22Z</dcterms:modified>
</cp:coreProperties>
</file>