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libri"/>
      <family val="2"/>
      <color theme="1"/>
      <sz val="11"/>
      <scheme val="minor"/>
    </font>
    <font>
      <name val="Calibri"/>
      <b val="1"/>
      <color rgb="00D4AF37"/>
      <sz val="20"/>
    </font>
    <font>
      <name val="Calibri"/>
      <i val="1"/>
      <color rgb="00D1D5DB"/>
      <sz val="10"/>
    </font>
    <font>
      <name val="Calibri"/>
      <b val="1"/>
      <color rgb="00111827"/>
      <sz val="13"/>
    </font>
    <font>
      <name val="Calibri"/>
      <color rgb="000000FF"/>
      <sz val="11"/>
    </font>
    <font>
      <name val="Calibri"/>
      <b val="1"/>
      <color rgb="000000FF"/>
      <sz val="14"/>
    </font>
    <font>
      <name val="Calibri"/>
      <b val="1"/>
      <color rgb="00D4AF37"/>
      <sz val="10"/>
    </font>
    <font>
      <name val="Calibri"/>
      <b val="1"/>
      <color rgb="00FFFFFF"/>
      <sz val="11"/>
    </font>
    <font>
      <name val="Calibri"/>
      <color rgb="00374151"/>
      <sz val="11"/>
    </font>
    <font>
      <name val="Calibri"/>
      <color rgb="00111827"/>
      <sz val="11"/>
    </font>
    <font>
      <name val="Calibri"/>
      <i val="1"/>
      <color rgb="006B7280"/>
      <sz val="10"/>
    </font>
    <font>
      <name val="Calibri"/>
      <b val="1"/>
      <color rgb="00111827"/>
      <sz val="11"/>
    </font>
    <font>
      <name val="Calibri"/>
      <b val="1"/>
      <color rgb="00FFFFFF"/>
      <sz val="13"/>
    </font>
    <font>
      <name val="Calibri"/>
      <b val="1"/>
      <color rgb="00D4AF37"/>
      <sz val="13"/>
    </font>
    <font>
      <name val="Calibri"/>
      <b val="1"/>
      <color rgb="00374151"/>
      <sz val="11"/>
    </font>
    <font>
      <name val="Calibri"/>
      <b val="1"/>
      <sz val="12"/>
    </font>
    <font>
      <name val="Calibri"/>
      <b val="1"/>
      <color rgb="00D4AF37"/>
      <sz val="18"/>
    </font>
    <font>
      <name val="Calibri"/>
      <b val="1"/>
      <color rgb="006B7280"/>
      <sz val="9"/>
    </font>
    <font>
      <name val="Calibri"/>
      <b val="1"/>
      <color rgb="00111827"/>
      <sz val="16"/>
    </font>
    <font>
      <name val="Calibri"/>
      <b val="1"/>
      <color rgb="0010B981"/>
      <sz val="16"/>
    </font>
    <font>
      <name val="Calibri"/>
      <b val="1"/>
      <color rgb="003B82F6"/>
      <sz val="16"/>
    </font>
    <font>
      <name val="Calibri"/>
      <b val="1"/>
      <color rgb="00D4AF37"/>
      <sz val="14"/>
    </font>
    <font>
      <name val="Calibri"/>
      <b val="1"/>
      <color rgb="00374151"/>
      <sz val="10"/>
    </font>
    <font>
      <name val="Calibri"/>
      <b val="1"/>
      <color rgb="003B82F6"/>
    </font>
    <font>
      <name val="Calibri"/>
      <b val="1"/>
      <color rgb="00F59E0B"/>
    </font>
    <font>
      <name val="Calibri"/>
      <b val="1"/>
      <color rgb="0010B981"/>
    </font>
    <font>
      <name val="Calibri"/>
      <b val="1"/>
      <color rgb="00D4AF37"/>
      <sz val="16"/>
    </font>
    <font>
      <name val="Calibri"/>
      <b val="1"/>
      <color rgb="00D4AF37"/>
      <sz val="12"/>
    </font>
    <font>
      <name val="Calibri"/>
      <b val="1"/>
      <color rgb="003B82F6"/>
      <sz val="11"/>
    </font>
    <font>
      <name val="Calibri"/>
      <color rgb="000F3460"/>
      <sz val="11"/>
    </font>
    <font>
      <name val="Calibri"/>
      <color rgb="00111827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16213E"/>
      </patternFill>
    </fill>
    <fill>
      <patternFill patternType="solid">
        <fgColor rgb="003B82F6"/>
      </patternFill>
    </fill>
    <fill>
      <patternFill patternType="solid">
        <fgColor rgb="00DBEAFE"/>
      </patternFill>
    </fill>
    <fill>
      <patternFill patternType="solid">
        <fgColor rgb="00E8F5E9"/>
      </patternFill>
    </fill>
    <fill>
      <patternFill patternType="solid">
        <fgColor rgb="00F59E0B"/>
      </patternFill>
    </fill>
    <fill>
      <patternFill patternType="solid">
        <fgColor rgb="00FEF3C7"/>
      </patternFill>
    </fill>
    <fill>
      <patternFill patternType="solid">
        <fgColor rgb="0010B981"/>
      </patternFill>
    </fill>
    <fill>
      <patternFill patternType="solid">
        <fgColor rgb="00D1FAE5"/>
      </patternFill>
    </fill>
    <fill>
      <patternFill patternType="solid">
        <fgColor rgb="00111827"/>
      </patternFill>
    </fill>
  </fills>
  <borders count="6">
    <border>
      <left/>
      <right/>
      <top/>
      <bottom/>
      <diagonal/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  <border>
      <bottom style="medium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374151"/>
      </bottom>
    </border>
    <border>
      <bottom style="thick">
        <color rgb="00D4AF37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5" fillId="3" borderId="1" applyAlignment="1" applyProtection="1" pivotButton="0" quotePrefix="0" xfId="0">
      <alignment horizontal="right" vertical="center"/>
      <protection locked="0" hidden="0"/>
    </xf>
    <xf numFmtId="0" fontId="6" fillId="4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8" fillId="6" borderId="3" applyAlignment="1" pivotButton="0" quotePrefix="0" xfId="0">
      <alignment horizontal="left" vertical="center" indent="1"/>
    </xf>
    <xf numFmtId="4" fontId="4" fillId="3" borderId="1" applyAlignment="1" applyProtection="1" pivotButton="0" quotePrefix="0" xfId="0">
      <alignment horizontal="right" vertical="center"/>
      <protection locked="0" hidden="0"/>
    </xf>
    <xf numFmtId="164" fontId="9" fillId="6" borderId="3" applyAlignment="1" pivotButton="0" quotePrefix="0" xfId="0">
      <alignment horizontal="right" vertical="center"/>
    </xf>
    <xf numFmtId="0" fontId="7" fillId="5" borderId="4" pivotButton="0" quotePrefix="0" xfId="0"/>
    <xf numFmtId="4" fontId="7" fillId="5" borderId="4" pivotButton="0" quotePrefix="0" xfId="0"/>
    <xf numFmtId="164" fontId="7" fillId="5" borderId="4" pivotButton="0" quotePrefix="0" xfId="0"/>
    <xf numFmtId="0" fontId="7" fillId="5" borderId="4" applyAlignment="1" pivotButton="0" quotePrefix="0" xfId="0">
      <alignment horizontal="center" vertical="center"/>
    </xf>
    <xf numFmtId="0" fontId="10" fillId="0" borderId="0" pivotButton="0" quotePrefix="0" xfId="0"/>
    <xf numFmtId="4" fontId="10" fillId="0" borderId="0" pivotButton="0" quotePrefix="0" xfId="0"/>
    <xf numFmtId="0" fontId="11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8" fillId="9" borderId="3" applyAlignment="1" pivotButton="0" quotePrefix="0" xfId="0">
      <alignment horizontal="left" vertical="center" indent="1"/>
    </xf>
    <xf numFmtId="164" fontId="9" fillId="9" borderId="3" applyAlignment="1" pivotButton="0" quotePrefix="0" xfId="0">
      <alignment horizontal="right" vertical="center"/>
    </xf>
    <xf numFmtId="0" fontId="11" fillId="8" borderId="4" pivotButton="0" quotePrefix="0" xfId="0"/>
    <xf numFmtId="4" fontId="11" fillId="8" borderId="4" pivotButton="0" quotePrefix="0" xfId="0"/>
    <xf numFmtId="164" fontId="11" fillId="8" borderId="4" pivotButton="0" quotePrefix="0" xfId="0"/>
    <xf numFmtId="0" fontId="11" fillId="8" borderId="4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8" fillId="11" borderId="3" applyAlignment="1" pivotButton="0" quotePrefix="0" xfId="0">
      <alignment horizontal="left" vertical="center" indent="1"/>
    </xf>
    <xf numFmtId="164" fontId="9" fillId="11" borderId="3" applyAlignment="1" pivotButton="0" quotePrefix="0" xfId="0">
      <alignment horizontal="right" vertical="center"/>
    </xf>
    <xf numFmtId="0" fontId="7" fillId="10" borderId="4" pivotButton="0" quotePrefix="0" xfId="0"/>
    <xf numFmtId="4" fontId="7" fillId="10" borderId="4" pivotButton="0" quotePrefix="0" xfId="0"/>
    <xf numFmtId="164" fontId="7" fillId="10" borderId="4" pivotButton="0" quotePrefix="0" xfId="0"/>
    <xf numFmtId="0" fontId="7" fillId="10" borderId="4" applyAlignment="1" pivotButton="0" quotePrefix="0" xfId="0">
      <alignment horizontal="center" vertical="center"/>
    </xf>
    <xf numFmtId="0" fontId="12" fillId="12" borderId="5" pivotButton="0" quotePrefix="0" xfId="0"/>
    <xf numFmtId="4" fontId="13" fillId="12" borderId="5" pivotButton="0" quotePrefix="0" xfId="0"/>
    <xf numFmtId="164" fontId="13" fillId="12" borderId="5" pivotButton="0" quotePrefix="0" xfId="0"/>
    <xf numFmtId="0" fontId="13" fillId="12" borderId="5" applyAlignment="1" pivotButton="0" quotePrefix="0" xfId="0">
      <alignment horizontal="center" vertical="center"/>
    </xf>
    <xf numFmtId="0" fontId="14" fillId="0" borderId="0" pivotButton="0" quotePrefix="0" xfId="0"/>
    <xf numFmtId="4" fontId="15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0" borderId="0" pivotButton="0" quotePrefix="0" xfId="0"/>
    <xf numFmtId="4" fontId="18" fillId="0" borderId="0" pivotButton="0" quotePrefix="0" xfId="0"/>
    <xf numFmtId="4" fontId="19" fillId="0" borderId="0" pivotButton="0" quotePrefix="0" xfId="0"/>
    <xf numFmtId="164" fontId="20" fillId="0" borderId="0" pivotButton="0" quotePrefix="0" xfId="0"/>
    <xf numFmtId="0" fontId="21" fillId="0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  <xf numFmtId="4" fontId="0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0B981"/>
        <sz val="13"/>
      </font>
    </dxf>
    <dxf>
      <font>
        <b val="1"/>
        <color rgb="00EF4444"/>
        <sz val="13"/>
      </font>
    </dxf>
    <dxf>
      <font>
        <b val="1"/>
        <color rgb="00006100"/>
        <sz val="12"/>
      </font>
    </dxf>
    <dxf>
      <font>
        <b val="1"/>
        <color rgb="009C0006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tu Presupuesto</a:t>
            </a:r>
          </a:p>
        </rich>
      </tx>
    </title>
    <plotArea>
      <pieChart>
        <varyColors val="1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'Dashboard'!$B$9:$B$11</f>
            </numRef>
          </cat>
          <val>
            <numRef>
              <f>'Dashboard'!$C$9:$C$11</f>
            </numRef>
          </val>
        </ser>
        <dLbls>
          <numFmt formatCode="#,##0"/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vs Ideal (50/30/20)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solidFill xmlns:a="http://schemas.openxmlformats.org/drawingml/2006/main">
              <a:srgbClr val="D4AF37"/>
            </a:solidFill>
            <a:ln xmlns:a="http://schemas.openxmlformats.org/drawingml/2006/main">
              <a:prstDash val="solid"/>
            </a:ln>
          </spPr>
          <cat>
            <numRef>
              <f>'Dashboard'!$B$9:$B$11</f>
            </numRef>
          </cat>
          <val>
            <numRef>
              <f>'Dashboard'!$C$9:$C$11</f>
            </numRef>
          </val>
        </ser>
        <ser>
          <idx val="1"/>
          <order val="1"/>
          <tx>
            <strRef>
              <f>'Dashboard'!D8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'Dashboard'!$B$9:$B$11</f>
            </numRef>
          </cat>
          <val>
            <numRef>
              <f>'Dashboard'!$D$9:$D$11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F4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2" customWidth="1" min="7" max="7"/>
  </cols>
  <sheetData>
    <row r="1" ht="8" customHeight="1"/>
    <row r="2" ht="42" customHeight="1">
      <c r="B2" s="1" t="inlineStr">
        <is>
          <t>PRESUPUESTO 50/30/20</t>
        </is>
      </c>
      <c r="C2" s="2" t="n"/>
      <c r="D2" s="2" t="n"/>
      <c r="E2" s="2" t="n"/>
      <c r="F2" s="2" t="n"/>
    </row>
    <row r="3" ht="24" customHeight="1">
      <c r="B3" s="3" t="inlineStr">
        <is>
          <t>No Somos Ignorantes  |  v1.0  |  Tu primer paso hacia la libertad financiera</t>
        </is>
      </c>
      <c r="C3" s="2" t="n"/>
      <c r="D3" s="2" t="n"/>
      <c r="E3" s="2" t="n"/>
      <c r="F3" s="2" t="n"/>
    </row>
    <row r="4" ht="8" customHeight="1"/>
    <row r="5" ht="32" customHeight="1">
      <c r="B5" s="4" t="inlineStr">
        <is>
          <t>TU INGRESO MENSUAL (Bs.)</t>
        </is>
      </c>
      <c r="D5" s="5" t="n">
        <v>5000</v>
      </c>
    </row>
    <row r="6" ht="6" customHeight="1"/>
    <row r="7" ht="28" customHeight="1">
      <c r="A7" t="inlineStr"/>
      <c r="B7" s="6" t="inlineStr">
        <is>
          <t>CATEGORÍA</t>
        </is>
      </c>
      <c r="C7" s="6" t="inlineStr">
        <is>
          <t>MONTO (Bs.)</t>
        </is>
      </c>
      <c r="D7" s="6" t="inlineStr">
        <is>
          <t>% DEL INGRESO</t>
        </is>
      </c>
      <c r="E7" s="6" t="inlineStr">
        <is>
          <t>LÍMITE (Bs.)</t>
        </is>
      </c>
      <c r="F7" s="6" t="inlineStr">
        <is>
          <t>ESTADO</t>
        </is>
      </c>
    </row>
    <row r="8" ht="30" customHeight="1">
      <c r="B8" s="7" t="inlineStr">
        <is>
          <t>50% NECESIDADES — Lo que necesitas para vivir</t>
        </is>
      </c>
      <c r="C8" s="8" t="n"/>
      <c r="D8" s="8" t="n"/>
      <c r="E8" s="8" t="n"/>
      <c r="F8" s="8" t="n"/>
    </row>
    <row r="9" ht="26" customHeight="1">
      <c r="B9" s="9" t="inlineStr">
        <is>
          <t>Vivienda (alquiler/cuota)</t>
        </is>
      </c>
      <c r="C9" s="10" t="n">
        <v>1200</v>
      </c>
      <c r="D9" s="11">
        <f>IF($D$5&gt;0,C9/$D$5,0)</f>
        <v/>
      </c>
    </row>
    <row r="10" ht="26" customHeight="1">
      <c r="B10" s="9" t="inlineStr">
        <is>
          <t>Servicios básicos (luz, agua, gas)</t>
        </is>
      </c>
      <c r="C10" s="10" t="n">
        <v>200</v>
      </c>
      <c r="D10" s="11">
        <f>IF($D$5&gt;0,C10/$D$5,0)</f>
        <v/>
      </c>
    </row>
    <row r="11" ht="26" customHeight="1">
      <c r="B11" s="9" t="inlineStr">
        <is>
          <t>Alimentación y mercado</t>
        </is>
      </c>
      <c r="C11" s="10" t="n">
        <v>800</v>
      </c>
      <c r="D11" s="11">
        <f>IF($D$5&gt;0,C11/$D$5,0)</f>
        <v/>
      </c>
    </row>
    <row r="12" ht="26" customHeight="1">
      <c r="B12" s="9" t="inlineStr">
        <is>
          <t>Transporte</t>
        </is>
      </c>
      <c r="C12" s="10" t="n">
        <v>300</v>
      </c>
      <c r="D12" s="11">
        <f>IF($D$5&gt;0,C12/$D$5,0)</f>
        <v/>
      </c>
    </row>
    <row r="13" ht="26" customHeight="1">
      <c r="B13" s="9" t="inlineStr">
        <is>
          <t>Seguros (salud, vida)</t>
        </is>
      </c>
      <c r="C13" s="10" t="n">
        <v>0</v>
      </c>
      <c r="D13" s="11">
        <f>IF($D$5&gt;0,C13/$D$5,0)</f>
        <v/>
      </c>
    </row>
    <row r="14" ht="26" customHeight="1">
      <c r="B14" s="9" t="inlineStr">
        <is>
          <t>Educación obligatoria</t>
        </is>
      </c>
      <c r="C14" s="10" t="n">
        <v>0</v>
      </c>
      <c r="D14" s="11">
        <f>IF($D$5&gt;0,C14/$D$5,0)</f>
        <v/>
      </c>
    </row>
    <row r="15" ht="26" customHeight="1">
      <c r="B15" s="9" t="inlineStr">
        <is>
          <t>Medicinas / Salud</t>
        </is>
      </c>
      <c r="C15" s="10" t="n">
        <v>0</v>
      </c>
      <c r="D15" s="11">
        <f>IF($D$5&gt;0,C15/$D$5,0)</f>
        <v/>
      </c>
    </row>
    <row r="16" ht="26" customHeight="1">
      <c r="B16" s="9" t="inlineStr">
        <is>
          <t>Teléfono / Internet básico</t>
        </is>
      </c>
      <c r="C16" s="10" t="n">
        <v>0</v>
      </c>
      <c r="D16" s="11">
        <f>IF($D$5&gt;0,C16/$D$5,0)</f>
        <v/>
      </c>
    </row>
    <row r="17" ht="30" customHeight="1">
      <c r="B17" s="12" t="inlineStr">
        <is>
          <t>TOTAL NECESIDADES</t>
        </is>
      </c>
      <c r="C17" s="13">
        <f>SUM(C9:C16)</f>
        <v/>
      </c>
      <c r="D17" s="14">
        <f>IF($D$5&gt;0,C17/$D$5,0)</f>
        <v/>
      </c>
      <c r="E17" s="13">
        <f>$D$5*0.5</f>
        <v/>
      </c>
      <c r="F17" s="15">
        <f>IF(C17&lt;=E17,"DENTRO DEL LIMITE","EXCEDIDO")</f>
        <v/>
      </c>
    </row>
    <row r="18" ht="22" customHeight="1">
      <c r="B18" s="16" t="inlineStr">
        <is>
          <t>Disponible restante</t>
        </is>
      </c>
      <c r="E18" s="17">
        <f>E17-C17</f>
        <v/>
      </c>
    </row>
    <row r="19" ht="8" customHeight="1"/>
    <row r="20" ht="30" customHeight="1">
      <c r="B20" s="18" t="inlineStr">
        <is>
          <t>30% DESEOS — Lo que te hace feliz</t>
        </is>
      </c>
      <c r="C20" s="19" t="n"/>
      <c r="D20" s="19" t="n"/>
      <c r="E20" s="19" t="n"/>
      <c r="F20" s="19" t="n"/>
    </row>
    <row r="21" ht="26" customHeight="1">
      <c r="B21" s="20" t="inlineStr">
        <is>
          <t>Entretenimiento / Salidas</t>
        </is>
      </c>
      <c r="C21" s="10" t="n">
        <v>300</v>
      </c>
      <c r="D21" s="21">
        <f>IF($D$5&gt;0,C21/$D$5,0)</f>
        <v/>
      </c>
    </row>
    <row r="22" ht="26" customHeight="1">
      <c r="B22" s="20" t="inlineStr">
        <is>
          <t>Restaurantes / Comida fuera</t>
        </is>
      </c>
      <c r="C22" s="10" t="n">
        <v>200</v>
      </c>
      <c r="D22" s="21">
        <f>IF($D$5&gt;0,C22/$D$5,0)</f>
        <v/>
      </c>
    </row>
    <row r="23" ht="26" customHeight="1">
      <c r="B23" s="20" t="inlineStr">
        <is>
          <t>Compras personales (ropa, etc.)</t>
        </is>
      </c>
      <c r="C23" s="10" t="n">
        <v>150</v>
      </c>
      <c r="D23" s="21">
        <f>IF($D$5&gt;0,C23/$D$5,0)</f>
        <v/>
      </c>
    </row>
    <row r="24" ht="26" customHeight="1">
      <c r="B24" s="20" t="inlineStr">
        <is>
          <t>Streaming / Suscripciones</t>
        </is>
      </c>
      <c r="C24" s="10" t="n">
        <v>50</v>
      </c>
      <c r="D24" s="21">
        <f>IF($D$5&gt;0,C24/$D$5,0)</f>
        <v/>
      </c>
    </row>
    <row r="25" ht="26" customHeight="1">
      <c r="B25" s="20" t="inlineStr">
        <is>
          <t>Hobbies / Deportes</t>
        </is>
      </c>
      <c r="C25" s="10" t="n">
        <v>0</v>
      </c>
      <c r="D25" s="21">
        <f>IF($D$5&gt;0,C25/$D$5,0)</f>
        <v/>
      </c>
    </row>
    <row r="26" ht="26" customHeight="1">
      <c r="B26" s="20" t="inlineStr">
        <is>
          <t>Regalos</t>
        </is>
      </c>
      <c r="C26" s="10" t="n">
        <v>0</v>
      </c>
      <c r="D26" s="21">
        <f>IF($D$5&gt;0,C26/$D$5,0)</f>
        <v/>
      </c>
    </row>
    <row r="27" ht="26" customHeight="1">
      <c r="B27" s="20" t="inlineStr">
        <is>
          <t>Viajes / Vacaciones</t>
        </is>
      </c>
      <c r="C27" s="10" t="n">
        <v>0</v>
      </c>
      <c r="D27" s="21">
        <f>IF($D$5&gt;0,C27/$D$5,0)</f>
        <v/>
      </c>
    </row>
    <row r="28" ht="26" customHeight="1">
      <c r="B28" s="20" t="inlineStr">
        <is>
          <t>Otros deseos</t>
        </is>
      </c>
      <c r="C28" s="10" t="n">
        <v>0</v>
      </c>
      <c r="D28" s="21">
        <f>IF($D$5&gt;0,C28/$D$5,0)</f>
        <v/>
      </c>
    </row>
    <row r="29" ht="30" customHeight="1">
      <c r="B29" s="22" t="inlineStr">
        <is>
          <t>TOTAL DESEOS</t>
        </is>
      </c>
      <c r="C29" s="23">
        <f>SUM(C21:C28)</f>
        <v/>
      </c>
      <c r="D29" s="24">
        <f>IF($D$5&gt;0,C29/$D$5,0)</f>
        <v/>
      </c>
      <c r="E29" s="23">
        <f>$D$5*0.3</f>
        <v/>
      </c>
      <c r="F29" s="25">
        <f>IF(C29&lt;=E29,"DENTRO DEL LIMITE","EXCEDIDO")</f>
        <v/>
      </c>
    </row>
    <row r="30" ht="22" customHeight="1">
      <c r="B30" s="16" t="inlineStr">
        <is>
          <t>Disponible restante</t>
        </is>
      </c>
      <c r="E30" s="17">
        <f>E29-C29</f>
        <v/>
      </c>
    </row>
    <row r="31" ht="8" customHeight="1"/>
    <row r="32" ht="30" customHeight="1">
      <c r="B32" s="26" t="inlineStr">
        <is>
          <t>20% AHORRO E INVERSIONES — Tu futuro</t>
        </is>
      </c>
      <c r="C32" s="27" t="n"/>
      <c r="D32" s="27" t="n"/>
      <c r="E32" s="27" t="n"/>
      <c r="F32" s="27" t="n"/>
    </row>
    <row r="33" ht="26" customHeight="1">
      <c r="B33" s="28" t="inlineStr">
        <is>
          <t>Fondo de emergencia</t>
        </is>
      </c>
      <c r="C33" s="10" t="n">
        <v>500</v>
      </c>
      <c r="D33" s="29">
        <f>IF($D$5&gt;0,C33/$D$5,0)</f>
        <v/>
      </c>
    </row>
    <row r="34" ht="26" customHeight="1">
      <c r="B34" s="28" t="inlineStr">
        <is>
          <t>Inversiones / Ahorro largo plazo</t>
        </is>
      </c>
      <c r="C34" s="10" t="n">
        <v>300</v>
      </c>
      <c r="D34" s="29">
        <f>IF($D$5&gt;0,C34/$D$5,0)</f>
        <v/>
      </c>
    </row>
    <row r="35" ht="26" customHeight="1">
      <c r="B35" s="28" t="inlineStr">
        <is>
          <t>Metas de ahorro (viaje, auto, etc.)</t>
        </is>
      </c>
      <c r="C35" s="10" t="n">
        <v>200</v>
      </c>
      <c r="D35" s="29">
        <f>IF($D$5&gt;0,C35/$D$5,0)</f>
        <v/>
      </c>
    </row>
    <row r="36" ht="26" customHeight="1">
      <c r="B36" s="28" t="inlineStr">
        <is>
          <t>Pago extra de deudas</t>
        </is>
      </c>
      <c r="C36" s="10" t="n">
        <v>0</v>
      </c>
      <c r="D36" s="29">
        <f>IF($D$5&gt;0,C36/$D$5,0)</f>
        <v/>
      </c>
    </row>
    <row r="37" ht="26" customHeight="1">
      <c r="B37" s="28" t="inlineStr">
        <is>
          <t>Educación / Cursos</t>
        </is>
      </c>
      <c r="C37" s="10" t="n">
        <v>0</v>
      </c>
      <c r="D37" s="29">
        <f>IF($D$5&gt;0,C37/$D$5,0)</f>
        <v/>
      </c>
    </row>
    <row r="38" ht="26" customHeight="1">
      <c r="B38" s="28" t="inlineStr">
        <is>
          <t>Retiro / Jubilación</t>
        </is>
      </c>
      <c r="C38" s="10" t="n">
        <v>0</v>
      </c>
      <c r="D38" s="29">
        <f>IF($D$5&gt;0,C38/$D$5,0)</f>
        <v/>
      </c>
    </row>
    <row r="39" ht="30" customHeight="1">
      <c r="B39" s="30" t="inlineStr">
        <is>
          <t>TOTAL AHORRO</t>
        </is>
      </c>
      <c r="C39" s="31">
        <f>SUM(C33:C38)</f>
        <v/>
      </c>
      <c r="D39" s="32">
        <f>IF($D$5&gt;0,C39/$D$5,0)</f>
        <v/>
      </c>
      <c r="E39" s="31">
        <f>$D$5*0.2</f>
        <v/>
      </c>
      <c r="F39" s="33">
        <f>IF(C39&gt;=E39,"META ALCANZADA","AUN FALTA")</f>
        <v/>
      </c>
    </row>
    <row r="40" ht="22" customHeight="1">
      <c r="B40" s="16" t="inlineStr">
        <is>
          <t>Te falta ahorrar</t>
        </is>
      </c>
      <c r="E40" s="17">
        <f>MAX(0,E39-C39)</f>
        <v/>
      </c>
    </row>
    <row r="41" ht="12" customHeight="1"/>
    <row r="42" ht="36" customHeight="1">
      <c r="B42" s="34" t="inlineStr">
        <is>
          <t>TOTAL GASTOS + AHORRO</t>
        </is>
      </c>
      <c r="C42" s="35">
        <f>C17+C29+C39</f>
        <v/>
      </c>
      <c r="D42" s="36">
        <f>IF($D$5&gt;0,C42/$D$5,0)</f>
        <v/>
      </c>
      <c r="E42" s="35">
        <f>$D$5</f>
        <v/>
      </c>
      <c r="F42" s="37">
        <f>IF(C42&lt;=E42,"PRESUPUESTO OK","GASTAS DE MAS")</f>
        <v/>
      </c>
    </row>
    <row r="43" ht="28" customHeight="1">
      <c r="B43" s="38" t="inlineStr">
        <is>
          <t>SOBRANTE / (DEFICIT)</t>
        </is>
      </c>
      <c r="C43" s="39">
        <f>$D$5-C42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9">
    <mergeCell ref="B2:F2"/>
    <mergeCell ref="B20:F20"/>
    <mergeCell ref="B5:C5"/>
    <mergeCell ref="D5:E5"/>
    <mergeCell ref="B3:F3"/>
    <mergeCell ref="B1:F1"/>
    <mergeCell ref="B8:F8"/>
    <mergeCell ref="B32:F32"/>
    <mergeCell ref="B42"/>
  </mergeCells>
  <conditionalFormatting sqref="F17">
    <cfRule type="cellIs" priority="1" operator="equal" dxfId="0">
      <formula>"DENTRO DEL LIMITE"</formula>
    </cfRule>
    <cfRule type="cellIs" priority="2" operator="equal" dxfId="1">
      <formula>"EXCEDIDO"</formula>
    </cfRule>
  </conditionalFormatting>
  <conditionalFormatting sqref="F29">
    <cfRule type="cellIs" priority="3" operator="equal" dxfId="0">
      <formula>"DENTRO DEL LIMITE"</formula>
    </cfRule>
    <cfRule type="cellIs" priority="4" operator="equal" dxfId="1">
      <formula>"EXCEDIDO"</formula>
    </cfRule>
  </conditionalFormatting>
  <conditionalFormatting sqref="F39">
    <cfRule type="cellIs" priority="5" operator="equal" dxfId="0">
      <formula>"META ALCANZADA"</formula>
    </cfRule>
    <cfRule type="cellIs" priority="6" operator="equal" dxfId="1">
      <formula>"AUN FALTA"</formula>
    </cfRule>
  </conditionalFormatting>
  <conditionalFormatting sqref="F42">
    <cfRule type="cellIs" priority="7" operator="equal" dxfId="2">
      <formula>"PRESUPUESTO OK"</formula>
    </cfRule>
    <cfRule type="cellIs" priority="8" operator="equal" dxfId="3">
      <formula>"GASTAS DE MAS"</formula>
    </cfRule>
  </conditionalFormatting>
  <conditionalFormatting sqref="C43">
    <cfRule type="cellIs" priority="9" operator="greaterThanOrEqual" dxfId="4">
      <formula>0</formula>
    </cfRule>
    <cfRule type="cellIs" priority="10" operator="lessThan" dxfId="5">
      <formula>0</formula>
    </cfRule>
  </conditionalFormatting>
  <dataValidations count="2">
    <dataValidation sqref="D5" showDropDown="0" showInputMessage="0" showErrorMessage="0" allowBlank="0" errorTitle="Monto inválido" error="Ingresa un monto mayor a 0" promptTitle="Ingreso Mensual" prompt="Ingresa tu ingreso mensual en Bolivianos" type="decimal" operator="greaterThan">
      <formula1>0</formula1>
    </dataValidation>
    <dataValidation sqref="C9 C10 C11 C12 C13 C14 C15 C16 C21 C22 C23 C24 C25 C26 C27 C28 C33 C34 C35 C36 C37 C38" showDropDown="0" showInputMessage="0" showErrorMessage="0" allowBlank="0" errorTitle="Monto inválido" error="Ingresa un monto de 0 o mayor" type="decimal" operator="greaterThanOrEqual">
      <formula1>0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B1:G11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8" customHeight="1"/>
    <row r="2" ht="40" customHeight="1">
      <c r="B2" s="40" t="inlineStr">
        <is>
          <t>DASHBOARD - RESUMEN VISUAL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Tus finanzas de un vistazo</t>
        </is>
      </c>
      <c r="C3" s="2" t="n"/>
      <c r="D3" s="2" t="n"/>
      <c r="E3" s="2" t="n"/>
      <c r="F3" s="2" t="n"/>
      <c r="G3" s="2" t="n"/>
    </row>
    <row r="4" ht="8" customHeight="1"/>
    <row r="5" ht="20" customHeight="1">
      <c r="B5" s="41" t="inlineStr">
        <is>
          <t>INGRESO MENSUAL</t>
        </is>
      </c>
      <c r="C5" s="41" t="inlineStr">
        <is>
          <t>TOTAL ASIGNADO</t>
        </is>
      </c>
      <c r="D5" s="41" t="inlineStr">
        <is>
          <t>SOBRANTE</t>
        </is>
      </c>
      <c r="E5" s="41" t="inlineStr">
        <is>
          <t>% UTILIZADO</t>
        </is>
      </c>
      <c r="F5" s="41" t="inlineStr">
        <is>
          <t>ESTADO</t>
        </is>
      </c>
    </row>
    <row r="6" ht="28" customHeight="1">
      <c r="B6" s="42">
        <f>Presupuesto!D5</f>
        <v/>
      </c>
      <c r="C6" s="42">
        <f>Presupuesto!C42</f>
        <v/>
      </c>
      <c r="D6" s="43">
        <f>Presupuesto!C43</f>
        <v/>
      </c>
      <c r="E6" s="44">
        <f>Presupuesto!D42</f>
        <v/>
      </c>
      <c r="F6" s="45">
        <f>Presupuesto!F42</f>
        <v/>
      </c>
    </row>
    <row r="7" ht="8" customHeight="1"/>
    <row r="8">
      <c r="B8" s="46" t="inlineStr">
        <is>
          <t>Categoría</t>
        </is>
      </c>
      <c r="C8" s="46" t="inlineStr">
        <is>
          <t>Monto</t>
        </is>
      </c>
      <c r="D8" s="46" t="inlineStr">
        <is>
          <t>Límite ideal</t>
        </is>
      </c>
      <c r="E8" s="46" t="inlineStr">
        <is>
          <t>Diferencia</t>
        </is>
      </c>
    </row>
    <row r="9">
      <c r="B9" s="47" t="inlineStr">
        <is>
          <t>Necesidades (50%)</t>
        </is>
      </c>
      <c r="C9" s="48">
        <f>Presupuesto!C17</f>
        <v/>
      </c>
      <c r="D9" s="48">
        <f>Presupuesto!D5*0.5</f>
        <v/>
      </c>
      <c r="E9" s="48">
        <f>D9-C9</f>
        <v/>
      </c>
    </row>
    <row r="10">
      <c r="B10" s="49" t="inlineStr">
        <is>
          <t>Deseos (30%)</t>
        </is>
      </c>
      <c r="C10" s="48">
        <f>Presupuesto!C29</f>
        <v/>
      </c>
      <c r="D10" s="48">
        <f>Presupuesto!D5*0.3</f>
        <v/>
      </c>
      <c r="E10" s="48">
        <f>D10-C10</f>
        <v/>
      </c>
    </row>
    <row r="11">
      <c r="B11" s="50" t="inlineStr">
        <is>
          <t>Ahorro (20%)</t>
        </is>
      </c>
      <c r="C11" s="48">
        <f>Presupuesto!C39</f>
        <v/>
      </c>
      <c r="D11" s="48">
        <f>Presupuesto!D5*0.2</f>
        <v/>
      </c>
      <c r="E11" s="48">
        <f>D11-C11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3">
    <mergeCell ref="B3:G3"/>
    <mergeCell ref="B2:G2"/>
    <mergeCell ref="B1:G1"/>
  </mergeCells>
  <conditionalFormatting sqref="E9:E11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 fitToPage="1"/>
  </sheetPr>
  <dimension ref="B2:B45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" customWidth="1" min="3" max="3"/>
  </cols>
  <sheetData>
    <row r="2" ht="40" customHeight="1">
      <c r="B2" s="51" t="inlineStr">
        <is>
          <t>COMO USAR TU PRESUPUESTO 50/30/20</t>
        </is>
      </c>
    </row>
    <row r="4">
      <c r="B4" s="52" t="inlineStr"/>
    </row>
    <row r="5">
      <c r="B5" s="53" t="inlineStr">
        <is>
          <t>PASO 1: INGRESA TU INGRESO MENSUAL</t>
        </is>
      </c>
    </row>
    <row r="6">
      <c r="B6" s="52" t="inlineStr">
        <is>
          <t xml:space="preserve">   Ve a la hoja 'Presupuesto' y escribe tu ingreso neto (lo que recibes</t>
        </is>
      </c>
    </row>
    <row r="7">
      <c r="B7" s="52" t="inlineStr">
        <is>
          <t xml:space="preserve">   despues de impuestos) en la celda amarilla grande.</t>
        </is>
      </c>
    </row>
    <row r="8">
      <c r="B8" s="52" t="inlineStr"/>
    </row>
    <row r="9">
      <c r="B9" s="53" t="inlineStr">
        <is>
          <t>PASO 2: LLENA TUS NECESIDADES (50%)</t>
        </is>
      </c>
    </row>
    <row r="10">
      <c r="B10" s="52" t="inlineStr">
        <is>
          <t xml:space="preserve">   Escribe cuanto gastas en cada categoria de necesidades.</t>
        </is>
      </c>
    </row>
    <row r="11">
      <c r="B11" s="52" t="inlineStr">
        <is>
          <t xml:space="preserve">   Estas son cosas que NECESITAS para vivir: vivienda, comida, transporte.</t>
        </is>
      </c>
    </row>
    <row r="12">
      <c r="B12" s="52" t="inlineStr">
        <is>
          <t xml:space="preserve">   La regla dice que no deberia ser mas del 50% de tu ingreso.</t>
        </is>
      </c>
    </row>
    <row r="13">
      <c r="B13" s="52" t="inlineStr"/>
    </row>
    <row r="14">
      <c r="B14" s="53" t="inlineStr">
        <is>
          <t>PASO 3: LLENA TUS DESEOS (30%)</t>
        </is>
      </c>
    </row>
    <row r="15">
      <c r="B15" s="52" t="inlineStr">
        <is>
          <t xml:space="preserve">   Escribe cuanto gastas en cosas que te gustan pero no son esenciales.</t>
        </is>
      </c>
    </row>
    <row r="16">
      <c r="B16" s="52" t="inlineStr">
        <is>
          <t xml:space="preserve">   Restaurantes, entretenimiento, compras, suscripciones.</t>
        </is>
      </c>
    </row>
    <row r="17">
      <c r="B17" s="52" t="inlineStr">
        <is>
          <t xml:space="preserve">   Maximo 30% de tu ingreso.</t>
        </is>
      </c>
    </row>
    <row r="18">
      <c r="B18" s="52" t="inlineStr"/>
    </row>
    <row r="19">
      <c r="B19" s="53" t="inlineStr">
        <is>
          <t>PASO 4: LLENA TUS AHORROS (20%)</t>
        </is>
      </c>
    </row>
    <row r="20">
      <c r="B20" s="52" t="inlineStr">
        <is>
          <t xml:space="preserve">   Escribe cuanto AHORRAS e INVIERTES cada mes.</t>
        </is>
      </c>
    </row>
    <row r="21">
      <c r="B21" s="52" t="inlineStr">
        <is>
          <t xml:space="preserve">   Fondo de emergencia, inversiones, metas de ahorro.</t>
        </is>
      </c>
    </row>
    <row r="22">
      <c r="B22" s="52" t="inlineStr">
        <is>
          <t xml:space="preserve">   Minimo 20% de tu ingreso.</t>
        </is>
      </c>
    </row>
    <row r="23">
      <c r="B23" s="52" t="inlineStr"/>
    </row>
    <row r="24">
      <c r="B24" s="53" t="inlineStr">
        <is>
          <t>PASO 5: REVISA TU DASHBOARD</t>
        </is>
      </c>
    </row>
    <row r="25">
      <c r="B25" s="52" t="inlineStr">
        <is>
          <t xml:space="preserve">   Ve a la hoja 'Dashboard' para ver tus graficos y resumen visual.</t>
        </is>
      </c>
    </row>
    <row r="26">
      <c r="B26" s="52" t="inlineStr">
        <is>
          <t xml:space="preserve">   Ahi veras si estas dentro de los limites recomendados.</t>
        </is>
      </c>
    </row>
    <row r="27">
      <c r="B27" s="52" t="inlineStr"/>
    </row>
    <row r="28">
      <c r="B28" s="53" t="inlineStr">
        <is>
          <t>REGLA DE ORO:</t>
        </is>
      </c>
    </row>
    <row r="29">
      <c r="B29" s="52" t="inlineStr">
        <is>
          <t xml:space="preserve">   Si NECESIDADES &gt; 50%: Busca reducir gastos fijos (negociar alquiler,</t>
        </is>
      </c>
    </row>
    <row r="30">
      <c r="B30" s="52" t="inlineStr">
        <is>
          <t xml:space="preserve">   cambiar de plan de telefono, cocinar mas en casa).</t>
        </is>
      </c>
    </row>
    <row r="31">
      <c r="B31" s="52" t="inlineStr">
        <is>
          <t xml:space="preserve">   Si DESEOS &gt; 30%: Identifica que puedes eliminar o reducir.</t>
        </is>
      </c>
    </row>
    <row r="32">
      <c r="B32" s="52" t="inlineStr">
        <is>
          <t xml:space="preserve">   Si AHORRO &lt; 20%: Prioriza el ahorro, pagalo primero.</t>
        </is>
      </c>
    </row>
    <row r="33">
      <c r="B33" s="52" t="inlineStr"/>
    </row>
    <row r="34">
      <c r="B34" s="53" t="inlineStr">
        <is>
          <t>CELDAS AMARILLAS = Tu escribes ahi</t>
        </is>
      </c>
    </row>
    <row r="35">
      <c r="B35" s="53" t="inlineStr">
        <is>
          <t>CELDAS VERDES = Se calculan solas (no las toques!)</t>
        </is>
      </c>
    </row>
    <row r="36">
      <c r="B36" s="52" t="inlineStr"/>
    </row>
    <row r="37">
      <c r="B37" s="52" t="inlineStr">
        <is>
          <t>---</t>
        </is>
      </c>
    </row>
    <row r="38">
      <c r="B38" s="52" t="inlineStr"/>
    </row>
    <row r="39">
      <c r="B39" s="54" t="inlineStr">
        <is>
          <t>Quieres llevar tus finanzas al siguiente nivel?</t>
        </is>
      </c>
    </row>
    <row r="40">
      <c r="B40" s="54" t="inlineStr">
        <is>
          <t>Visita nosomosignorantes.com para herramientas avanzadas:</t>
        </is>
      </c>
    </row>
    <row r="41">
      <c r="B41" s="55" t="inlineStr">
        <is>
          <t xml:space="preserve">  - Bola de Nieve: Elimina TODAS tus deudas sistematicamente</t>
        </is>
      </c>
    </row>
    <row r="42">
      <c r="B42" s="55" t="inlineStr">
        <is>
          <t xml:space="preserve">  - Amortizador PRO: Calcula tus prestamos con precision</t>
        </is>
      </c>
    </row>
    <row r="43">
      <c r="B43" s="55" t="inlineStr">
        <is>
          <t xml:space="preserve">  - Y mucho mas!</t>
        </is>
      </c>
    </row>
    <row r="44">
      <c r="B44" s="52" t="inlineStr"/>
    </row>
    <row r="45">
      <c r="B45" s="54" t="inlineStr">
        <is>
          <t>Siguenos en YouTube: @NoSomosIgnorantes</t>
        </is>
      </c>
    </row>
  </sheetData>
  <mergeCells count="1">
    <mergeCell ref="B2"/>
  </mergeCells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46" t="inlineStr">
        <is>
          <t>Version</t>
        </is>
      </c>
      <c r="B1" s="56" t="inlineStr">
        <is>
          <t>v1.0.0</t>
        </is>
      </c>
    </row>
    <row r="2">
      <c r="A2" s="46" t="inlineStr">
        <is>
          <t>Producto</t>
        </is>
      </c>
      <c r="B2" s="56" t="inlineStr">
        <is>
          <t>Presupuesto 50/30/20</t>
        </is>
      </c>
    </row>
    <row r="3">
      <c r="A3" s="46" t="inlineStr">
        <is>
          <t>Marca</t>
        </is>
      </c>
      <c r="B3" s="56" t="inlineStr">
        <is>
          <t>No Somos Ignorantes</t>
        </is>
      </c>
    </row>
    <row r="4">
      <c r="A4" s="46" t="inlineStr">
        <is>
          <t>Sitio web</t>
        </is>
      </c>
      <c r="B4" s="56" t="inlineStr">
        <is>
          <t>nosomosignorantes.com</t>
        </is>
      </c>
    </row>
    <row r="5">
      <c r="A5" s="46" t="inlineStr">
        <is>
          <t>YouTube</t>
        </is>
      </c>
      <c r="B5" s="56" t="inlineStr">
        <is>
          <t>@NoSomosIgnorantes</t>
        </is>
      </c>
    </row>
    <row r="6">
      <c r="A6" s="46" t="inlineStr">
        <is>
          <t>Precio</t>
        </is>
      </c>
      <c r="B6" s="56" t="inlineStr">
        <is>
          <t>GRATIS (Lead Magnet)</t>
        </is>
      </c>
    </row>
    <row r="7">
      <c r="A7" s="46" t="inlineStr">
        <is>
          <t>Proteccion</t>
        </is>
      </c>
      <c r="B7" s="56" t="inlineStr">
        <is>
          <t>Celdas de formula protegidas</t>
        </is>
      </c>
    </row>
    <row r="8">
      <c r="A8" s="46" t="inlineStr">
        <is>
          <t>Fecha</t>
        </is>
      </c>
      <c r="B8" s="56" t="inlineStr">
        <is>
          <t>Febrero 2026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2026-02-06T03:04:18Z</dcterms:created>
  <dcterms:modified xmlns:dcterms="http://purl.org/dc/terms/" xmlns:xsi="http://www.w3.org/2001/XMLSchema-instance" xsi:type="dcterms:W3CDTF">2026-02-06T03:04:18Z</dcterms:modified>
</cp:coreProperties>
</file>